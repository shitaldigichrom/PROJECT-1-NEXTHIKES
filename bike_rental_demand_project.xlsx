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E6FBD81A-0740-4D08-8326-A450C1ECC72A}" xr6:coauthVersionLast="36" xr6:coauthVersionMax="36" xr10:uidLastSave="{00000000-0000-0000-0000-000000000000}"/>
  <bookViews>
    <workbookView xWindow="0" yWindow="0" windowWidth="23040" windowHeight="8940" activeTab="3" xr2:uid="{271A2AB3-3E69-45B3-888A-EA864FFBA252}"/>
  </bookViews>
  <sheets>
    <sheet name="dataset 1" sheetId="4" r:id="rId1"/>
    <sheet name="dataset 2" sheetId="3" r:id="rId2"/>
    <sheet name="dataset 3" sheetId="5" r:id="rId3"/>
    <sheet name="Bike data " sheetId="2" r:id="rId4"/>
    <sheet name="pivot table" sheetId="7" r:id="rId5"/>
    <sheet name="dashboard" sheetId="9" r:id="rId6"/>
  </sheets>
  <externalReferences>
    <externalReference r:id="rId7"/>
    <externalReference r:id="rId8"/>
  </externalReferences>
  <definedNames>
    <definedName name="_xlchart.v2.0" hidden="1">'Bike data '!$AL$46:$AL$69</definedName>
    <definedName name="_xlchart.v2.1" hidden="1">'Bike data '!$AM$45</definedName>
    <definedName name="_xlchart.v2.2" hidden="1">'Bike data '!$AM$46:$AM$69</definedName>
    <definedName name="_xlchart.v2.3" hidden="1">'Bike data '!$AN$45</definedName>
    <definedName name="_xlchart.v2.4" hidden="1">'Bike data '!$AN$46:$AN$69</definedName>
    <definedName name="_xlchart.v2.5" hidden="1">'Bike data '!$AO$45</definedName>
    <definedName name="_xlchart.v2.6" hidden="1">'Bike data '!$AO$46:$AO$69</definedName>
    <definedName name="ExternalData_1" localSheetId="2" hidden="1">'dataset 3'!$A$1:$P$391</definedName>
    <definedName name="ExternalData_2" localSheetId="1" hidden="1">'dataset 2'!$A$1:$H$1000</definedName>
    <definedName name="ExternalData_3" localSheetId="0" hidden="1">'dataset 1'!$A$1:$J$612</definedName>
    <definedName name="Slicer_Holiday_STATUS">#N/A</definedName>
    <definedName name="Slicer_MONTH">#N/A</definedName>
    <definedName name="Slicer_WEATHERSHIT">#N/A</definedName>
    <definedName name="Slicer_WEEKDAY">#N/A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3" i="2" l="1"/>
  <c r="AQ22" i="2"/>
  <c r="AP23" i="2"/>
  <c r="AP22" i="2"/>
  <c r="AO23" i="2"/>
  <c r="AO22" i="2"/>
  <c r="AH19" i="2"/>
  <c r="AE11" i="2"/>
  <c r="AE10" i="2"/>
  <c r="AA23" i="2"/>
  <c r="AQ10" i="2"/>
  <c r="AQ9" i="2"/>
  <c r="AL24" i="2"/>
  <c r="AL23" i="2"/>
  <c r="AN9" i="2" l="1"/>
  <c r="AN8" i="2"/>
  <c r="AN7" i="2"/>
  <c r="AN6" i="2"/>
  <c r="AM9" i="2"/>
  <c r="AM8" i="2"/>
  <c r="AM7" i="2"/>
  <c r="AM6" i="2"/>
  <c r="AL9" i="2"/>
  <c r="AL8" i="2"/>
  <c r="AL7" i="2"/>
  <c r="AL6" i="2"/>
  <c r="AA11" i="2" l="1"/>
  <c r="AA10" i="2"/>
  <c r="AA9" i="2"/>
  <c r="AA8" i="2"/>
  <c r="AA22" i="2"/>
  <c r="AA21" i="2"/>
  <c r="AF54" i="2"/>
  <c r="AG54" i="2"/>
  <c r="U47" i="2"/>
  <c r="V47" i="2" s="1"/>
  <c r="U48" i="2"/>
  <c r="V48" i="2" s="1"/>
  <c r="AA24" i="2"/>
  <c r="AA25" i="2"/>
  <c r="AA26" i="2"/>
  <c r="AA27" i="2"/>
  <c r="V26" i="2"/>
  <c r="V25" i="2"/>
  <c r="V24" i="2"/>
  <c r="W13" i="2"/>
  <c r="V13" i="2"/>
  <c r="U13" i="2"/>
  <c r="W12" i="2"/>
  <c r="V12" i="2"/>
  <c r="U12" i="2"/>
  <c r="W11" i="2"/>
  <c r="V11" i="2"/>
  <c r="U11" i="2"/>
  <c r="W10" i="2"/>
  <c r="V10" i="2"/>
  <c r="U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09CFA-5C50-478D-BC2A-333AA1CDD1F5}" keepAlive="1" name="Query - Append1" description="Connection to the 'Append1' query in the workbook." type="5" refreshedVersion="6" background="1" saveData="1">
    <dbPr connection="Provider=Microsoft.Mashup.OleDb.1;Data Source=$Workbook$;Location=Append1;Extended Properties=&quot;&quot;" command="SELECT * FROM [Append1]"/>
  </connection>
  <connection id="2" xr16:uid="{8BD8DEE2-F4DC-42CD-BEB8-9D22B196DB62}" keepAlive="1" name="Query - dataset_1" description="Connection to the 'dataset_1' query in the workbook." type="5" refreshedVersion="6" background="1" saveData="1">
    <dbPr connection="Provider=Microsoft.Mashup.OleDb.1;Data Source=$Workbook$;Location=dataset_1;Extended Properties=&quot;&quot;" command="SELECT * FROM [dataset_1]"/>
  </connection>
  <connection id="3" xr16:uid="{92134327-DA6C-4F4E-B49D-D60B77CD9A02}" keepAlive="1" name="Query - dataset_2" description="Connection to the 'dataset_2' query in the workbook." type="5" refreshedVersion="6" background="1" saveData="1">
    <dbPr connection="Provider=Microsoft.Mashup.OleDb.1;Data Source=$Workbook$;Location=dataset_2;Extended Properties=&quot;&quot;" command="SELECT * FROM [dataset_2]"/>
  </connection>
  <connection id="4" xr16:uid="{705E71C7-C57C-4892-A123-72AF175C6C22}" keepAlive="1" name="Query - dataset_3" description="Connection to the 'dataset_3' query in the workbook." type="5" refreshedVersion="6" background="1" saveData="1">
    <dbPr connection="Provider=Microsoft.Mashup.OleDb.1;Data Source=$Workbook$;Location=dataset_3;Extended Properties=&quot;&quot;" command="SELECT * FROM [dataset_3]"/>
  </connection>
  <connection id="5" xr16:uid="{6F9ADB2E-1597-4CBB-A077-5A01E38CF8D4}" keepAlive="1" name="Query - Merge1" description="Connection to the 'Merge1' query in the workbook." type="5" refreshedVersion="6"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<sst xmlns="http://schemas.openxmlformats.org/spreadsheetml/2006/main" count="5314" uniqueCount="218">
  <si>
    <t>instant</t>
  </si>
  <si>
    <t>dteday</t>
  </si>
  <si>
    <t>season</t>
  </si>
  <si>
    <t>yr</t>
  </si>
  <si>
    <t>mnth</t>
  </si>
  <si>
    <t>hr</t>
  </si>
  <si>
    <t>holiday</t>
  </si>
  <si>
    <t>weekday</t>
  </si>
  <si>
    <t>weathersit</t>
  </si>
  <si>
    <t>temp</t>
  </si>
  <si>
    <t>Unnamed: 0</t>
  </si>
  <si>
    <t>atemp</t>
  </si>
  <si>
    <t>hum</t>
  </si>
  <si>
    <t>windspeed</t>
  </si>
  <si>
    <t>casual</t>
  </si>
  <si>
    <t>registered</t>
  </si>
  <si>
    <t>cnt</t>
  </si>
  <si>
    <t>2011-12</t>
  </si>
  <si>
    <t>Jan</t>
  </si>
  <si>
    <t>Feb</t>
  </si>
  <si>
    <t>INSTANT</t>
  </si>
  <si>
    <t>DATE</t>
  </si>
  <si>
    <t>SEASON</t>
  </si>
  <si>
    <t>YEAR</t>
  </si>
  <si>
    <t>MONTH</t>
  </si>
  <si>
    <t>HOUR</t>
  </si>
  <si>
    <t>Holiday STATUS</t>
  </si>
  <si>
    <t>WEEKDAY</t>
  </si>
  <si>
    <t>WEATHERSHIT</t>
  </si>
  <si>
    <t>ACTUAL TEMP</t>
  </si>
  <si>
    <t>ASSUM TEMP</t>
  </si>
  <si>
    <t>HUMIDITY</t>
  </si>
  <si>
    <t>WINDSPEED</t>
  </si>
  <si>
    <t>CASUAL  CUSTOMER</t>
  </si>
  <si>
    <t>REGISTERED CUSTOMER</t>
  </si>
  <si>
    <t>TOTAL</t>
  </si>
  <si>
    <t>Non-Holiday</t>
  </si>
  <si>
    <t>Saturday</t>
  </si>
  <si>
    <t>Bright sunny</t>
  </si>
  <si>
    <t>Little cloudy</t>
  </si>
  <si>
    <t>Sunday</t>
  </si>
  <si>
    <t>Monday</t>
  </si>
  <si>
    <t>Tuesday</t>
  </si>
  <si>
    <t>Thusday</t>
  </si>
  <si>
    <t>Friday</t>
  </si>
  <si>
    <t>Heavy rain</t>
  </si>
  <si>
    <t>Wednesday</t>
  </si>
  <si>
    <t>Holiday</t>
  </si>
  <si>
    <t>BIKE RENTAL DEMAND —  PIVOT TABLE SUMMARIES</t>
  </si>
  <si>
    <t>total demand per day</t>
  </si>
  <si>
    <t>demand comparision by month</t>
  </si>
  <si>
    <t>Day</t>
  </si>
  <si>
    <t>Sum of CASUAL  CUSTOMER</t>
  </si>
  <si>
    <t>Sum of REGISTERED CUSTOMER</t>
  </si>
  <si>
    <t>Sum of TOTAL</t>
  </si>
  <si>
    <t>month</t>
  </si>
  <si>
    <t>Demand measurement by weather condition</t>
  </si>
  <si>
    <t>Grand Total</t>
  </si>
  <si>
    <t>Weather variable</t>
  </si>
  <si>
    <t>Total demand on the day</t>
  </si>
  <si>
    <t>Date</t>
  </si>
  <si>
    <t>Total rental demand</t>
  </si>
  <si>
    <t>1-Jan</t>
  </si>
  <si>
    <t>Total customer during weekday and weekend</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</si>
  <si>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</si>
  <si>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</si>
  <si>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</si>
  <si>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</si>
  <si>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</si>
  <si>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</si>
  <si>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</si>
  <si>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</si>
  <si>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</si>
  <si>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</si>
  <si>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</si>
  <si>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</si>
  <si>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</si>
  <si>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</si>
  <si>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</si>
  <si>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</si>
  <si>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</si>
  <si>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</si>
  <si>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</si>
  <si>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</si>
  <si>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</si>
  <si>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</si>
  <si>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</si>
  <si>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</si>
  <si>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</si>
  <si>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</si>
  <si>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</si>
  <si>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</si>
  <si>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</si>
  <si>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</si>
  <si>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</si>
  <si>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</si>
  <si>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</si>
  <si>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</si>
  <si>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</si>
  <si>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</si>
  <si>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</si>
  <si>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</si>
  <si>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</si>
  <si>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</si>
  <si>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</si>
  <si>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</si>
  <si>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</si>
  <si>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</si>
  <si>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Values</t>
  </si>
  <si>
    <t>2. DEMAND BY HOUR</t>
  </si>
  <si>
    <t>Hour</t>
  </si>
  <si>
    <t>Casual rentals</t>
  </si>
  <si>
    <t>Registered rentals</t>
  </si>
  <si>
    <t>Total rentals</t>
  </si>
  <si>
    <t>January and February Daily Trends</t>
  </si>
  <si>
    <t>DEMAND BY USER TYPE</t>
  </si>
  <si>
    <t>User type</t>
  </si>
  <si>
    <t>Share of rentals</t>
  </si>
  <si>
    <t>Casual</t>
  </si>
  <si>
    <t>Registered</t>
  </si>
  <si>
    <t>“Customer Demand by Weather Condition: Registered vs. Casual”</t>
  </si>
  <si>
    <t>COMPARISION BY DAILY TRENDS</t>
  </si>
  <si>
    <t>Registered customers</t>
  </si>
  <si>
    <t>Casual customer</t>
  </si>
  <si>
    <t>Total customer</t>
  </si>
  <si>
    <t>BIKE RENTAL DEMAND —  STATISTICS SUMMARIES</t>
  </si>
  <si>
    <t>SECTION 1</t>
  </si>
  <si>
    <t>heavy rain</t>
  </si>
  <si>
    <t>Total Records</t>
  </si>
  <si>
    <t>total records matching a condition</t>
  </si>
  <si>
    <t>SECTION 2</t>
  </si>
  <si>
    <t>Bike Rental Demand on Holidays vs. Non-Holidays by Customer Type</t>
  </si>
  <si>
    <t>SECTION 3</t>
  </si>
  <si>
    <t>holiday status</t>
  </si>
  <si>
    <t xml:space="preserve">holiday </t>
  </si>
  <si>
    <t>non- holiday</t>
  </si>
  <si>
    <t>SECTION 4</t>
  </si>
  <si>
    <t>Standard deviation — Measure variation in customers</t>
  </si>
  <si>
    <t>variation</t>
  </si>
  <si>
    <t>STDEV.S</t>
  </si>
  <si>
    <t>casual customers:</t>
  </si>
  <si>
    <t>registered customer</t>
  </si>
  <si>
    <t>total customer</t>
  </si>
  <si>
    <t>average rental</t>
  </si>
  <si>
    <t>maximum rental</t>
  </si>
  <si>
    <t>minimum rental</t>
  </si>
  <si>
    <t>total number of records</t>
  </si>
  <si>
    <t>how many customers are registered</t>
  </si>
  <si>
    <t>how many customers are casual</t>
  </si>
  <si>
    <t>total number of bike rental demand</t>
  </si>
  <si>
    <t>formula</t>
  </si>
  <si>
    <t>measures</t>
  </si>
  <si>
    <t>Customer Demand overview</t>
  </si>
  <si>
    <t>SECTION 5</t>
  </si>
  <si>
    <t>Data Visualisation</t>
  </si>
  <si>
    <t>CHART 1</t>
  </si>
  <si>
    <t>CHART 2</t>
  </si>
  <si>
    <t>CHART 3</t>
  </si>
  <si>
    <t>CHART 4</t>
  </si>
  <si>
    <t>CHART 5</t>
  </si>
  <si>
    <t>Actual temperature (0.23 total): A weak positive relationship with demand.</t>
  </si>
  <si>
    <t>Apparent temperature (0.19 total): A weak positive relationship.</t>
  </si>
  <si>
    <t>Humidity (−0.25 total): A weak negative relationship; higher humidity tends to be associated with lower demand.</t>
  </si>
  <si>
    <t>Windspeed (0.10 total): A very weak positive relationship.</t>
  </si>
  <si>
    <t>Casual customers (0.344): Shows very low variation</t>
  </si>
  <si>
    <t>Registered customers (26.744): Indicates the spread of registered customer counts around their mean.</t>
  </si>
  <si>
    <t>Total customers (29,502.899): Indicates substantial variation in total rental demand across the observations.</t>
  </si>
  <si>
    <t>Holidays: A total of 1,000 rentals were recorded, including 117 casual rentals and 883 registered rentals.</t>
  </si>
  <si>
    <t>Non-holidays: A total of 57,304 rentals were recorded, consisting of 4,804 casual rentals and 52,500 registered rentals.</t>
  </si>
  <si>
    <t>SECTION 6</t>
  </si>
  <si>
    <t>casual customer</t>
  </si>
  <si>
    <t>customer variation</t>
  </si>
  <si>
    <t>MIN</t>
  </si>
  <si>
    <t>MAX</t>
  </si>
  <si>
    <t>AVERAGE</t>
  </si>
  <si>
    <t>Basic formulation</t>
  </si>
  <si>
    <t>BIKE RENTAL DEMAND | BUSINESS INTELLIGENCE DASHBOARD</t>
  </si>
  <si>
    <t>Demand by hour, weather, weekday, month, holiday status and customer type</t>
  </si>
  <si>
    <t>FILTER CONTROLS</t>
  </si>
  <si>
    <t>Year</t>
  </si>
  <si>
    <t>All</t>
  </si>
  <si>
    <t>Weather</t>
  </si>
  <si>
    <t>Customer type</t>
  </si>
  <si>
    <t>Dropdowns are reference controls; charts summarize all records.</t>
  </si>
  <si>
    <t>TOTAL RENTALS</t>
  </si>
  <si>
    <t>REGISTERED RENTALS</t>
  </si>
  <si>
    <t>CASUAL RENTALS</t>
  </si>
  <si>
    <t>AVERAGE / RECORD</t>
  </si>
  <si>
    <t>KEY INSIGHTS</t>
  </si>
  <si>
    <t>Registered rentals contribute 91.6% of all rentals.</t>
  </si>
  <si>
    <t>Average demand: 58.3 rentals per record.</t>
  </si>
  <si>
    <t>Peak hour: 7:00 with 3,686 rentals.</t>
  </si>
  <si>
    <t>Compare weather and weekday patterns for operational planning.</t>
  </si>
  <si>
    <t>high thunderstorm</t>
  </si>
  <si>
    <t>High thunderstorm</t>
  </si>
  <si>
    <t>Thursday</t>
  </si>
  <si>
    <t>Weather conditions</t>
  </si>
  <si>
    <t>Relationship between weather and customers demand</t>
  </si>
  <si>
    <t>SECTION 7</t>
  </si>
  <si>
    <t>Min</t>
  </si>
  <si>
    <t>Max</t>
  </si>
  <si>
    <t>Average</t>
  </si>
  <si>
    <t>Actual temperature</t>
  </si>
  <si>
    <t>Assum temperature</t>
  </si>
  <si>
    <t>Windspeed</t>
  </si>
  <si>
    <t>Humidity</t>
  </si>
  <si>
    <t>Non-holiday</t>
  </si>
  <si>
    <t>SECTION 8</t>
  </si>
  <si>
    <t>SECTION 9</t>
  </si>
  <si>
    <t>Months</t>
  </si>
  <si>
    <t>Records</t>
  </si>
  <si>
    <t>January</t>
  </si>
  <si>
    <t>February</t>
  </si>
  <si>
    <t>total records matching a months</t>
  </si>
  <si>
    <t>Status of Day</t>
  </si>
  <si>
    <t>sum of total number of customer group per month</t>
  </si>
  <si>
    <t>Registered customer</t>
  </si>
  <si>
    <t>SECTION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</si>
</sst>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h:mm;@"/>
  </numFmts>
  <fonts count="29">
    <font>
      <sz val="11"/>
      <color theme="1"/>
      <name val="Calibri"/>
      <family val="2"/>
      <scheme val="minor"/>
    </font>
    <font>
      <b/>
      <sz val="11"/>
      <color theme="1"/>
      <name val="Calibri"/>
      <family val="2"/>
      <scheme val="minor"/>
    </font>
    <font>
      <sz val="10"/>
      <color theme="1" tint="4.9989318521683403E-2"/>
      <name val="Calibri"/>
      <family val="2"/>
      <scheme val="minor"/>
    </font>
    <font>
      <b/>
      <sz val="17"/>
      <color rgb="FFFFFFFF"/>
      <name val="Aptos Display"/>
    </font>
    <font>
      <b/>
      <sz val="22"/>
      <color theme="1"/>
      <name val="Calibri"/>
      <family val="2"/>
      <scheme val="minor"/>
    </font>
    <font>
      <b/>
      <sz val="11"/>
      <name val="Calibri"/>
      <family val="2"/>
    </font>
    <font>
      <sz val="11"/>
      <name val="Calibri"/>
      <family val="2"/>
      <scheme val="minor"/>
    </font>
    <font>
      <b/>
      <sz val="11"/>
      <color theme="0"/>
      <name val="Calibri"/>
      <family val="2"/>
      <scheme val="minor"/>
    </font>
    <font>
      <sz val="11"/>
      <color theme="0"/>
      <name val="Calibri"/>
      <family val="2"/>
      <scheme val="minor"/>
    </font>
    <font>
      <b/>
      <sz val="14"/>
      <color theme="4"/>
      <name val="Calibri"/>
      <family val="2"/>
      <scheme val="minor"/>
    </font>
    <font>
      <b/>
      <sz val="14"/>
      <color theme="4"/>
      <name val="Segoe UI"/>
      <family val="2"/>
    </font>
    <font>
      <b/>
      <sz val="12"/>
      <color theme="4"/>
      <name val="Calibri"/>
      <family val="2"/>
      <scheme val="minor"/>
    </font>
    <font>
      <b/>
      <sz val="11"/>
      <color theme="0" tint="-4.9989318521683403E-2"/>
      <name val="Calibri"/>
      <family val="2"/>
      <scheme val="minor"/>
    </font>
    <font>
      <b/>
      <sz val="10"/>
      <color theme="0" tint="-4.9989318521683403E-2"/>
      <name val="Arial Unicode MS"/>
    </font>
    <font>
      <b/>
      <sz val="9"/>
      <color theme="4"/>
      <name val="Segoe UI"/>
      <family val="2"/>
    </font>
    <font>
      <b/>
      <sz val="14"/>
      <color rgb="FF0070C0"/>
      <name val="Calibri"/>
      <family val="2"/>
      <scheme val="minor"/>
    </font>
    <font>
      <b/>
      <sz val="20"/>
      <color rgb="FFFFFFFF"/>
      <name val="Calibri"/>
      <family val="2"/>
      <scheme val="minor"/>
    </font>
    <font>
      <sz val="11"/>
      <color rgb="FF000000"/>
      <name val="Calibri"/>
      <family val="2"/>
      <scheme val="minor"/>
    </font>
    <font>
      <b/>
      <sz val="11"/>
      <color rgb="FFFFFFFF"/>
      <name val="Calibri"/>
      <family val="2"/>
      <scheme val="minor"/>
    </font>
    <font>
      <b/>
      <sz val="11"/>
      <color rgb="FF17365D"/>
      <name val="Calibri"/>
      <family val="2"/>
      <scheme val="minor"/>
    </font>
    <font>
      <i/>
      <sz val="9"/>
      <color rgb="FF64748B"/>
      <name val="Calibri"/>
      <family val="2"/>
      <scheme val="minor"/>
    </font>
    <font>
      <b/>
      <sz val="10"/>
      <color rgb="FFFFFFFF"/>
      <name val="Calibri"/>
      <family val="2"/>
      <scheme val="minor"/>
    </font>
    <font>
      <b/>
      <sz val="20"/>
      <color rgb="FF17365D"/>
      <name val="Calibri"/>
      <family val="2"/>
      <scheme val="minor"/>
    </font>
    <font>
      <b/>
      <i/>
      <sz val="10"/>
      <color rgb="FF64748B"/>
      <name val="Calibri"/>
      <family val="2"/>
      <scheme val="minor"/>
    </font>
    <font>
      <b/>
      <sz val="11"/>
      <color theme="0"/>
      <name val="Calibri"/>
      <family val="2"/>
    </font>
    <font>
      <b/>
      <sz val="10"/>
      <color theme="0"/>
      <name val="Segoe UI"/>
      <family val="2"/>
    </font>
    <font>
      <sz val="11"/>
      <color theme="3" tint="0.79998168889431442"/>
      <name val="Calibri"/>
      <family val="2"/>
      <scheme val="minor"/>
    </font>
    <font>
      <sz val="10"/>
      <color rgb="FF1F2937"/>
      <name val="Calibri"/>
      <family val="2"/>
      <scheme val="minor"/>
    </font>
    <font>
      <b/>
      <sz val="11"/>
      <color theme="4"/>
      <name val="Segoe UI"/>
      <family val="2"/>
    </font>
  </fonts>
  <fills count="24">
    <fill>
      <patternFill patternType="none"/>
    </fill>
    <fill>
      <patternFill patternType="gray125"/>
    </fill>
    <fill>
      <patternFill patternType="solid">
        <fgColor rgb="FF17365D"/>
      </patternFill>
    </fill>
    <fill>
      <patternFill patternType="solid">
        <fgColor theme="0"/>
        <bgColor indexed="64"/>
      </patternFill>
    </fill>
    <fill>
      <patternFill patternType="solid">
        <fgColor theme="8" tint="-0.249977111117893"/>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4" tint="0.39997558519241921"/>
        <bgColor theme="4" tint="0.79998168889431442"/>
      </patternFill>
    </fill>
    <fill>
      <patternFill patternType="solid">
        <fgColor theme="4" tint="0.39997558519241921"/>
        <bgColor indexed="64"/>
      </patternFill>
    </fill>
    <fill>
      <patternFill patternType="solid">
        <fgColor theme="6" tint="0.39997558519241921"/>
        <bgColor theme="4" tint="0.79998168889431442"/>
      </patternFill>
    </fill>
    <fill>
      <patternFill patternType="solid">
        <fgColor theme="0" tint="-0.249977111117893"/>
        <bgColor theme="4" tint="0.79998168889431442"/>
      </patternFill>
    </fill>
    <fill>
      <patternFill patternType="solid">
        <fgColor theme="7"/>
        <bgColor indexed="64"/>
      </patternFill>
    </fill>
    <fill>
      <patternFill patternType="solid">
        <fgColor theme="4" tint="-0.249977111117893"/>
        <bgColor theme="4" tint="0.79998168889431442"/>
      </patternFill>
    </fill>
    <fill>
      <patternFill patternType="solid">
        <fgColor rgb="FFFFC000"/>
        <bgColor indexed="64"/>
      </patternFill>
    </fill>
    <fill>
      <patternFill patternType="solid">
        <fgColor rgb="FF17365D"/>
        <bgColor rgb="FF000000"/>
      </patternFill>
    </fill>
    <fill>
      <patternFill patternType="solid">
        <fgColor rgb="FF1F4E78"/>
        <bgColor rgb="FF000000"/>
      </patternFill>
    </fill>
    <fill>
      <patternFill patternType="solid">
        <fgColor rgb="FFFFF2CC"/>
        <bgColor rgb="FF000000"/>
      </patternFill>
    </fill>
    <fill>
      <patternFill patternType="solid">
        <fgColor rgb="FF00A6A6"/>
        <bgColor rgb="FF000000"/>
      </patternFill>
    </fill>
    <fill>
      <patternFill patternType="solid">
        <fgColor rgb="FFF4A261"/>
        <bgColor rgb="FF000000"/>
      </patternFill>
    </fill>
    <fill>
      <patternFill patternType="solid">
        <fgColor rgb="FF70AD47"/>
        <bgColor rgb="FF000000"/>
      </patternFill>
    </fill>
    <fill>
      <patternFill patternType="solid">
        <fgColor rgb="FFF3F6FA"/>
        <bgColor rgb="FF000000"/>
      </patternFill>
    </fill>
    <fill>
      <patternFill patternType="solid">
        <fgColor theme="0"/>
        <bgColor rgb="FF000000"/>
      </patternFill>
    </fill>
    <fill>
      <patternFill patternType="solid">
        <fgColor rgb="FFD9EAF7"/>
        <bgColor rgb="FF000000"/>
      </patternFill>
    </fill>
  </fills>
  <borders count="4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30">
    <xf numFmtId="0" fontId="0" fillId="0" borderId="0" xfId="0"/>
    <xf numFmtId="22" fontId="0" fillId="0" borderId="0" xfId="0" applyNumberFormat="1"/>
    <xf numFmtId="14" fontId="0" fillId="0" borderId="0" xfId="0" applyNumberFormat="1"/>
    <xf numFmtId="0" fontId="0" fillId="0" borderId="0" xfId="0"/>
    <xf numFmtId="0" fontId="2" fillId="0" borderId="0" xfId="0" applyFont="1" applyAlignment="1">
      <alignment horizontal="center" vertical="center"/>
    </xf>
    <xf numFmtId="14" fontId="2" fillId="0" borderId="0" xfId="0" applyNumberFormat="1" applyFont="1" applyAlignment="1">
      <alignment horizontal="center" vertical="center"/>
    </xf>
    <xf numFmtId="0" fontId="0" fillId="0" borderId="0" xfId="0" applyAlignment="1">
      <alignment horizontal="center"/>
    </xf>
    <xf numFmtId="0" fontId="0" fillId="0" borderId="0" xfId="0" applyAlignment="1">
      <alignment horizontal="right"/>
    </xf>
    <xf numFmtId="0" fontId="1" fillId="0" borderId="0" xfId="0" applyFont="1"/>
    <xf numFmtId="0" fontId="0" fillId="0" borderId="7" xfId="0" applyBorder="1"/>
    <xf numFmtId="0" fontId="0" fillId="0" borderId="8" xfId="0" applyBorder="1"/>
    <xf numFmtId="0" fontId="0" fillId="0" borderId="9" xfId="0" applyBorder="1"/>
    <xf numFmtId="0" fontId="0" fillId="0" borderId="10" xfId="0" applyBorder="1"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12" xfId="0" applyBorder="1" applyAlignment="1">
      <alignment horizontal="left"/>
    </xf>
    <xf numFmtId="0" fontId="0" fillId="0" borderId="19" xfId="0" applyBorder="1" applyAlignment="1">
      <alignment horizontal="left"/>
    </xf>
    <xf numFmtId="0" fontId="0" fillId="0" borderId="7" xfId="0" pivotButton="1" applyBorder="1"/>
    <xf numFmtId="0" fontId="0" fillId="0" borderId="8" xfId="0" pivotButton="1" applyBorder="1"/>
    <xf numFmtId="0" fontId="0" fillId="0" borderId="0" xfId="0" pivotButton="1"/>
    <xf numFmtId="0" fontId="1" fillId="0" borderId="0" xfId="0" pivotButton="1" applyFont="1"/>
    <xf numFmtId="0" fontId="0" fillId="0" borderId="10" xfId="0" pivotButton="1" applyBorder="1"/>
    <xf numFmtId="0" fontId="0" fillId="0" borderId="12" xfId="0" pivotButton="1" applyBorder="1"/>
    <xf numFmtId="0" fontId="0" fillId="0" borderId="0" xfId="0" applyBorder="1"/>
    <xf numFmtId="0" fontId="0" fillId="0" borderId="0" xfId="0" applyNumberFormat="1" applyBorder="1"/>
    <xf numFmtId="0" fontId="0" fillId="0" borderId="11" xfId="0" applyNumberFormat="1" applyBorder="1"/>
    <xf numFmtId="0" fontId="0" fillId="0" borderId="20" xfId="0" applyNumberFormat="1" applyBorder="1"/>
    <xf numFmtId="0" fontId="0" fillId="0" borderId="21" xfId="0" applyNumberFormat="1" applyBorder="1"/>
    <xf numFmtId="0" fontId="0" fillId="0" borderId="7"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0" fillId="0" borderId="19" xfId="0" applyNumberFormat="1" applyBorder="1"/>
    <xf numFmtId="0" fontId="0" fillId="0" borderId="16" xfId="0" applyNumberFormat="1" applyBorder="1"/>
    <xf numFmtId="0" fontId="0" fillId="0" borderId="17" xfId="0" applyNumberFormat="1" applyBorder="1"/>
    <xf numFmtId="0" fontId="0" fillId="0" borderId="18" xfId="0" applyNumberFormat="1" applyBorder="1"/>
    <xf numFmtId="14" fontId="0" fillId="0" borderId="12" xfId="0" applyNumberFormat="1" applyBorder="1" applyAlignment="1">
      <alignment horizontal="left"/>
    </xf>
    <xf numFmtId="0" fontId="5" fillId="9" borderId="4" xfId="0" applyFont="1" applyFill="1" applyBorder="1" applyAlignment="1">
      <alignment wrapText="1"/>
    </xf>
    <xf numFmtId="0" fontId="1" fillId="8" borderId="1" xfId="0" applyFont="1" applyFill="1" applyBorder="1"/>
    <xf numFmtId="0" fontId="1" fillId="8" borderId="2" xfId="0" applyFont="1" applyFill="1" applyBorder="1"/>
    <xf numFmtId="0" fontId="1" fillId="8" borderId="22" xfId="0" applyFont="1" applyFill="1" applyBorder="1"/>
    <xf numFmtId="0" fontId="0" fillId="5" borderId="3" xfId="0" applyFill="1" applyBorder="1" applyAlignment="1">
      <alignment horizontal="left"/>
    </xf>
    <xf numFmtId="0" fontId="0" fillId="5" borderId="4" xfId="0" applyFill="1" applyBorder="1"/>
    <xf numFmtId="0" fontId="0" fillId="5" borderId="5" xfId="0" applyFill="1" applyBorder="1"/>
    <xf numFmtId="0" fontId="0" fillId="5" borderId="24" xfId="0" applyFill="1" applyBorder="1" applyAlignment="1">
      <alignment horizontal="left"/>
    </xf>
    <xf numFmtId="0" fontId="0" fillId="5" borderId="6" xfId="0" applyFill="1" applyBorder="1"/>
    <xf numFmtId="0" fontId="0" fillId="5" borderId="25" xfId="0" applyFill="1" applyBorder="1"/>
    <xf numFmtId="0" fontId="1" fillId="5" borderId="23" xfId="0" applyFont="1" applyFill="1" applyBorder="1" applyAlignment="1">
      <alignment horizontal="left"/>
    </xf>
    <xf numFmtId="0" fontId="1" fillId="5" borderId="14" xfId="0" applyFont="1" applyFill="1" applyBorder="1"/>
    <xf numFmtId="0" fontId="1" fillId="5" borderId="15" xfId="0" applyFont="1" applyFill="1" applyBorder="1"/>
    <xf numFmtId="0" fontId="5" fillId="9" borderId="10" xfId="0" applyFont="1" applyFill="1" applyBorder="1" applyAlignment="1">
      <alignment wrapText="1"/>
    </xf>
    <xf numFmtId="0" fontId="5" fillId="9" borderId="0" xfId="0" applyFont="1" applyFill="1" applyBorder="1" applyAlignment="1">
      <alignment wrapText="1"/>
    </xf>
    <xf numFmtId="0" fontId="5" fillId="9" borderId="11" xfId="0" applyFont="1" applyFill="1" applyBorder="1" applyAlignment="1">
      <alignment wrapText="1"/>
    </xf>
    <xf numFmtId="0" fontId="0" fillId="6" borderId="4" xfId="0" applyFill="1" applyBorder="1" applyAlignment="1">
      <alignment vertical="center" wrapText="1"/>
    </xf>
    <xf numFmtId="164" fontId="0" fillId="6" borderId="4" xfId="0" applyNumberFormat="1" applyFill="1" applyBorder="1" applyAlignment="1">
      <alignment vertical="center" wrapText="1"/>
    </xf>
    <xf numFmtId="14" fontId="0" fillId="0" borderId="16" xfId="0" applyNumberFormat="1" applyBorder="1" applyAlignment="1">
      <alignment horizontal="left"/>
    </xf>
    <xf numFmtId="14" fontId="0" fillId="0" borderId="17" xfId="0" applyNumberFormat="1" applyBorder="1" applyAlignment="1">
      <alignment horizontal="left"/>
    </xf>
    <xf numFmtId="14" fontId="0" fillId="0" borderId="18" xfId="0" applyNumberFormat="1" applyBorder="1" applyAlignment="1">
      <alignment horizontal="left"/>
    </xf>
    <xf numFmtId="0" fontId="0" fillId="0" borderId="0" xfId="0" applyBorder="1" applyAlignment="1">
      <alignment horizontal="left"/>
    </xf>
    <xf numFmtId="0" fontId="0" fillId="6" borderId="4" xfId="0" applyFill="1" applyBorder="1" applyAlignment="1">
      <alignment horizontal="center" vertical="center" wrapText="1"/>
    </xf>
    <xf numFmtId="0" fontId="1" fillId="7" borderId="27" xfId="0" applyFont="1" applyFill="1" applyBorder="1"/>
    <xf numFmtId="0" fontId="1" fillId="7" borderId="2" xfId="0" applyFont="1" applyFill="1" applyBorder="1"/>
    <xf numFmtId="0" fontId="1" fillId="0" borderId="26" xfId="0" applyFont="1" applyBorder="1"/>
    <xf numFmtId="2" fontId="1" fillId="0" borderId="4" xfId="0" applyNumberFormat="1" applyFont="1" applyBorder="1"/>
    <xf numFmtId="0" fontId="1" fillId="0" borderId="28" xfId="0" applyFont="1" applyBorder="1"/>
    <xf numFmtId="2" fontId="1" fillId="0" borderId="6" xfId="0" applyNumberFormat="1" applyFont="1" applyBorder="1"/>
    <xf numFmtId="0" fontId="0" fillId="0" borderId="10" xfId="0" applyBorder="1"/>
    <xf numFmtId="0" fontId="0" fillId="0" borderId="19" xfId="0" applyBorder="1"/>
    <xf numFmtId="0" fontId="0" fillId="0" borderId="20" xfId="0" applyBorder="1"/>
    <xf numFmtId="0" fontId="0" fillId="0" borderId="21" xfId="0" applyBorder="1"/>
    <xf numFmtId="0" fontId="0" fillId="0" borderId="0" xfId="0" applyFont="1" applyAlignment="1">
      <alignment horizontal="center"/>
    </xf>
    <xf numFmtId="0" fontId="0" fillId="0" borderId="0" xfId="0" applyBorder="1" applyAlignment="1"/>
    <xf numFmtId="0" fontId="0" fillId="0" borderId="31" xfId="0" applyBorder="1"/>
    <xf numFmtId="0" fontId="0" fillId="0" borderId="29" xfId="0" applyBorder="1"/>
    <xf numFmtId="0" fontId="0" fillId="0" borderId="5" xfId="0" applyBorder="1"/>
    <xf numFmtId="0" fontId="0" fillId="0" borderId="3" xfId="0" applyBorder="1"/>
    <xf numFmtId="0" fontId="7" fillId="7" borderId="22" xfId="0" applyFont="1" applyFill="1" applyBorder="1"/>
    <xf numFmtId="0" fontId="7" fillId="7" borderId="1" xfId="0" applyFont="1" applyFill="1" applyBorder="1"/>
    <xf numFmtId="0" fontId="0" fillId="0" borderId="4" xfId="0" applyBorder="1"/>
    <xf numFmtId="0" fontId="0" fillId="0" borderId="30" xfId="0" applyBorder="1"/>
    <xf numFmtId="0" fontId="12" fillId="7" borderId="32" xfId="0" applyFont="1" applyFill="1" applyBorder="1"/>
    <xf numFmtId="0" fontId="13" fillId="7" borderId="33" xfId="0" applyFont="1" applyFill="1" applyBorder="1" applyAlignment="1">
      <alignment vertical="center"/>
    </xf>
    <xf numFmtId="0" fontId="14" fillId="3" borderId="0" xfId="0" applyFont="1" applyFill="1" applyBorder="1" applyAlignment="1">
      <alignment horizontal="left"/>
    </xf>
    <xf numFmtId="0" fontId="1" fillId="14" borderId="0" xfId="0" applyFont="1" applyFill="1" applyBorder="1" applyAlignment="1">
      <alignment horizontal="center"/>
    </xf>
    <xf numFmtId="0" fontId="1" fillId="14" borderId="0" xfId="0" applyFont="1" applyFill="1" applyAlignment="1">
      <alignment horizontal="center"/>
    </xf>
    <xf numFmtId="0" fontId="1" fillId="12" borderId="0" xfId="0" applyFont="1" applyFill="1" applyBorder="1" applyAlignment="1">
      <alignment horizontal="center"/>
    </xf>
    <xf numFmtId="0" fontId="0" fillId="14" borderId="0" xfId="0" applyFill="1" applyBorder="1" applyAlignment="1">
      <alignment horizontal="center"/>
    </xf>
    <xf numFmtId="0" fontId="1" fillId="8" borderId="4" xfId="0" applyFont="1" applyFill="1" applyBorder="1"/>
    <xf numFmtId="0" fontId="0" fillId="5" borderId="4" xfId="0" applyFill="1" applyBorder="1" applyAlignment="1">
      <alignment horizontal="left"/>
    </xf>
    <xf numFmtId="0" fontId="1" fillId="10" borderId="4" xfId="0" applyFont="1" applyFill="1" applyBorder="1" applyAlignment="1">
      <alignment horizontal="left"/>
    </xf>
    <xf numFmtId="0" fontId="1" fillId="10" borderId="4" xfId="0" applyFont="1" applyFill="1" applyBorder="1"/>
    <xf numFmtId="0" fontId="1" fillId="11" borderId="4" xfId="0" applyFont="1" applyFill="1" applyBorder="1"/>
    <xf numFmtId="0" fontId="0" fillId="0" borderId="8" xfId="0" applyBorder="1" applyAlignment="1">
      <alignment horizontal="center"/>
    </xf>
    <xf numFmtId="0" fontId="0" fillId="0" borderId="4" xfId="0" applyBorder="1" applyAlignment="1">
      <alignment vertical="center" wrapText="1"/>
    </xf>
    <xf numFmtId="3" fontId="0" fillId="0" borderId="4" xfId="0" applyNumberFormat="1" applyBorder="1" applyAlignment="1">
      <alignment vertical="center" wrapText="1"/>
    </xf>
    <xf numFmtId="0" fontId="5" fillId="9" borderId="3" xfId="0" applyFont="1" applyFill="1" applyBorder="1" applyAlignment="1">
      <alignment wrapText="1"/>
    </xf>
    <xf numFmtId="0" fontId="5" fillId="9" borderId="5" xfId="0" applyFont="1" applyFill="1" applyBorder="1" applyAlignment="1">
      <alignment wrapText="1"/>
    </xf>
    <xf numFmtId="18" fontId="0" fillId="0" borderId="3" xfId="0" applyNumberFormat="1" applyBorder="1" applyAlignment="1">
      <alignment vertical="center" wrapText="1"/>
    </xf>
    <xf numFmtId="3" fontId="0" fillId="0" borderId="5" xfId="0" applyNumberFormat="1" applyBorder="1" applyAlignment="1">
      <alignment vertical="center" wrapText="1"/>
    </xf>
    <xf numFmtId="18" fontId="0" fillId="0" borderId="29" xfId="0" applyNumberFormat="1" applyBorder="1" applyAlignment="1">
      <alignment vertical="center" wrapText="1"/>
    </xf>
    <xf numFmtId="0" fontId="0" fillId="0" borderId="30" xfId="0" applyBorder="1" applyAlignment="1">
      <alignment vertical="center" wrapText="1"/>
    </xf>
    <xf numFmtId="3" fontId="0" fillId="0" borderId="30" xfId="0" applyNumberFormat="1" applyBorder="1" applyAlignment="1">
      <alignment vertical="center" wrapText="1"/>
    </xf>
    <xf numFmtId="3" fontId="0" fillId="0" borderId="31" xfId="0" applyNumberFormat="1" applyBorder="1" applyAlignment="1">
      <alignment vertical="center" wrapText="1"/>
    </xf>
    <xf numFmtId="0" fontId="0" fillId="0" borderId="32" xfId="0" applyBorder="1"/>
    <xf numFmtId="0" fontId="0" fillId="0" borderId="33" xfId="0" applyBorder="1"/>
    <xf numFmtId="0" fontId="7" fillId="7" borderId="23" xfId="0" applyFont="1" applyFill="1" applyBorder="1"/>
    <xf numFmtId="0" fontId="7" fillId="7" borderId="34" xfId="0" applyFont="1" applyFill="1" applyBorder="1"/>
    <xf numFmtId="0" fontId="8" fillId="7" borderId="32" xfId="0" applyFont="1" applyFill="1" applyBorder="1" applyAlignment="1">
      <alignment wrapText="1"/>
    </xf>
    <xf numFmtId="0" fontId="7" fillId="13" borderId="35" xfId="0" applyFont="1" applyFill="1" applyBorder="1"/>
    <xf numFmtId="0" fontId="7" fillId="13" borderId="33" xfId="0" applyFont="1" applyFill="1" applyBorder="1"/>
    <xf numFmtId="0" fontId="11" fillId="0" borderId="19" xfId="0" applyFont="1" applyBorder="1" applyAlignment="1">
      <alignment horizont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0" fillId="0" borderId="0" xfId="0" applyBorder="1" applyAlignment="1">
      <alignment horizontal="center" vertical="center"/>
    </xf>
    <xf numFmtId="0" fontId="0" fillId="0" borderId="0" xfId="0" applyFill="1" applyBorder="1"/>
    <xf numFmtId="0" fontId="1" fillId="7" borderId="1" xfId="0" applyFont="1" applyFill="1" applyBorder="1"/>
    <xf numFmtId="0" fontId="1" fillId="7" borderId="2" xfId="0" applyFont="1" applyFill="1" applyBorder="1" applyAlignment="1">
      <alignment horizontal="center"/>
    </xf>
    <xf numFmtId="0" fontId="1" fillId="7" borderId="22" xfId="0" applyFont="1" applyFill="1" applyBorder="1" applyAlignment="1">
      <alignment horizontal="center"/>
    </xf>
    <xf numFmtId="0" fontId="17" fillId="0" borderId="0" xfId="0" applyFont="1"/>
    <xf numFmtId="0" fontId="19" fillId="0" borderId="0" xfId="0" applyFont="1"/>
    <xf numFmtId="0" fontId="17" fillId="17" borderId="0" xfId="0" applyFont="1" applyFill="1" applyAlignment="1">
      <alignment horizontal="center"/>
    </xf>
    <xf numFmtId="0" fontId="17" fillId="0" borderId="0" xfId="0" applyFont="1" applyBorder="1"/>
    <xf numFmtId="0" fontId="21" fillId="22" borderId="0" xfId="0" applyFont="1" applyFill="1" applyAlignment="1">
      <alignment vertical="center"/>
    </xf>
    <xf numFmtId="3" fontId="22" fillId="22" borderId="0" xfId="0" applyNumberFormat="1" applyFont="1" applyFill="1" applyAlignment="1">
      <alignment horizontal="center" vertical="center"/>
    </xf>
    <xf numFmtId="0" fontId="17" fillId="0" borderId="10" xfId="0" applyFont="1" applyBorder="1"/>
    <xf numFmtId="0" fontId="17" fillId="0" borderId="11" xfId="0" applyFont="1" applyBorder="1"/>
    <xf numFmtId="0" fontId="17" fillId="0" borderId="7" xfId="0" applyFont="1" applyBorder="1"/>
    <xf numFmtId="0" fontId="17" fillId="0" borderId="8" xfId="0" applyFont="1" applyBorder="1"/>
    <xf numFmtId="0" fontId="17" fillId="0" borderId="9" xfId="0" applyFont="1" applyBorder="1"/>
    <xf numFmtId="0" fontId="26" fillId="0" borderId="10" xfId="0" applyFont="1" applyBorder="1"/>
    <xf numFmtId="0" fontId="26" fillId="0" borderId="0" xfId="0" applyFont="1" applyBorder="1"/>
    <xf numFmtId="0" fontId="26" fillId="0" borderId="11" xfId="0" applyFont="1" applyBorder="1"/>
    <xf numFmtId="0" fontId="26" fillId="0" borderId="19" xfId="0" applyFont="1" applyBorder="1"/>
    <xf numFmtId="0" fontId="26" fillId="0" borderId="20" xfId="0" applyFont="1" applyBorder="1"/>
    <xf numFmtId="0" fontId="26" fillId="0" borderId="21" xfId="0" applyFont="1" applyBorder="1"/>
    <xf numFmtId="0" fontId="1" fillId="5" borderId="20" xfId="0" applyFont="1" applyFill="1" applyBorder="1" applyAlignment="1"/>
    <xf numFmtId="0" fontId="1" fillId="14" borderId="0" xfId="0" applyFont="1" applyFill="1" applyBorder="1" applyAlignment="1">
      <alignment horizontal="center"/>
    </xf>
    <xf numFmtId="0" fontId="7" fillId="7" borderId="2" xfId="0" applyFont="1" applyFill="1" applyBorder="1"/>
    <xf numFmtId="0" fontId="0" fillId="0" borderId="3" xfId="0" applyFill="1" applyBorder="1"/>
    <xf numFmtId="0" fontId="0" fillId="0" borderId="29" xfId="0" applyFill="1" applyBorder="1"/>
    <xf numFmtId="2" fontId="0" fillId="0" borderId="4" xfId="0" applyNumberFormat="1" applyBorder="1"/>
    <xf numFmtId="2" fontId="0" fillId="0" borderId="30" xfId="0" applyNumberFormat="1" applyBorder="1"/>
    <xf numFmtId="2" fontId="0" fillId="0" borderId="0" xfId="0" applyNumberFormat="1"/>
    <xf numFmtId="0" fontId="0" fillId="0" borderId="37" xfId="0" applyBorder="1"/>
    <xf numFmtId="166" fontId="2" fillId="0" borderId="0" xfId="0" applyNumberFormat="1" applyFont="1" applyAlignment="1">
      <alignment horizontal="center" vertical="center"/>
    </xf>
    <xf numFmtId="166" fontId="0" fillId="0" borderId="0" xfId="0" applyNumberFormat="1" applyAlignment="1">
      <alignment horizontal="right"/>
    </xf>
    <xf numFmtId="166" fontId="0" fillId="0" borderId="0" xfId="0" applyNumberFormat="1"/>
    <xf numFmtId="0" fontId="7" fillId="7" borderId="13" xfId="0" applyFont="1" applyFill="1" applyBorder="1"/>
    <xf numFmtId="0" fontId="0" fillId="0" borderId="38" xfId="0" applyBorder="1"/>
    <xf numFmtId="0" fontId="0" fillId="0" borderId="39" xfId="0" applyBorder="1"/>
    <xf numFmtId="0" fontId="28" fillId="0" borderId="13" xfId="0" applyFont="1" applyBorder="1" applyAlignment="1"/>
    <xf numFmtId="0" fontId="28" fillId="0" borderId="15" xfId="0" applyFont="1" applyBorder="1" applyAlignment="1"/>
    <xf numFmtId="0" fontId="8" fillId="7" borderId="4" xfId="0" applyFont="1" applyFill="1" applyBorder="1"/>
    <xf numFmtId="0" fontId="4" fillId="4" borderId="13" xfId="0" applyFont="1" applyFill="1" applyBorder="1" applyAlignment="1">
      <alignment horizontal="center"/>
    </xf>
    <xf numFmtId="0" fontId="4" fillId="4" borderId="14" xfId="0" applyFont="1" applyFill="1" applyBorder="1" applyAlignment="1">
      <alignment horizontal="center"/>
    </xf>
    <xf numFmtId="0" fontId="4" fillId="4" borderId="15" xfId="0" applyFont="1" applyFill="1" applyBorder="1" applyAlignment="1">
      <alignment horizontal="center"/>
    </xf>
    <xf numFmtId="0" fontId="1" fillId="12" borderId="0" xfId="0" applyFont="1" applyFill="1" applyBorder="1" applyAlignment="1">
      <alignment horizontal="center"/>
    </xf>
    <xf numFmtId="0" fontId="5" fillId="7" borderId="1" xfId="0" applyFont="1" applyFill="1" applyBorder="1" applyAlignment="1">
      <alignment horizontal="center"/>
    </xf>
    <xf numFmtId="0" fontId="6" fillId="7" borderId="2" xfId="0" applyFont="1" applyFill="1" applyBorder="1" applyAlignment="1">
      <alignment horizontal="center"/>
    </xf>
    <xf numFmtId="0" fontId="6" fillId="7" borderId="22" xfId="0" applyFont="1" applyFill="1" applyBorder="1" applyAlignment="1">
      <alignment horizontal="center"/>
    </xf>
    <xf numFmtId="0" fontId="28" fillId="0" borderId="13" xfId="0" applyFont="1" applyBorder="1" applyAlignment="1">
      <alignment horizontal="left"/>
    </xf>
    <xf numFmtId="0" fontId="28" fillId="0" borderId="15" xfId="0" applyFont="1" applyBorder="1" applyAlignment="1">
      <alignment horizontal="left"/>
    </xf>
    <xf numFmtId="0" fontId="25" fillId="7" borderId="4" xfId="0" applyFont="1" applyFill="1" applyBorder="1" applyAlignment="1">
      <alignment horizontal="center"/>
    </xf>
    <xf numFmtId="0" fontId="1" fillId="5" borderId="20" xfId="0" applyFont="1" applyFill="1" applyBorder="1" applyAlignment="1">
      <alignment horizontal="center"/>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5" fillId="3" borderId="13" xfId="0" applyFont="1" applyFill="1" applyBorder="1" applyAlignment="1">
      <alignment horizontal="center"/>
    </xf>
    <xf numFmtId="0" fontId="15" fillId="3" borderId="14" xfId="0" applyFont="1" applyFill="1" applyBorder="1" applyAlignment="1">
      <alignment horizontal="center"/>
    </xf>
    <xf numFmtId="0" fontId="15" fillId="3" borderId="15" xfId="0" applyFont="1" applyFill="1" applyBorder="1" applyAlignment="1">
      <alignment horizontal="center"/>
    </xf>
    <xf numFmtId="0" fontId="24" fillId="7" borderId="7" xfId="0" applyFont="1" applyFill="1" applyBorder="1" applyAlignment="1">
      <alignment horizontal="center"/>
    </xf>
    <xf numFmtId="0" fontId="24" fillId="7" borderId="8" xfId="0" applyFont="1" applyFill="1" applyBorder="1" applyAlignment="1">
      <alignment horizontal="center"/>
    </xf>
    <xf numFmtId="0" fontId="24" fillId="7" borderId="9" xfId="0" applyFont="1" applyFill="1" applyBorder="1" applyAlignment="1">
      <alignment horizontal="center"/>
    </xf>
    <xf numFmtId="0" fontId="25" fillId="7" borderId="13" xfId="0" applyFont="1" applyFill="1" applyBorder="1" applyAlignment="1">
      <alignment horizontal="center" vertical="center"/>
    </xf>
    <xf numFmtId="0" fontId="25" fillId="7" borderId="14" xfId="0" applyFont="1" applyFill="1" applyBorder="1" applyAlignment="1">
      <alignment horizontal="center" vertical="center"/>
    </xf>
    <xf numFmtId="0" fontId="25" fillId="7" borderId="15" xfId="0" applyFont="1" applyFill="1" applyBorder="1" applyAlignment="1">
      <alignment horizontal="center" vertical="center"/>
    </xf>
    <xf numFmtId="0" fontId="1" fillId="14" borderId="0" xfId="0" applyFont="1" applyFill="1" applyBorder="1" applyAlignment="1">
      <alignment horizontal="center"/>
    </xf>
    <xf numFmtId="0" fontId="11" fillId="0" borderId="19" xfId="0" applyFont="1" applyBorder="1" applyAlignment="1">
      <alignment horizontal="center" wrapText="1"/>
    </xf>
    <xf numFmtId="0" fontId="11" fillId="0" borderId="20" xfId="0" applyFont="1" applyBorder="1" applyAlignment="1">
      <alignment horizontal="center" wrapText="1"/>
    </xf>
    <xf numFmtId="0" fontId="11" fillId="0" borderId="21" xfId="0" applyFont="1" applyBorder="1" applyAlignment="1">
      <alignment horizontal="center" wrapText="1"/>
    </xf>
    <xf numFmtId="0" fontId="3" fillId="2" borderId="8" xfId="0" applyFont="1" applyFill="1" applyBorder="1" applyAlignment="1">
      <alignment horizontal="center" vertical="center"/>
    </xf>
    <xf numFmtId="0" fontId="10" fillId="0" borderId="13" xfId="0" applyFont="1" applyBorder="1" applyAlignment="1">
      <alignment horizontal="center"/>
    </xf>
    <xf numFmtId="0" fontId="10" fillId="0" borderId="15" xfId="0" applyFont="1" applyBorder="1" applyAlignment="1">
      <alignment horizontal="center"/>
    </xf>
    <xf numFmtId="0" fontId="14" fillId="3" borderId="13" xfId="0" applyFont="1" applyFill="1" applyBorder="1" applyAlignment="1">
      <alignment horizontal="left"/>
    </xf>
    <xf numFmtId="0" fontId="14" fillId="3" borderId="15" xfId="0" applyFont="1" applyFill="1" applyBorder="1" applyAlignment="1">
      <alignment horizontal="left"/>
    </xf>
    <xf numFmtId="0" fontId="9" fillId="0" borderId="13" xfId="0" applyFont="1" applyBorder="1" applyAlignment="1">
      <alignment horizontal="center"/>
    </xf>
    <xf numFmtId="0" fontId="9" fillId="0" borderId="15" xfId="0" applyFont="1" applyBorder="1" applyAlignment="1">
      <alignment horizontal="center"/>
    </xf>
    <xf numFmtId="0" fontId="9" fillId="0" borderId="14" xfId="0" applyFont="1" applyBorder="1" applyAlignment="1">
      <alignment horizontal="center"/>
    </xf>
    <xf numFmtId="0" fontId="3" fillId="2" borderId="0" xfId="0" applyFont="1" applyFill="1" applyAlignment="1">
      <alignment vertical="center"/>
    </xf>
    <xf numFmtId="0" fontId="0" fillId="0" borderId="0" xfId="0"/>
    <xf numFmtId="0" fontId="1" fillId="0" borderId="0" xfId="0" applyFont="1" applyAlignment="1">
      <alignment horizontal="center"/>
    </xf>
    <xf numFmtId="3" fontId="22" fillId="21" borderId="10" xfId="0" applyNumberFormat="1" applyFont="1" applyFill="1" applyBorder="1" applyAlignment="1">
      <alignment horizontal="center" vertical="center"/>
    </xf>
    <xf numFmtId="3" fontId="22" fillId="21" borderId="0" xfId="0" applyNumberFormat="1" applyFont="1" applyFill="1" applyBorder="1" applyAlignment="1">
      <alignment horizontal="center" vertical="center"/>
    </xf>
    <xf numFmtId="3" fontId="22" fillId="21" borderId="11" xfId="0" applyNumberFormat="1" applyFont="1" applyFill="1" applyBorder="1" applyAlignment="1">
      <alignment horizontal="center" vertical="center"/>
    </xf>
    <xf numFmtId="3" fontId="22" fillId="21" borderId="19" xfId="0" applyNumberFormat="1" applyFont="1" applyFill="1" applyBorder="1" applyAlignment="1">
      <alignment horizontal="center" vertical="center"/>
    </xf>
    <xf numFmtId="3" fontId="22" fillId="21" borderId="20" xfId="0" applyNumberFormat="1" applyFont="1" applyFill="1" applyBorder="1" applyAlignment="1">
      <alignment horizontal="center" vertical="center"/>
    </xf>
    <xf numFmtId="3" fontId="22" fillId="21" borderId="21" xfId="0" applyNumberFormat="1" applyFont="1" applyFill="1" applyBorder="1" applyAlignment="1">
      <alignment horizontal="center" vertical="center"/>
    </xf>
    <xf numFmtId="0" fontId="27" fillId="23" borderId="0" xfId="0" applyFont="1" applyFill="1" applyAlignment="1">
      <alignment vertical="center" wrapText="1"/>
    </xf>
    <xf numFmtId="0" fontId="25" fillId="7" borderId="36" xfId="0" applyFont="1" applyFill="1" applyBorder="1" applyAlignment="1">
      <alignment horizontal="center"/>
    </xf>
    <xf numFmtId="0" fontId="25" fillId="7" borderId="0" xfId="0" applyFont="1" applyFill="1" applyBorder="1" applyAlignment="1">
      <alignment horizontal="center"/>
    </xf>
    <xf numFmtId="0" fontId="25" fillId="7" borderId="11" xfId="0" applyFont="1" applyFill="1" applyBorder="1" applyAlignment="1">
      <alignment horizontal="center"/>
    </xf>
    <xf numFmtId="0" fontId="18" fillId="15" borderId="0" xfId="0" applyFont="1" applyFill="1"/>
    <xf numFmtId="165" fontId="22" fillId="21" borderId="10" xfId="0" applyNumberFormat="1" applyFont="1" applyFill="1" applyBorder="1" applyAlignment="1">
      <alignment horizontal="center" vertical="center"/>
    </xf>
    <xf numFmtId="165" fontId="22" fillId="21" borderId="0" xfId="0" applyNumberFormat="1" applyFont="1" applyFill="1" applyBorder="1" applyAlignment="1">
      <alignment horizontal="center" vertical="center"/>
    </xf>
    <xf numFmtId="165" fontId="22" fillId="21" borderId="11" xfId="0" applyNumberFormat="1" applyFont="1" applyFill="1" applyBorder="1" applyAlignment="1">
      <alignment horizontal="center" vertical="center"/>
    </xf>
    <xf numFmtId="165" fontId="22" fillId="21" borderId="19" xfId="0" applyNumberFormat="1" applyFont="1" applyFill="1" applyBorder="1" applyAlignment="1">
      <alignment horizontal="center" vertical="center"/>
    </xf>
    <xf numFmtId="165" fontId="22" fillId="21" borderId="20" xfId="0" applyNumberFormat="1" applyFont="1" applyFill="1" applyBorder="1" applyAlignment="1">
      <alignment horizontal="center" vertical="center"/>
    </xf>
    <xf numFmtId="165" fontId="22" fillId="21" borderId="21" xfId="0" applyNumberFormat="1" applyFont="1" applyFill="1" applyBorder="1" applyAlignment="1">
      <alignment horizontal="center" vertical="center"/>
    </xf>
    <xf numFmtId="0" fontId="16" fillId="15" borderId="0" xfId="0" applyFont="1" applyFill="1" applyAlignment="1">
      <alignment vertical="center"/>
    </xf>
    <xf numFmtId="0" fontId="23" fillId="0" borderId="0" xfId="0" applyFont="1" applyAlignment="1">
      <alignment horizontal="center"/>
    </xf>
    <xf numFmtId="0" fontId="18" fillId="16" borderId="0" xfId="0" applyFont="1" applyFill="1"/>
    <xf numFmtId="0" fontId="20" fillId="0" borderId="0" xfId="0" applyFont="1"/>
    <xf numFmtId="0" fontId="21" fillId="18" borderId="7" xfId="0" applyFont="1" applyFill="1" applyBorder="1" applyAlignment="1">
      <alignment horizontal="center" vertical="center"/>
    </xf>
    <xf numFmtId="0" fontId="21" fillId="18" borderId="8" xfId="0" applyFont="1" applyFill="1" applyBorder="1" applyAlignment="1">
      <alignment horizontal="center" vertical="center"/>
    </xf>
    <xf numFmtId="0" fontId="21" fillId="18" borderId="9" xfId="0" applyFont="1" applyFill="1" applyBorder="1" applyAlignment="1">
      <alignment horizontal="center" vertical="center"/>
    </xf>
    <xf numFmtId="0" fontId="21" fillId="19" borderId="7" xfId="0" applyFont="1" applyFill="1" applyBorder="1" applyAlignment="1">
      <alignment horizontal="center" vertical="center"/>
    </xf>
    <xf numFmtId="0" fontId="21" fillId="19" borderId="8" xfId="0" applyFont="1" applyFill="1" applyBorder="1" applyAlignment="1">
      <alignment horizontal="center" vertical="center"/>
    </xf>
    <xf numFmtId="0" fontId="21" fillId="19" borderId="9" xfId="0" applyFont="1" applyFill="1" applyBorder="1" applyAlignment="1">
      <alignment horizontal="center" vertical="center"/>
    </xf>
    <xf numFmtId="0" fontId="21" fillId="20" borderId="7" xfId="0" applyFont="1" applyFill="1" applyBorder="1" applyAlignment="1">
      <alignment horizontal="center" vertical="center"/>
    </xf>
    <xf numFmtId="0" fontId="21" fillId="20" borderId="8" xfId="0" applyFont="1" applyFill="1" applyBorder="1" applyAlignment="1">
      <alignment horizontal="center" vertical="center"/>
    </xf>
    <xf numFmtId="0" fontId="21" fillId="20" borderId="9" xfId="0" applyFont="1" applyFill="1" applyBorder="1" applyAlignment="1">
      <alignment horizontal="center" vertical="center"/>
    </xf>
    <xf numFmtId="0" fontId="21" fillId="16" borderId="7" xfId="0" applyFont="1" applyFill="1" applyBorder="1" applyAlignment="1">
      <alignment horizontal="center" vertical="center"/>
    </xf>
    <xf numFmtId="0" fontId="21" fillId="16" borderId="8" xfId="0" applyFont="1" applyFill="1" applyBorder="1" applyAlignment="1">
      <alignment horizontal="center" vertical="center"/>
    </xf>
    <xf numFmtId="0" fontId="21" fillId="16" borderId="9" xfId="0" applyFont="1" applyFill="1" applyBorder="1" applyAlignment="1">
      <alignment horizontal="center" vertical="center"/>
    </xf>
  </cellXfs>
  <cellStyles count="1">
    <cellStyle name="Normal" xfId="0" builtinId="0"/>
  </cellStyles>
  <dxfs count="1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strike val="0"/>
        <condense val="0"/>
        <extend val="0"/>
        <outline val="0"/>
        <shadow val="0"/>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horizontal/>
      </border>
    </dxf>
    <dxf>
      <font>
        <b/>
        <strike val="0"/>
        <condense val="0"/>
        <extend val="0"/>
        <outline val="0"/>
        <shadow val="0"/>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strike val="0"/>
        <condense val="0"/>
        <extend val="0"/>
        <outline val="0"/>
        <shadow val="0"/>
        <vertAlign val="baseline"/>
        <sz val="11"/>
        <color theme="1"/>
        <name val="Calibri"/>
        <family val="2"/>
        <scheme val="minor"/>
      </font>
    </dxf>
    <dxf>
      <border outline="0">
        <bottom style="thin">
          <color indexed="64"/>
        </bottom>
      </border>
    </dxf>
    <dxf>
      <font>
        <b/>
        <strike val="0"/>
        <condense val="0"/>
        <extend val="0"/>
        <outline val="0"/>
        <shadow val="0"/>
        <vertAlign val="baseline"/>
        <sz val="11"/>
        <color theme="1"/>
        <name val="Calibri"/>
        <family val="2"/>
        <scheme val="minor"/>
      </font>
      <fill>
        <patternFill patternType="solid">
          <fgColor indexed="64"/>
          <bgColor theme="4" tint="-0.249977111117893"/>
        </patternFill>
      </fill>
      <border outline="0">
        <left style="thin">
          <color indexed="64"/>
        </left>
        <right style="thin">
          <color indexed="64"/>
        </right>
        <top/>
        <bottom/>
      </border>
    </dxf>
    <dxf>
      <numFmt numFmtId="2" formatCode="0.00"/>
    </dxf>
    <dxf>
      <numFmt numFmtId="2" formatCode="0.00"/>
    </dxf>
    <dxf>
      <alignment horizontal="right" vertical="bottom"/>
    </dxf>
    <dxf>
      <alignment horizontal="right" vertical="bottom"/>
    </dxf>
    <dxf>
      <alignment horizontal="right" vertical="bottom"/>
    </dxf>
    <dxf>
      <numFmt numFmtId="166" formatCode="h:mm;@"/>
      <alignment horizontal="right" vertical="bottom"/>
    </dxf>
    <dxf>
      <font>
        <strike val="0"/>
        <condense val="0"/>
        <extend val="0"/>
        <outline val="0"/>
        <shadow val="0"/>
        <vertAlign val="baseline"/>
        <sz val="11"/>
        <color theme="1"/>
        <name val="Calibri"/>
        <family val="2"/>
        <scheme val="minor"/>
      </font>
      <alignment horizontal="center" vertical="bottom"/>
    </dxf>
    <dxf>
      <numFmt numFmtId="19" formatCode="m/d/yyyy"/>
    </dxf>
    <dxf>
      <font>
        <strike val="0"/>
        <condense val="0"/>
        <extend val="0"/>
        <outline val="0"/>
        <shadow val="0"/>
        <vertAlign val="baseline"/>
        <sz val="10"/>
        <color theme="1" tint="4.9989318521683403E-2"/>
        <name val="Calibri"/>
        <family val="2"/>
        <scheme val="minor"/>
      </font>
      <alignment horizontal="center" vertical="center"/>
    </dxf>
    <dxf>
      <numFmt numFmtId="27" formatCode="m/d/yyyy\ h:mm"/>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1.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 vs registered</a:t>
            </a:r>
          </a:p>
        </c:rich>
      </c:tx>
      <c:layout>
        <c:manualLayout>
          <c:xMode val="edge"/>
          <c:yMode val="edge"/>
          <c:x val="0.2232143007442097"/>
          <c:y val="7.95321692360019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1"/>
        <c:ser>
          <c:idx val="0"/>
          <c:order val="0"/>
          <c:tx>
            <c:strRef>
              <c:f>'Bike data '!$U$46</c:f>
              <c:strCache>
                <c:ptCount val="1"/>
                <c:pt idx="0">
                  <c:v>Total rentals</c:v>
                </c:pt>
              </c:strCache>
            </c:strRef>
          </c:tx>
          <c:invertIfNegative val="1"/>
          <c:dPt>
            <c:idx val="0"/>
            <c:invertIfNegative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147-4CDD-8929-C0A0B78DE99A}"/>
              </c:ext>
            </c:extLst>
          </c:dPt>
          <c:dPt>
            <c:idx val="1"/>
            <c:invertIfNegative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147-4CDD-8929-C0A0B78DE99A}"/>
              </c:ext>
            </c:extLst>
          </c:dPt>
          <c:cat>
            <c:strRef>
              <c:f>'Bike data '!$T$47:$T$48</c:f>
              <c:strCache>
                <c:ptCount val="2"/>
                <c:pt idx="0">
                  <c:v>Casual</c:v>
                </c:pt>
                <c:pt idx="1">
                  <c:v>Registered</c:v>
                </c:pt>
              </c:strCache>
            </c:strRef>
          </c:cat>
          <c:val>
            <c:numRef>
              <c:f>'Bike data '!$U$47:$U$48</c:f>
              <c:numCache>
                <c:formatCode>General</c:formatCode>
                <c:ptCount val="2"/>
                <c:pt idx="0">
                  <c:v>4921</c:v>
                </c:pt>
                <c:pt idx="1">
                  <c:v>53383</c:v>
                </c:pt>
              </c:numCache>
            </c:numRef>
          </c:val>
          <c:extLst>
            <c:ext xmlns:c16="http://schemas.microsoft.com/office/drawing/2014/chart" uri="{C3380CC4-5D6E-409C-BE32-E72D297353CC}">
              <c16:uniqueId val="{00000004-4147-4CDD-8929-C0A0B78DE99A}"/>
            </c:ext>
          </c:extLst>
        </c:ser>
        <c:dLbls>
          <c:showLegendKey val="0"/>
          <c:showVal val="0"/>
          <c:showCatName val="0"/>
          <c:showSerName val="0"/>
          <c:showPercent val="0"/>
          <c:showBubbleSize val="0"/>
        </c:dLbls>
        <c:gapWidth val="115"/>
        <c:overlap val="-20"/>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Rentals</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demand by weather</a:t>
            </a:r>
          </a:p>
        </c:rich>
      </c:tx>
      <c:layout>
        <c:manualLayout>
          <c:xMode val="edge"/>
          <c:yMode val="edge"/>
          <c:x val="0.12213001383125863"/>
          <c:y val="5.1430689864032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[1]VISUALISATION!$C$8</c:f>
              <c:strCache>
                <c:ptCount val="1"/>
                <c:pt idx="0">
                  <c:v>Sum of REGISTERED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A1-4D72-B870-6E7138AA78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A1-4D72-B870-6E7138AA78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A1-4D72-B870-6E7138AA78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CA1-4D72-B870-6E7138AA78BF}"/>
              </c:ext>
            </c:extLst>
          </c:dPt>
          <c:dLbls>
            <c:dLbl>
              <c:idx val="0"/>
              <c:layout>
                <c:manualLayout>
                  <c:x val="-0.16597510373443983"/>
                  <c:y val="-0.1011433597185576"/>
                </c:manualLayout>
              </c:layout>
              <c:tx>
                <c:rich>
                  <a:bodyPr/>
                  <a:lstStyle/>
                  <a:p>
                    <a:fld id="{B88AC814-03AC-4A45-9A1C-B1D60DA31BAD}" type="CATEGORYNAME">
                      <a:rPr lang="en-US">
                        <a:solidFill>
                          <a:schemeClr val="bg1"/>
                        </a:solidFill>
                      </a:rPr>
                      <a:pPr/>
                      <a:t>[CATEGORY NAME]</a:t>
                    </a:fld>
                    <a:r>
                      <a:rPr lang="en-US" baseline="0">
                        <a:solidFill>
                          <a:schemeClr val="bg1"/>
                        </a:solidFill>
                      </a:rPr>
                      <a:t>
</a:t>
                    </a:r>
                    <a:fld id="{82C5AA76-E029-4EC3-BDB4-E9FFA5750918}"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A1-4D72-B870-6E7138AA78BF}"/>
                </c:ext>
              </c:extLst>
            </c:dLbl>
            <c:dLbl>
              <c:idx val="1"/>
              <c:layout>
                <c:manualLayout>
                  <c:x val="-1.0373443983402505E-2"/>
                  <c:y val="-6.15655233069481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A1-4D72-B870-6E7138AA78BF}"/>
                </c:ext>
              </c:extLst>
            </c:dLbl>
            <c:dLbl>
              <c:idx val="2"/>
              <c:layout>
                <c:manualLayout>
                  <c:x val="0.12793914246196403"/>
                  <c:y val="0.153913808267370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CA1-4D72-B870-6E7138AA78BF}"/>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CA1-4D72-B870-6E7138AA78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[1]VISUALISATION!$B$9:$B$12</c:f>
              <c:strCache>
                <c:ptCount val="4"/>
                <c:pt idx="0">
                  <c:v>Bright sunny</c:v>
                </c:pt>
                <c:pt idx="1">
                  <c:v>Heavy rain</c:v>
                </c:pt>
                <c:pt idx="2">
                  <c:v>High thunderstrom</c:v>
                </c:pt>
                <c:pt idx="3">
                  <c:v>Little cloudy</c:v>
                </c:pt>
              </c:strCache>
            </c:strRef>
          </c:cat>
          <c:val>
            <c:numRef>
              <c:f>[1]VISUALISATION!$C$9:$C$12</c:f>
              <c:numCache>
                <c:formatCode>General</c:formatCode>
                <c:ptCount val="4"/>
                <c:pt idx="0">
                  <c:v>34162</c:v>
                </c:pt>
                <c:pt idx="1">
                  <c:v>2618</c:v>
                </c:pt>
                <c:pt idx="2">
                  <c:v>35</c:v>
                </c:pt>
                <c:pt idx="3">
                  <c:v>16568</c:v>
                </c:pt>
              </c:numCache>
            </c:numRef>
          </c:val>
          <c:extLst>
            <c:ext xmlns:c16="http://schemas.microsoft.com/office/drawing/2014/chart" uri="{C3380CC4-5D6E-409C-BE32-E72D297353CC}">
              <c16:uniqueId val="{00000008-6CA1-4D72-B870-6E7138AA78BF}"/>
            </c:ext>
          </c:extLst>
        </c:ser>
        <c:ser>
          <c:idx val="1"/>
          <c:order val="1"/>
          <c:tx>
            <c:strRef>
              <c:f>[1]VISUALISATION!$D$8</c:f>
              <c:strCache>
                <c:ptCount val="1"/>
                <c:pt idx="0">
                  <c:v>Sum of CASUAL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CA1-4D72-B870-6E7138AA78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CA1-4D72-B870-6E7138AA78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CA1-4D72-B870-6E7138AA78B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CA1-4D72-B870-6E7138AA78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[1]VISUALISATION!$B$9:$B$12</c:f>
              <c:strCache>
                <c:ptCount val="4"/>
                <c:pt idx="0">
                  <c:v>Bright sunny</c:v>
                </c:pt>
                <c:pt idx="1">
                  <c:v>Heavy rain</c:v>
                </c:pt>
                <c:pt idx="2">
                  <c:v>High thunderstrom</c:v>
                </c:pt>
                <c:pt idx="3">
                  <c:v>Little cloudy</c:v>
                </c:pt>
              </c:strCache>
            </c:strRef>
          </c:cat>
          <c:val>
            <c:numRef>
              <c:f>[1]VISUALISATION!$D$9:$D$12</c:f>
              <c:numCache>
                <c:formatCode>General</c:formatCode>
                <c:ptCount val="4"/>
                <c:pt idx="0">
                  <c:v>3211</c:v>
                </c:pt>
                <c:pt idx="1">
                  <c:v>171</c:v>
                </c:pt>
                <c:pt idx="2">
                  <c:v>1</c:v>
                </c:pt>
                <c:pt idx="3">
                  <c:v>1538</c:v>
                </c:pt>
              </c:numCache>
            </c:numRef>
          </c:val>
          <c:extLst>
            <c:ext xmlns:c16="http://schemas.microsoft.com/office/drawing/2014/chart" uri="{C3380CC4-5D6E-409C-BE32-E72D297353CC}">
              <c16:uniqueId val="{00000011-6CA1-4D72-B870-6E7138AA78B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January vs. February: Daily Comparison </a:t>
            </a:r>
          </a:p>
        </c:rich>
      </c:tx>
      <c:layout>
        <c:manualLayout>
          <c:xMode val="edge"/>
          <c:yMode val="edge"/>
          <c:x val="0.22635797808378977"/>
          <c:y val="6.6331347364849358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8025371828521428E-2"/>
          <c:y val="0.30076443569553812"/>
          <c:w val="0.87753018372703417"/>
          <c:h val="0.61498432487605714"/>
        </c:manualLayout>
      </c:layout>
      <c:barChart>
        <c:barDir val="col"/>
        <c:grouping val="clustered"/>
        <c:varyColors val="0"/>
        <c:ser>
          <c:idx val="0"/>
          <c:order val="0"/>
          <c:tx>
            <c:strRef>
              <c:f>[1]VISUALISATION!$I$11</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[1]VISUALISATION!$H$12:$H$18</c:f>
              <c:strCache>
                <c:ptCount val="7"/>
                <c:pt idx="0">
                  <c:v>Sunday</c:v>
                </c:pt>
                <c:pt idx="1">
                  <c:v>Monday</c:v>
                </c:pt>
                <c:pt idx="2">
                  <c:v>Tuesday</c:v>
                </c:pt>
                <c:pt idx="3">
                  <c:v>Wednesday</c:v>
                </c:pt>
                <c:pt idx="4">
                  <c:v>Friday</c:v>
                </c:pt>
                <c:pt idx="5">
                  <c:v>Saturday</c:v>
                </c:pt>
                <c:pt idx="6">
                  <c:v>Thusday</c:v>
                </c:pt>
              </c:strCache>
            </c:strRef>
          </c:cat>
          <c:val>
            <c:numRef>
              <c:f>[1]VISUALISATION!$I$12:$I$18</c:f>
              <c:numCache>
                <c:formatCode>General</c:formatCode>
                <c:ptCount val="7"/>
                <c:pt idx="0">
                  <c:v>4909</c:v>
                </c:pt>
                <c:pt idx="1">
                  <c:v>6587</c:v>
                </c:pt>
                <c:pt idx="2">
                  <c:v>5493</c:v>
                </c:pt>
                <c:pt idx="3">
                  <c:v>4918</c:v>
                </c:pt>
                <c:pt idx="4">
                  <c:v>5641</c:v>
                </c:pt>
                <c:pt idx="5">
                  <c:v>5231</c:v>
                </c:pt>
                <c:pt idx="6">
                  <c:v>5370</c:v>
                </c:pt>
              </c:numCache>
            </c:numRef>
          </c:val>
          <c:extLst>
            <c:ext xmlns:c16="http://schemas.microsoft.com/office/drawing/2014/chart" uri="{C3380CC4-5D6E-409C-BE32-E72D297353CC}">
              <c16:uniqueId val="{00000000-FFFE-4160-ADBA-F24E817ACF6F}"/>
            </c:ext>
          </c:extLst>
        </c:ser>
        <c:ser>
          <c:idx val="1"/>
          <c:order val="1"/>
          <c:tx>
            <c:strRef>
              <c:f>[1]VISUALISATION!$J$11</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[1]VISUALISATION!$H$12:$H$18</c:f>
              <c:strCache>
                <c:ptCount val="7"/>
                <c:pt idx="0">
                  <c:v>Sunday</c:v>
                </c:pt>
                <c:pt idx="1">
                  <c:v>Monday</c:v>
                </c:pt>
                <c:pt idx="2">
                  <c:v>Tuesday</c:v>
                </c:pt>
                <c:pt idx="3">
                  <c:v>Wednesday</c:v>
                </c:pt>
                <c:pt idx="4">
                  <c:v>Friday</c:v>
                </c:pt>
                <c:pt idx="5">
                  <c:v>Saturday</c:v>
                </c:pt>
                <c:pt idx="6">
                  <c:v>Thusday</c:v>
                </c:pt>
              </c:strCache>
            </c:strRef>
          </c:cat>
          <c:val>
            <c:numRef>
              <c:f>[1]VISUALISATION!$J$12:$J$18</c:f>
              <c:numCache>
                <c:formatCode>General</c:formatCode>
                <c:ptCount val="7"/>
                <c:pt idx="0">
                  <c:v>3212</c:v>
                </c:pt>
                <c:pt idx="1">
                  <c:v>1863</c:v>
                </c:pt>
                <c:pt idx="2">
                  <c:v>2890</c:v>
                </c:pt>
                <c:pt idx="3">
                  <c:v>3131</c:v>
                </c:pt>
                <c:pt idx="4">
                  <c:v>3454</c:v>
                </c:pt>
                <c:pt idx="5">
                  <c:v>2517</c:v>
                </c:pt>
                <c:pt idx="6">
                  <c:v>3088</c:v>
                </c:pt>
              </c:numCache>
            </c:numRef>
          </c:val>
          <c:extLst>
            <c:ext xmlns:c16="http://schemas.microsoft.com/office/drawing/2014/chart" uri="{C3380CC4-5D6E-409C-BE32-E72D297353CC}">
              <c16:uniqueId val="{00000001-FFFE-4160-ADBA-F24E817ACF6F}"/>
            </c:ext>
          </c:extLst>
        </c:ser>
        <c:dLbls>
          <c:showLegendKey val="0"/>
          <c:showVal val="0"/>
          <c:showCatName val="0"/>
          <c:showSerName val="0"/>
          <c:showPercent val="0"/>
          <c:showBubbleSize val="0"/>
        </c:dLbls>
        <c:gapWidth val="100"/>
        <c:overlap val="-24"/>
        <c:axId val="915494687"/>
        <c:axId val="1243647599"/>
      </c:barChart>
      <c:catAx>
        <c:axId val="915494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647599"/>
        <c:crosses val="autoZero"/>
        <c:auto val="1"/>
        <c:lblAlgn val="ctr"/>
        <c:lblOffset val="100"/>
        <c:noMultiLvlLbl val="0"/>
      </c:catAx>
      <c:valAx>
        <c:axId val="124364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4946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customer demand by</a:t>
            </a:r>
            <a:r>
              <a:rPr lang="en-IN" sz="1200" baseline="0"/>
              <a:t> holiday performance</a:t>
            </a:r>
            <a:endParaRPr lang="en-IN" sz="12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'Bike data '!$T$75</c:f>
              <c:strCache>
                <c:ptCount val="1"/>
                <c:pt idx="0">
                  <c:v>holiday </c:v>
                </c:pt>
              </c:strCache>
            </c:strRef>
          </c:tx>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'Bike data '!$U$74:$W$74</c:f>
              <c:strCache>
                <c:ptCount val="3"/>
                <c:pt idx="0">
                  <c:v>Sum of CASUAL  CUSTOMER</c:v>
                </c:pt>
                <c:pt idx="1">
                  <c:v>Sum of REGISTERED CUSTOMER</c:v>
                </c:pt>
                <c:pt idx="2">
                  <c:v>Sum of TOTAL</c:v>
                </c:pt>
              </c:strCache>
            </c:strRef>
          </c:cat>
          <c:val>
            <c:numRef>
              <c:f>'Bike data '!$U$75:$W$75</c:f>
              <c:numCache>
                <c:formatCode>General</c:formatCode>
                <c:ptCount val="3"/>
                <c:pt idx="0">
                  <c:v>117</c:v>
                </c:pt>
                <c:pt idx="1">
                  <c:v>883</c:v>
                </c:pt>
                <c:pt idx="2">
                  <c:v>1000</c:v>
                </c:pt>
              </c:numCache>
            </c:numRef>
          </c:val>
          <c:smooth val="0"/>
          <c:extLst>
            <c:ext xmlns:c16="http://schemas.microsoft.com/office/drawing/2014/chart" uri="{C3380CC4-5D6E-409C-BE32-E72D297353CC}">
              <c16:uniqueId val="{00000000-28F9-4E8E-B11D-D76A4F1B2596}"/>
            </c:ext>
          </c:extLst>
        </c:ser>
        <c:ser>
          <c:idx val="1"/>
          <c:order val="1"/>
          <c:tx>
            <c:strRef>
              <c:f>'Bike data '!$T$76</c:f>
              <c:strCache>
                <c:ptCount val="1"/>
                <c:pt idx="0">
                  <c:v>non- holiday</c:v>
                </c:pt>
              </c:strCache>
            </c:strRef>
          </c:tx>
          <c:spPr>
            <a:ln w="34925" cap="rnd">
              <a:solidFill>
                <a:schemeClr val="accent5"/>
              </a:solidFill>
              <a:round/>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'Bike data '!$U$74:$W$74</c:f>
              <c:strCache>
                <c:ptCount val="3"/>
                <c:pt idx="0">
                  <c:v>Sum of CASUAL  CUSTOMER</c:v>
                </c:pt>
                <c:pt idx="1">
                  <c:v>Sum of REGISTERED CUSTOMER</c:v>
                </c:pt>
                <c:pt idx="2">
                  <c:v>Sum of TOTAL</c:v>
                </c:pt>
              </c:strCache>
            </c:strRef>
          </c:cat>
          <c:val>
            <c:numRef>
              <c:f>'Bike data '!$U$76:$W$76</c:f>
              <c:numCache>
                <c:formatCode>General</c:formatCode>
                <c:ptCount val="3"/>
                <c:pt idx="0">
                  <c:v>4804</c:v>
                </c:pt>
                <c:pt idx="1">
                  <c:v>52500</c:v>
                </c:pt>
                <c:pt idx="2">
                  <c:v>57304</c:v>
                </c:pt>
              </c:numCache>
            </c:numRef>
          </c:val>
          <c:smooth val="0"/>
          <c:extLst>
            <c:ext xmlns:c16="http://schemas.microsoft.com/office/drawing/2014/chart" uri="{C3380CC4-5D6E-409C-BE32-E72D297353CC}">
              <c16:uniqueId val="{00000001-28F9-4E8E-B11D-D76A4F1B2596}"/>
            </c:ext>
          </c:extLst>
        </c:ser>
        <c:dLbls>
          <c:showLegendKey val="0"/>
          <c:showVal val="0"/>
          <c:showCatName val="0"/>
          <c:showSerName val="0"/>
          <c:showPercent val="0"/>
          <c:showBubbleSize val="0"/>
        </c:dLbls>
        <c:marker val="1"/>
        <c:smooth val="0"/>
        <c:axId val="1222466591"/>
        <c:axId val="1080760367"/>
      </c:lineChart>
      <c:catAx>
        <c:axId val="1222466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760367"/>
        <c:crosses val="autoZero"/>
        <c:auto val="1"/>
        <c:lblAlgn val="ctr"/>
        <c:lblOffset val="100"/>
        <c:noMultiLvlLbl val="0"/>
      </c:catAx>
      <c:valAx>
        <c:axId val="1080760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46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Casual vs registered</a:t>
            </a:r>
          </a:p>
        </c:rich>
      </c:tx>
      <c:layout>
        <c:manualLayout>
          <c:xMode val="edge"/>
          <c:yMode val="edge"/>
          <c:x val="0.2232143007442097"/>
          <c:y val="7.953216923600192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1"/>
        <c:ser>
          <c:idx val="0"/>
          <c:order val="0"/>
          <c:tx>
            <c:strRef>
              <c:f>'Bike data '!$U$46</c:f>
              <c:strCache>
                <c:ptCount val="1"/>
                <c:pt idx="0">
                  <c:v>Total rentals</c:v>
                </c:pt>
              </c:strCache>
            </c:strRef>
          </c:tx>
          <c:invertIfNegative val="1"/>
          <c:dPt>
            <c:idx val="0"/>
            <c:invertIfNegative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E0E-4222-B0F7-83CFDAE53E2C}"/>
              </c:ext>
            </c:extLst>
          </c:dPt>
          <c:dPt>
            <c:idx val="1"/>
            <c:invertIfNegative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E0E-4222-B0F7-83CFDAE53E2C}"/>
              </c:ext>
            </c:extLst>
          </c:dPt>
          <c:cat>
            <c:strRef>
              <c:f>'Bike data '!$T$47:$T$48</c:f>
              <c:strCache>
                <c:ptCount val="2"/>
                <c:pt idx="0">
                  <c:v>Casual</c:v>
                </c:pt>
                <c:pt idx="1">
                  <c:v>Registered</c:v>
                </c:pt>
              </c:strCache>
            </c:strRef>
          </c:cat>
          <c:val>
            <c:numRef>
              <c:f>'Bike data '!$U$47:$U$48</c:f>
              <c:numCache>
                <c:formatCode>General</c:formatCode>
                <c:ptCount val="2"/>
                <c:pt idx="0">
                  <c:v>4921</c:v>
                </c:pt>
                <c:pt idx="1">
                  <c:v>53383</c:v>
                </c:pt>
              </c:numCache>
            </c:numRef>
          </c:val>
          <c:extLst>
            <c:ext xmlns:c16="http://schemas.microsoft.com/office/drawing/2014/chart" uri="{C3380CC4-5D6E-409C-BE32-E72D297353CC}">
              <c16:uniqueId val="{00000004-4E0E-4222-B0F7-83CFDAE53E2C}"/>
            </c:ext>
          </c:extLst>
        </c:ser>
        <c:dLbls>
          <c:showLegendKey val="0"/>
          <c:showVal val="0"/>
          <c:showCatName val="0"/>
          <c:showSerName val="0"/>
          <c:showPercent val="0"/>
          <c:showBubbleSize val="0"/>
        </c:dLbls>
        <c:gapWidth val="115"/>
        <c:overlap val="-20"/>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Rentals</a:t>
                </a:r>
              </a:p>
            </c:rich>
          </c:tx>
          <c:overlay val="1"/>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demand by weather</a:t>
            </a:r>
          </a:p>
        </c:rich>
      </c:tx>
      <c:layout>
        <c:manualLayout>
          <c:xMode val="edge"/>
          <c:yMode val="edge"/>
          <c:x val="0.12213001383125863"/>
          <c:y val="5.1430689864032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[1]VISUALISATION!$C$8</c:f>
              <c:strCache>
                <c:ptCount val="1"/>
                <c:pt idx="0">
                  <c:v>Sum of REGISTERED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39F-46FC-A2EE-746EBD36EE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9F-46FC-A2EE-746EBD36EE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39F-46FC-A2EE-746EBD36EE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39F-46FC-A2EE-746EBD36EEDB}"/>
              </c:ext>
            </c:extLst>
          </c:dPt>
          <c:dLbls>
            <c:dLbl>
              <c:idx val="0"/>
              <c:layout>
                <c:manualLayout>
                  <c:x val="-0.16597510373443983"/>
                  <c:y val="-0.1011433597185576"/>
                </c:manualLayout>
              </c:layout>
              <c:tx>
                <c:rich>
                  <a:bodyPr/>
                  <a:lstStyle/>
                  <a:p>
                    <a:fld id="{B88AC814-03AC-4A45-9A1C-B1D60DA31BAD}" type="CATEGORYNAME">
                      <a:rPr lang="en-US">
                        <a:solidFill>
                          <a:schemeClr val="bg1"/>
                        </a:solidFill>
                      </a:rPr>
                      <a:pPr/>
                      <a:t>[CATEGORY NAME]</a:t>
                    </a:fld>
                    <a:r>
                      <a:rPr lang="en-US" baseline="0">
                        <a:solidFill>
                          <a:schemeClr val="bg1"/>
                        </a:solidFill>
                      </a:rPr>
                      <a:t>
</a:t>
                    </a:r>
                    <a:fld id="{82C5AA76-E029-4EC3-BDB4-E9FFA5750918}" type="PERCENTAGE">
                      <a:rPr lang="en-US" baseline="0">
                        <a:solidFill>
                          <a:schemeClr val="bg1"/>
                        </a:solidFill>
                      </a:rPr>
                      <a:pPr/>
                      <a:t>[PERCENTAGE]</a:t>
                    </a:fld>
                    <a:endParaRPr lang="en-US"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9F-46FC-A2EE-746EBD36EEDB}"/>
                </c:ext>
              </c:extLst>
            </c:dLbl>
            <c:dLbl>
              <c:idx val="1"/>
              <c:layout>
                <c:manualLayout>
                  <c:x val="-1.0373443983402505E-2"/>
                  <c:y val="-6.15655233069481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39F-46FC-A2EE-746EBD36EEDB}"/>
                </c:ext>
              </c:extLst>
            </c:dLbl>
            <c:dLbl>
              <c:idx val="2"/>
              <c:layout>
                <c:manualLayout>
                  <c:x val="0.12793914246196403"/>
                  <c:y val="0.1539138082673702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39F-46FC-A2EE-746EBD36EEDB}"/>
                </c:ext>
              </c:extLst>
            </c:dLbl>
            <c:dLbl>
              <c:idx val="3"/>
              <c:dLblPos val="out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39F-46FC-A2EE-746EBD36EED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[1]VISUALISATION!$B$9:$B$12</c:f>
              <c:strCache>
                <c:ptCount val="4"/>
                <c:pt idx="0">
                  <c:v>Bright sunny</c:v>
                </c:pt>
                <c:pt idx="1">
                  <c:v>Heavy rain</c:v>
                </c:pt>
                <c:pt idx="2">
                  <c:v>High thunderstrom</c:v>
                </c:pt>
                <c:pt idx="3">
                  <c:v>Little cloudy</c:v>
                </c:pt>
              </c:strCache>
            </c:strRef>
          </c:cat>
          <c:val>
            <c:numRef>
              <c:f>[1]VISUALISATION!$C$9:$C$12</c:f>
              <c:numCache>
                <c:formatCode>General</c:formatCode>
                <c:ptCount val="4"/>
                <c:pt idx="0">
                  <c:v>34162</c:v>
                </c:pt>
                <c:pt idx="1">
                  <c:v>2618</c:v>
                </c:pt>
                <c:pt idx="2">
                  <c:v>35</c:v>
                </c:pt>
                <c:pt idx="3">
                  <c:v>16568</c:v>
                </c:pt>
              </c:numCache>
            </c:numRef>
          </c:val>
          <c:extLst>
            <c:ext xmlns:c16="http://schemas.microsoft.com/office/drawing/2014/chart" uri="{C3380CC4-5D6E-409C-BE32-E72D297353CC}">
              <c16:uniqueId val="{00000008-039F-46FC-A2EE-746EBD36EEDB}"/>
            </c:ext>
          </c:extLst>
        </c:ser>
        <c:ser>
          <c:idx val="1"/>
          <c:order val="1"/>
          <c:tx>
            <c:strRef>
              <c:f>[1]VISUALISATION!$D$8</c:f>
              <c:strCache>
                <c:ptCount val="1"/>
                <c:pt idx="0">
                  <c:v>Sum of CASUAL  CUSTOMER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039F-46FC-A2EE-746EBD36EED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039F-46FC-A2EE-746EBD36EED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039F-46FC-A2EE-746EBD36EED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039F-46FC-A2EE-746EBD36EE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[1]VISUALISATION!$B$9:$B$12</c:f>
              <c:strCache>
                <c:ptCount val="4"/>
                <c:pt idx="0">
                  <c:v>Bright sunny</c:v>
                </c:pt>
                <c:pt idx="1">
                  <c:v>Heavy rain</c:v>
                </c:pt>
                <c:pt idx="2">
                  <c:v>High thunderstrom</c:v>
                </c:pt>
                <c:pt idx="3">
                  <c:v>Little cloudy</c:v>
                </c:pt>
              </c:strCache>
            </c:strRef>
          </c:cat>
          <c:val>
            <c:numRef>
              <c:f>[1]VISUALISATION!$D$9:$D$12</c:f>
              <c:numCache>
                <c:formatCode>General</c:formatCode>
                <c:ptCount val="4"/>
                <c:pt idx="0">
                  <c:v>3211</c:v>
                </c:pt>
                <c:pt idx="1">
                  <c:v>171</c:v>
                </c:pt>
                <c:pt idx="2">
                  <c:v>1</c:v>
                </c:pt>
                <c:pt idx="3">
                  <c:v>1538</c:v>
                </c:pt>
              </c:numCache>
            </c:numRef>
          </c:val>
          <c:extLst>
            <c:ext xmlns:c16="http://schemas.microsoft.com/office/drawing/2014/chart" uri="{C3380CC4-5D6E-409C-BE32-E72D297353CC}">
              <c16:uniqueId val="{00000011-039F-46FC-A2EE-746EBD36EE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January vs. February: Daily Comparison </a:t>
            </a:r>
          </a:p>
        </c:rich>
      </c:tx>
      <c:layout>
        <c:manualLayout>
          <c:xMode val="edge"/>
          <c:yMode val="edge"/>
          <c:x val="0.22635797808378977"/>
          <c:y val="6.6331347364849358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7.8025371828521428E-2"/>
          <c:y val="0.30076443569553812"/>
          <c:w val="0.88498322863071721"/>
          <c:h val="0.61498432487605714"/>
        </c:manualLayout>
      </c:layout>
      <c:barChart>
        <c:barDir val="col"/>
        <c:grouping val="clustered"/>
        <c:varyColors val="0"/>
        <c:ser>
          <c:idx val="0"/>
          <c:order val="0"/>
          <c:tx>
            <c:strRef>
              <c:f>[1]VISUALISATION!$I$11</c:f>
              <c:strCache>
                <c:ptCount val="1"/>
                <c:pt idx="0">
                  <c:v>Jan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[1]VISUALISATION!$H$12:$H$18</c:f>
              <c:strCache>
                <c:ptCount val="7"/>
                <c:pt idx="0">
                  <c:v>Sunday</c:v>
                </c:pt>
                <c:pt idx="1">
                  <c:v>Monday</c:v>
                </c:pt>
                <c:pt idx="2">
                  <c:v>Tuesday</c:v>
                </c:pt>
                <c:pt idx="3">
                  <c:v>Wednesday</c:v>
                </c:pt>
                <c:pt idx="4">
                  <c:v>Friday</c:v>
                </c:pt>
                <c:pt idx="5">
                  <c:v>Saturday</c:v>
                </c:pt>
                <c:pt idx="6">
                  <c:v>Thusday</c:v>
                </c:pt>
              </c:strCache>
            </c:strRef>
          </c:cat>
          <c:val>
            <c:numRef>
              <c:f>[1]VISUALISATION!$I$12:$I$18</c:f>
              <c:numCache>
                <c:formatCode>General</c:formatCode>
                <c:ptCount val="7"/>
                <c:pt idx="0">
                  <c:v>4909</c:v>
                </c:pt>
                <c:pt idx="1">
                  <c:v>6587</c:v>
                </c:pt>
                <c:pt idx="2">
                  <c:v>5493</c:v>
                </c:pt>
                <c:pt idx="3">
                  <c:v>4918</c:v>
                </c:pt>
                <c:pt idx="4">
                  <c:v>5641</c:v>
                </c:pt>
                <c:pt idx="5">
                  <c:v>5231</c:v>
                </c:pt>
                <c:pt idx="6">
                  <c:v>5370</c:v>
                </c:pt>
              </c:numCache>
            </c:numRef>
          </c:val>
          <c:extLst>
            <c:ext xmlns:c16="http://schemas.microsoft.com/office/drawing/2014/chart" uri="{C3380CC4-5D6E-409C-BE32-E72D297353CC}">
              <c16:uniqueId val="{00000000-FE73-4DCD-8DDB-C6009AC30B19}"/>
            </c:ext>
          </c:extLst>
        </c:ser>
        <c:ser>
          <c:idx val="1"/>
          <c:order val="1"/>
          <c:tx>
            <c:strRef>
              <c:f>[1]VISUALISATION!$J$11</c:f>
              <c:strCache>
                <c:ptCount val="1"/>
                <c:pt idx="0">
                  <c:v>Feb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[1]VISUALISATION!$H$12:$H$18</c:f>
              <c:strCache>
                <c:ptCount val="7"/>
                <c:pt idx="0">
                  <c:v>Sunday</c:v>
                </c:pt>
                <c:pt idx="1">
                  <c:v>Monday</c:v>
                </c:pt>
                <c:pt idx="2">
                  <c:v>Tuesday</c:v>
                </c:pt>
                <c:pt idx="3">
                  <c:v>Wednesday</c:v>
                </c:pt>
                <c:pt idx="4">
                  <c:v>Friday</c:v>
                </c:pt>
                <c:pt idx="5">
                  <c:v>Saturday</c:v>
                </c:pt>
                <c:pt idx="6">
                  <c:v>Thusday</c:v>
                </c:pt>
              </c:strCache>
            </c:strRef>
          </c:cat>
          <c:val>
            <c:numRef>
              <c:f>[1]VISUALISATION!$J$12:$J$18</c:f>
              <c:numCache>
                <c:formatCode>General</c:formatCode>
                <c:ptCount val="7"/>
                <c:pt idx="0">
                  <c:v>3212</c:v>
                </c:pt>
                <c:pt idx="1">
                  <c:v>1863</c:v>
                </c:pt>
                <c:pt idx="2">
                  <c:v>2890</c:v>
                </c:pt>
                <c:pt idx="3">
                  <c:v>3131</c:v>
                </c:pt>
                <c:pt idx="4">
                  <c:v>3454</c:v>
                </c:pt>
                <c:pt idx="5">
                  <c:v>2517</c:v>
                </c:pt>
                <c:pt idx="6">
                  <c:v>3088</c:v>
                </c:pt>
              </c:numCache>
            </c:numRef>
          </c:val>
          <c:extLst>
            <c:ext xmlns:c16="http://schemas.microsoft.com/office/drawing/2014/chart" uri="{C3380CC4-5D6E-409C-BE32-E72D297353CC}">
              <c16:uniqueId val="{00000001-FE73-4DCD-8DDB-C6009AC30B19}"/>
            </c:ext>
          </c:extLst>
        </c:ser>
        <c:dLbls>
          <c:showLegendKey val="0"/>
          <c:showVal val="0"/>
          <c:showCatName val="0"/>
          <c:showSerName val="0"/>
          <c:showPercent val="0"/>
          <c:showBubbleSize val="0"/>
        </c:dLbls>
        <c:gapWidth val="100"/>
        <c:overlap val="-24"/>
        <c:axId val="915494687"/>
        <c:axId val="1243647599"/>
      </c:barChart>
      <c:catAx>
        <c:axId val="915494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3647599"/>
        <c:crosses val="autoZero"/>
        <c:auto val="1"/>
        <c:lblAlgn val="ctr"/>
        <c:lblOffset val="100"/>
        <c:noMultiLvlLbl val="0"/>
      </c:catAx>
      <c:valAx>
        <c:axId val="12436475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5494687"/>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1"/>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a:t>customer demand by</a:t>
            </a:r>
            <a:r>
              <a:rPr lang="en-IN" sz="1200" baseline="0"/>
              <a:t> holiday performance</a:t>
            </a:r>
            <a:endParaRPr lang="en-IN" sz="1200"/>
          </a:p>
        </c:rich>
      </c:tx>
      <c:layout>
        <c:manualLayout>
          <c:xMode val="edge"/>
          <c:yMode val="edge"/>
          <c:x val="0.1224732879134789"/>
          <c:y val="5.005005005005005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9.648089201615756E-2"/>
          <c:y val="3.2495093518715566E-2"/>
          <c:w val="0.86486351706036746"/>
          <c:h val="0.57542395742198893"/>
        </c:manualLayout>
      </c:layout>
      <c:lineChart>
        <c:grouping val="standard"/>
        <c:varyColors val="0"/>
        <c:ser>
          <c:idx val="0"/>
          <c:order val="0"/>
          <c:tx>
            <c:strRef>
              <c:f>'Bike data '!$T$75</c:f>
              <c:strCache>
                <c:ptCount val="1"/>
                <c:pt idx="0">
                  <c:v>holiday </c:v>
                </c:pt>
              </c:strCache>
            </c:strRef>
          </c:tx>
          <c:spPr>
            <a:ln w="34925" cap="rnd">
              <a:solidFill>
                <a:schemeClr val="accent6"/>
              </a:solidFill>
              <a:round/>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'Bike data '!$U$74:$W$74</c:f>
              <c:strCache>
                <c:ptCount val="3"/>
                <c:pt idx="0">
                  <c:v>Sum of CASUAL  CUSTOMER</c:v>
                </c:pt>
                <c:pt idx="1">
                  <c:v>Sum of REGISTERED CUSTOMER</c:v>
                </c:pt>
                <c:pt idx="2">
                  <c:v>Sum of TOTAL</c:v>
                </c:pt>
              </c:strCache>
            </c:strRef>
          </c:cat>
          <c:val>
            <c:numRef>
              <c:f>'Bike data '!$U$75:$W$75</c:f>
              <c:numCache>
                <c:formatCode>General</c:formatCode>
                <c:ptCount val="3"/>
                <c:pt idx="0">
                  <c:v>117</c:v>
                </c:pt>
                <c:pt idx="1">
                  <c:v>883</c:v>
                </c:pt>
                <c:pt idx="2">
                  <c:v>1000</c:v>
                </c:pt>
              </c:numCache>
            </c:numRef>
          </c:val>
          <c:smooth val="0"/>
          <c:extLst>
            <c:ext xmlns:c16="http://schemas.microsoft.com/office/drawing/2014/chart" uri="{C3380CC4-5D6E-409C-BE32-E72D297353CC}">
              <c16:uniqueId val="{00000000-A923-41B1-9FCF-E2F16E880499}"/>
            </c:ext>
          </c:extLst>
        </c:ser>
        <c:ser>
          <c:idx val="1"/>
          <c:order val="1"/>
          <c:tx>
            <c:strRef>
              <c:f>'Bike data '!$T$76</c:f>
              <c:strCache>
                <c:ptCount val="1"/>
                <c:pt idx="0">
                  <c:v>non- holiday</c:v>
                </c:pt>
              </c:strCache>
            </c:strRef>
          </c:tx>
          <c:spPr>
            <a:ln w="34925" cap="rnd">
              <a:solidFill>
                <a:schemeClr val="accent5"/>
              </a:solidFill>
              <a:round/>
            </a:ln>
            <a:effectLst>
              <a:outerShdw blurRad="57150" dist="19050" dir="5400000" algn="ctr" rotWithShape="0">
                <a:srgbClr val="000000">
                  <a:alpha val="63000"/>
                </a:srgbClr>
              </a:outerShdw>
            </a:effectLst>
          </c:spPr>
          <c:marker>
            <c:symbol val="square"/>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'Bike data '!$U$74:$W$74</c:f>
              <c:strCache>
                <c:ptCount val="3"/>
                <c:pt idx="0">
                  <c:v>Sum of CASUAL  CUSTOMER</c:v>
                </c:pt>
                <c:pt idx="1">
                  <c:v>Sum of REGISTERED CUSTOMER</c:v>
                </c:pt>
                <c:pt idx="2">
                  <c:v>Sum of TOTAL</c:v>
                </c:pt>
              </c:strCache>
            </c:strRef>
          </c:cat>
          <c:val>
            <c:numRef>
              <c:f>'Bike data '!$U$76:$W$76</c:f>
              <c:numCache>
                <c:formatCode>General</c:formatCode>
                <c:ptCount val="3"/>
                <c:pt idx="0">
                  <c:v>4804</c:v>
                </c:pt>
                <c:pt idx="1">
                  <c:v>52500</c:v>
                </c:pt>
                <c:pt idx="2">
                  <c:v>57304</c:v>
                </c:pt>
              </c:numCache>
            </c:numRef>
          </c:val>
          <c:smooth val="0"/>
          <c:extLst>
            <c:ext xmlns:c16="http://schemas.microsoft.com/office/drawing/2014/chart" uri="{C3380CC4-5D6E-409C-BE32-E72D297353CC}">
              <c16:uniqueId val="{00000001-A923-41B1-9FCF-E2F16E880499}"/>
            </c:ext>
          </c:extLst>
        </c:ser>
        <c:dLbls>
          <c:showLegendKey val="0"/>
          <c:showVal val="0"/>
          <c:showCatName val="0"/>
          <c:showSerName val="0"/>
          <c:showPercent val="0"/>
          <c:showBubbleSize val="0"/>
        </c:dLbls>
        <c:marker val="1"/>
        <c:smooth val="0"/>
        <c:axId val="1222466591"/>
        <c:axId val="1080760367"/>
      </c:lineChart>
      <c:catAx>
        <c:axId val="1222466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0760367"/>
        <c:crosses val="autoZero"/>
        <c:auto val="1"/>
        <c:lblAlgn val="ctr"/>
        <c:lblOffset val="100"/>
        <c:noMultiLvlLbl val="0"/>
      </c:catAx>
      <c:valAx>
        <c:axId val="1080760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2466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data id="1">
      <cx:strDim type="cat">
        <cx:f>_xlchart.v2.0</cx:f>
      </cx:strDim>
      <cx:numDim type="val">
        <cx:f>_xlchart.v2.4</cx:f>
      </cx:numDim>
    </cx:data>
    <cx:data id="2">
      <cx:strDim type="cat">
        <cx:f>_xlchart.v2.0</cx:f>
      </cx:strDim>
      <cx:numDim type="val">
        <cx:f>_xlchart.v2.6</cx:f>
      </cx:numDim>
    </cx:data>
  </cx:chartData>
  <cx:chart>
    <cx:title pos="t" align="ctr" overlay="0">
      <cx:tx>
        <cx:txData>
          <cx:v>BIKE RENTAL DEMAND BY HOUR</cx:v>
        </cx:txData>
      </cx:tx>
      <cx:txPr>
        <a:bodyPr spcFirstLastPara="1" vertOverflow="ellipsis" horzOverflow="overflow" wrap="square" lIns="0" tIns="0" rIns="0" bIns="0" anchor="ctr" anchorCtr="1"/>
        <a:lstStyle/>
        <a:p>
          <a:pPr algn="ctr" rtl="0">
            <a:defRPr/>
          </a:pPr>
          <a:r>
            <a:rPr lang="en-US" sz="1100" b="1" i="0" u="none" strike="noStrike" baseline="0">
              <a:solidFill>
                <a:sysClr val="windowText" lastClr="000000">
                  <a:lumMod val="65000"/>
                  <a:lumOff val="35000"/>
                </a:sysClr>
              </a:solidFill>
              <a:latin typeface="Calibri" panose="020F0502020204030204"/>
            </a:rPr>
            <a:t>BIKE RENTAL DEMAND BY HOUR</a:t>
          </a:r>
        </a:p>
      </cx:txPr>
    </cx:title>
    <cx:plotArea>
      <cx:plotAreaRegion>
        <cx:series layoutId="funnel" uniqueId="{083FB639-FEA4-4874-AD5E-75EAC6C80E47}" formatIdx="0">
          <cx:tx>
            <cx:txData>
              <cx:f>_xlchart.v2.1</cx:f>
              <cx:v>Casual rentals</cx:v>
            </cx:txData>
          </cx:tx>
          <cx:dataLabels>
            <cx:visibility seriesName="0" categoryName="0" value="1"/>
          </cx:dataLabels>
          <cx:dataId val="0"/>
        </cx:series>
        <cx:series layoutId="funnel" hidden="1" uniqueId="{0C415413-E286-45B5-AD7B-0FCF33158B88}" formatIdx="1">
          <cx:tx>
            <cx:txData>
              <cx:f>_xlchart.v2.3</cx:f>
              <cx:v>Registered rentals</cx:v>
            </cx:txData>
          </cx:tx>
          <cx:dataLabels>
            <cx:visibility seriesName="0" categoryName="0" value="1"/>
          </cx:dataLabels>
          <cx:dataId val="1"/>
        </cx:series>
        <cx:series layoutId="funnel" hidden="1" uniqueId="{EA2713F1-B8C9-404C-B3C5-F3D6DF5C7247}" formatIdx="2">
          <cx:tx>
            <cx:txData>
              <cx:f>_xlchart.v2.5</cx:f>
              <cx:v>Total rentals</cx:v>
            </cx:txData>
          </cx:tx>
          <cx:dataLabels>
            <cx:visibility seriesName="0" categoryName="0" value="1"/>
          </cx:dataLabels>
          <cx:dataId val="2"/>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18</xdr:col>
      <xdr:colOff>601980</xdr:colOff>
      <xdr:row>50</xdr:row>
      <xdr:rowOff>160020</xdr:rowOff>
    </xdr:from>
    <xdr:ext cx="4752424" cy="2554941"/>
    <xdr:graphicFrame macro="">
      <xdr:nvGraphicFramePr>
        <xdr:cNvPr id="2" name="Chart 1">
          <a:extLst>
            <a:ext uri="{FF2B5EF4-FFF2-40B4-BE49-F238E27FC236}">
              <a16:creationId xmlns:a16="http://schemas.microsoft.com/office/drawing/2014/main" id="{E2DEFB01-0ABB-4CA2-8674-140612139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24</xdr:col>
      <xdr:colOff>205740</xdr:colOff>
      <xdr:row>51</xdr:row>
      <xdr:rowOff>53340</xdr:rowOff>
    </xdr:from>
    <xdr:to>
      <xdr:col>26</xdr:col>
      <xdr:colOff>1257300</xdr:colOff>
      <xdr:row>67</xdr:row>
      <xdr:rowOff>0</xdr:rowOff>
    </xdr:to>
    <xdr:graphicFrame macro="">
      <xdr:nvGraphicFramePr>
        <xdr:cNvPr id="3" name="Chart 2">
          <a:extLst>
            <a:ext uri="{FF2B5EF4-FFF2-40B4-BE49-F238E27FC236}">
              <a16:creationId xmlns:a16="http://schemas.microsoft.com/office/drawing/2014/main" id="{5E25356D-0175-4D01-B6D9-F0BA2EFA4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320040</xdr:colOff>
      <xdr:row>55</xdr:row>
      <xdr:rowOff>45720</xdr:rowOff>
    </xdr:from>
    <xdr:to>
      <xdr:col>35</xdr:col>
      <xdr:colOff>15240</xdr:colOff>
      <xdr:row>66</xdr:row>
      <xdr:rowOff>152400</xdr:rowOff>
    </xdr:to>
    <xdr:graphicFrame macro="">
      <xdr:nvGraphicFramePr>
        <xdr:cNvPr id="4" name="Chart 3">
          <a:extLst>
            <a:ext uri="{FF2B5EF4-FFF2-40B4-BE49-F238E27FC236}">
              <a16:creationId xmlns:a16="http://schemas.microsoft.com/office/drawing/2014/main" id="{522E699D-F5D6-47EF-BFD8-C29C5077D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533400</xdr:colOff>
      <xdr:row>70</xdr:row>
      <xdr:rowOff>22860</xdr:rowOff>
    </xdr:from>
    <xdr:to>
      <xdr:col>43</xdr:col>
      <xdr:colOff>228600</xdr:colOff>
      <xdr:row>85</xdr:row>
      <xdr:rowOff>22860</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AB2C3834-F9B0-49DA-8995-FEF107718A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4419540" y="13868400"/>
              <a:ext cx="8229600" cy="2819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609600</xdr:colOff>
      <xdr:row>77</xdr:row>
      <xdr:rowOff>91440</xdr:rowOff>
    </xdr:from>
    <xdr:to>
      <xdr:col>22</xdr:col>
      <xdr:colOff>617220</xdr:colOff>
      <xdr:row>92</xdr:row>
      <xdr:rowOff>91440</xdr:rowOff>
    </xdr:to>
    <xdr:graphicFrame macro="">
      <xdr:nvGraphicFramePr>
        <xdr:cNvPr id="13" name="Chart 12">
          <a:extLst>
            <a:ext uri="{FF2B5EF4-FFF2-40B4-BE49-F238E27FC236}">
              <a16:creationId xmlns:a16="http://schemas.microsoft.com/office/drawing/2014/main" id="{B8E60287-01A1-44C8-986B-C56BCA04B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601980</xdr:colOff>
      <xdr:row>17</xdr:row>
      <xdr:rowOff>38100</xdr:rowOff>
    </xdr:from>
    <xdr:ext cx="4297680" cy="2333961"/>
    <xdr:graphicFrame macro="">
      <xdr:nvGraphicFramePr>
        <xdr:cNvPr id="3" name="Chart 2">
          <a:extLst>
            <a:ext uri="{FF2B5EF4-FFF2-40B4-BE49-F238E27FC236}">
              <a16:creationId xmlns:a16="http://schemas.microsoft.com/office/drawing/2014/main" id="{0F7E857A-F569-4744-A633-151B73280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11</xdr:col>
      <xdr:colOff>525780</xdr:colOff>
      <xdr:row>17</xdr:row>
      <xdr:rowOff>22860</xdr:rowOff>
    </xdr:from>
    <xdr:to>
      <xdr:col>17</xdr:col>
      <xdr:colOff>144780</xdr:colOff>
      <xdr:row>29</xdr:row>
      <xdr:rowOff>160020</xdr:rowOff>
    </xdr:to>
    <xdr:graphicFrame macro="">
      <xdr:nvGraphicFramePr>
        <xdr:cNvPr id="4" name="Chart 3">
          <a:extLst>
            <a:ext uri="{FF2B5EF4-FFF2-40B4-BE49-F238E27FC236}">
              <a16:creationId xmlns:a16="http://schemas.microsoft.com/office/drawing/2014/main" id="{0A02A478-498A-47DD-A5C4-66C9D42EB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34</xdr:row>
      <xdr:rowOff>106680</xdr:rowOff>
    </xdr:from>
    <xdr:to>
      <xdr:col>9</xdr:col>
      <xdr:colOff>571500</xdr:colOff>
      <xdr:row>46</xdr:row>
      <xdr:rowOff>175260</xdr:rowOff>
    </xdr:to>
    <xdr:graphicFrame macro="">
      <xdr:nvGraphicFramePr>
        <xdr:cNvPr id="5" name="Chart 4">
          <a:extLst>
            <a:ext uri="{FF2B5EF4-FFF2-40B4-BE49-F238E27FC236}">
              <a16:creationId xmlns:a16="http://schemas.microsoft.com/office/drawing/2014/main" id="{67F36DCA-2C00-4BE4-8D93-ECB0E34BA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7620</xdr:colOff>
      <xdr:row>32</xdr:row>
      <xdr:rowOff>152400</xdr:rowOff>
    </xdr:from>
    <xdr:to>
      <xdr:col>18</xdr:col>
      <xdr:colOff>38100</xdr:colOff>
      <xdr:row>46</xdr:row>
      <xdr:rowOff>175260</xdr:rowOff>
    </xdr:to>
    <xdr:graphicFrame macro="">
      <xdr:nvGraphicFramePr>
        <xdr:cNvPr id="6" name="Chart 5">
          <a:extLst>
            <a:ext uri="{FF2B5EF4-FFF2-40B4-BE49-F238E27FC236}">
              <a16:creationId xmlns:a16="http://schemas.microsoft.com/office/drawing/2014/main" id="{EC51F30D-67CF-4248-946E-67E230CE4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0</xdr:colOff>
      <xdr:row>0</xdr:row>
      <xdr:rowOff>1</xdr:rowOff>
    </xdr:from>
    <xdr:to>
      <xdr:col>22</xdr:col>
      <xdr:colOff>0</xdr:colOff>
      <xdr:row>7</xdr:row>
      <xdr:rowOff>99061</xdr:rowOff>
    </xdr:to>
    <mc:AlternateContent xmlns:mc="http://schemas.openxmlformats.org/markup-compatibility/2006">
      <mc:Choice xmlns:a14="http://schemas.microsoft.com/office/drawing/2010/main" Requires="a14">
        <xdr:graphicFrame macro="">
          <xdr:nvGraphicFramePr>
            <xdr:cNvPr id="7" name="WEATHERSHIT">
              <a:extLst>
                <a:ext uri="{FF2B5EF4-FFF2-40B4-BE49-F238E27FC236}">
                  <a16:creationId xmlns:a16="http://schemas.microsoft.com/office/drawing/2014/main" id="{836BB020-2131-42C8-9226-43AB6F1113B6}"/>
                </a:ext>
              </a:extLst>
            </xdr:cNvPr>
            <xdr:cNvGraphicFramePr/>
          </xdr:nvGraphicFramePr>
          <xdr:xfrm>
            <a:off x="0" y="0"/>
            <a:ext cx="0" cy="0"/>
          </xdr:xfrm>
          <a:graphic>
            <a:graphicData uri="http://schemas.microsoft.com/office/drawing/2010/slicer">
              <sle:slicer xmlns:sle="http://schemas.microsoft.com/office/drawing/2010/slicer" name="WEATHERSHIT"/>
            </a:graphicData>
          </a:graphic>
        </xdr:graphicFrame>
      </mc:Choice>
      <mc:Fallback>
        <xdr:sp macro="" textlink="">
          <xdr:nvSpPr>
            <xdr:cNvPr id="0" name=""/>
            <xdr:cNvSpPr>
              <a:spLocks noTextEdit="1"/>
            </xdr:cNvSpPr>
          </xdr:nvSpPr>
          <xdr:spPr>
            <a:xfrm>
              <a:off x="11582400" y="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9</xdr:row>
      <xdr:rowOff>0</xdr:rowOff>
    </xdr:from>
    <xdr:to>
      <xdr:col>22</xdr:col>
      <xdr:colOff>0</xdr:colOff>
      <xdr:row>22</xdr:row>
      <xdr:rowOff>74295</xdr:rowOff>
    </xdr:to>
    <mc:AlternateContent xmlns:mc="http://schemas.openxmlformats.org/markup-compatibility/2006">
      <mc:Choice xmlns:a14="http://schemas.microsoft.com/office/drawing/2010/main" Requires="a14">
        <xdr:graphicFrame macro="">
          <xdr:nvGraphicFramePr>
            <xdr:cNvPr id="8" name="WEEKDAY">
              <a:extLst>
                <a:ext uri="{FF2B5EF4-FFF2-40B4-BE49-F238E27FC236}">
                  <a16:creationId xmlns:a16="http://schemas.microsoft.com/office/drawing/2014/main" id="{B7CB96E1-B169-444D-8DA8-033CBE2F9810}"/>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11582400" y="1805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23</xdr:row>
      <xdr:rowOff>106681</xdr:rowOff>
    </xdr:from>
    <xdr:to>
      <xdr:col>22</xdr:col>
      <xdr:colOff>45720</xdr:colOff>
      <xdr:row>29</xdr:row>
      <xdr:rowOff>106681</xdr:rowOff>
    </xdr:to>
    <mc:AlternateContent xmlns:mc="http://schemas.openxmlformats.org/markup-compatibility/2006">
      <mc:Choice xmlns:a14="http://schemas.microsoft.com/office/drawing/2010/main" Requires="a14">
        <xdr:graphicFrame macro="">
          <xdr:nvGraphicFramePr>
            <xdr:cNvPr id="9" name="Holiday STATUS">
              <a:extLst>
                <a:ext uri="{FF2B5EF4-FFF2-40B4-BE49-F238E27FC236}">
                  <a16:creationId xmlns:a16="http://schemas.microsoft.com/office/drawing/2014/main" id="{1E8366DF-AAC1-4599-AC69-71A020DA951E}"/>
                </a:ext>
              </a:extLst>
            </xdr:cNvPr>
            <xdr:cNvGraphicFramePr/>
          </xdr:nvGraphicFramePr>
          <xdr:xfrm>
            <a:off x="0" y="0"/>
            <a:ext cx="0" cy="0"/>
          </xdr:xfrm>
          <a:graphic>
            <a:graphicData uri="http://schemas.microsoft.com/office/drawing/2010/slicer">
              <sle:slicer xmlns:sle="http://schemas.microsoft.com/office/drawing/2010/slicer" name="Holiday STATUS"/>
            </a:graphicData>
          </a:graphic>
        </xdr:graphicFrame>
      </mc:Choice>
      <mc:Fallback>
        <xdr:sp macro="" textlink="">
          <xdr:nvSpPr>
            <xdr:cNvPr id="0" name=""/>
            <xdr:cNvSpPr>
              <a:spLocks noTextEdit="1"/>
            </xdr:cNvSpPr>
          </xdr:nvSpPr>
          <xdr:spPr>
            <a:xfrm>
              <a:off x="11628120" y="448818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31</xdr:row>
      <xdr:rowOff>76200</xdr:rowOff>
    </xdr:from>
    <xdr:to>
      <xdr:col>22</xdr:col>
      <xdr:colOff>137160</xdr:colOff>
      <xdr:row>44</xdr:row>
      <xdr:rowOff>150495</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FD2AA0C8-9877-4CE4-9AC9-A5A6F4011A9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719560" y="5928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ike_Rental_Demand_Dashboard.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ke_Data_Pivot_Statis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ET 2"/>
      <sheetName val="DATASET 3"/>
      <sheetName val="DATASET 1"/>
      <sheetName val="DATASET A"/>
      <sheetName val="bike data"/>
      <sheetName val="VISUALISATION"/>
      <sheetName val="pivot table"/>
      <sheetName val="Sheet1"/>
      <sheetName val="Dashboard"/>
    </sheetNames>
    <sheetDataSet>
      <sheetData sheetId="0"/>
      <sheetData sheetId="1"/>
      <sheetData sheetId="2"/>
      <sheetData sheetId="3">
        <row r="1">
          <cell r="J1" t="str">
            <v>temp</v>
          </cell>
          <cell r="K1" t="str">
            <v>ASSUM TEMP</v>
          </cell>
          <cell r="L1" t="str">
            <v>HUMIDITY</v>
          </cell>
          <cell r="M1" t="str">
            <v>WINDSPEED</v>
          </cell>
          <cell r="N1" t="str">
            <v>CASUAL  CUSTOMER</v>
          </cell>
          <cell r="O1" t="str">
            <v>REGISTERED CUSTOMER</v>
          </cell>
          <cell r="P1" t="str">
            <v>TOTAL</v>
          </cell>
        </row>
        <row r="2">
          <cell r="J2">
            <v>0.24</v>
          </cell>
          <cell r="K2">
            <v>0.28789999999999999</v>
          </cell>
          <cell r="L2">
            <v>0.81</v>
          </cell>
          <cell r="M2">
            <v>0</v>
          </cell>
          <cell r="N2">
            <v>3</v>
          </cell>
          <cell r="O2">
            <v>13</v>
          </cell>
          <cell r="P2">
            <v>16</v>
          </cell>
        </row>
        <row r="3">
          <cell r="J3">
            <v>0.22</v>
          </cell>
          <cell r="K3">
            <v>0.2727</v>
          </cell>
          <cell r="L3">
            <v>0.8</v>
          </cell>
          <cell r="M3">
            <v>0</v>
          </cell>
          <cell r="N3">
            <v>8</v>
          </cell>
          <cell r="O3">
            <v>32</v>
          </cell>
          <cell r="P3">
            <v>40</v>
          </cell>
        </row>
        <row r="4">
          <cell r="J4">
            <v>0.22</v>
          </cell>
          <cell r="K4">
            <v>0.2727</v>
          </cell>
          <cell r="L4">
            <v>0.8</v>
          </cell>
          <cell r="M4">
            <v>0</v>
          </cell>
          <cell r="N4">
            <v>5</v>
          </cell>
          <cell r="O4">
            <v>27</v>
          </cell>
          <cell r="P4">
            <v>32</v>
          </cell>
        </row>
        <row r="5">
          <cell r="J5">
            <v>0.24</v>
          </cell>
          <cell r="K5">
            <v>0.28789999999999999</v>
          </cell>
          <cell r="L5">
            <v>0.75</v>
          </cell>
          <cell r="M5">
            <v>0</v>
          </cell>
          <cell r="N5">
            <v>3</v>
          </cell>
          <cell r="O5">
            <v>10</v>
          </cell>
          <cell r="P5">
            <v>13</v>
          </cell>
        </row>
        <row r="6">
          <cell r="J6">
            <v>0.24</v>
          </cell>
          <cell r="K6">
            <v>0.28789999999999999</v>
          </cell>
          <cell r="L6">
            <v>0.75</v>
          </cell>
          <cell r="M6">
            <v>0</v>
          </cell>
          <cell r="N6">
            <v>0</v>
          </cell>
          <cell r="O6">
            <v>1</v>
          </cell>
          <cell r="P6">
            <v>1</v>
          </cell>
        </row>
        <row r="7">
          <cell r="J7">
            <v>0.24</v>
          </cell>
          <cell r="K7">
            <v>0.2576</v>
          </cell>
          <cell r="L7">
            <v>0.75</v>
          </cell>
          <cell r="M7">
            <v>8.9599999999999999E-2</v>
          </cell>
          <cell r="N7">
            <v>0</v>
          </cell>
          <cell r="O7">
            <v>1</v>
          </cell>
          <cell r="P7">
            <v>1</v>
          </cell>
        </row>
        <row r="8">
          <cell r="J8">
            <v>0.22</v>
          </cell>
          <cell r="K8">
            <v>0.2727</v>
          </cell>
          <cell r="L8">
            <v>0.8</v>
          </cell>
          <cell r="M8">
            <v>0</v>
          </cell>
          <cell r="N8">
            <v>2</v>
          </cell>
          <cell r="O8">
            <v>0</v>
          </cell>
          <cell r="P8">
            <v>2</v>
          </cell>
        </row>
        <row r="9">
          <cell r="J9">
            <v>0.2</v>
          </cell>
          <cell r="K9">
            <v>0.2576</v>
          </cell>
          <cell r="L9">
            <v>0.86</v>
          </cell>
          <cell r="M9">
            <v>0</v>
          </cell>
          <cell r="N9">
            <v>1</v>
          </cell>
          <cell r="O9">
            <v>2</v>
          </cell>
          <cell r="P9">
            <v>3</v>
          </cell>
        </row>
        <row r="10">
          <cell r="J10">
            <v>0.24</v>
          </cell>
          <cell r="L10">
            <v>0.75</v>
          </cell>
          <cell r="M10">
            <v>0</v>
          </cell>
          <cell r="N10">
            <v>1</v>
          </cell>
          <cell r="O10">
            <v>7</v>
          </cell>
          <cell r="P10">
            <v>8</v>
          </cell>
        </row>
        <row r="11">
          <cell r="J11">
            <v>0.32</v>
          </cell>
          <cell r="K11">
            <v>0.34849999999999998</v>
          </cell>
          <cell r="L11">
            <v>0.76</v>
          </cell>
          <cell r="M11">
            <v>0</v>
          </cell>
          <cell r="N11">
            <v>8</v>
          </cell>
          <cell r="O11">
            <v>6</v>
          </cell>
          <cell r="P11">
            <v>14</v>
          </cell>
        </row>
        <row r="12">
          <cell r="J12">
            <v>0.38</v>
          </cell>
          <cell r="K12">
            <v>0.39389999999999997</v>
          </cell>
          <cell r="L12">
            <v>0.76</v>
          </cell>
          <cell r="M12">
            <v>0.25369999999999998</v>
          </cell>
          <cell r="N12">
            <v>12</v>
          </cell>
          <cell r="O12">
            <v>24</v>
          </cell>
          <cell r="P12">
            <v>36</v>
          </cell>
        </row>
        <row r="13">
          <cell r="J13">
            <v>0.36</v>
          </cell>
          <cell r="K13">
            <v>0.33329999999999999</v>
          </cell>
          <cell r="L13">
            <v>0.81</v>
          </cell>
          <cell r="M13">
            <v>0.28360000000000002</v>
          </cell>
          <cell r="N13">
            <v>26</v>
          </cell>
          <cell r="O13">
            <v>30</v>
          </cell>
          <cell r="P13">
            <v>56</v>
          </cell>
        </row>
        <row r="14">
          <cell r="J14">
            <v>0.42</v>
          </cell>
          <cell r="K14">
            <v>0.42420000000000002</v>
          </cell>
          <cell r="L14">
            <v>0.77</v>
          </cell>
          <cell r="M14">
            <v>0.28360000000000002</v>
          </cell>
          <cell r="N14">
            <v>29</v>
          </cell>
          <cell r="O14">
            <v>55</v>
          </cell>
          <cell r="P14">
            <v>84</v>
          </cell>
        </row>
        <row r="15">
          <cell r="J15">
            <v>0.46</v>
          </cell>
          <cell r="K15">
            <v>0.45450000000000002</v>
          </cell>
          <cell r="L15">
            <v>0.72</v>
          </cell>
          <cell r="M15">
            <v>0.29849999999999999</v>
          </cell>
          <cell r="N15">
            <v>47</v>
          </cell>
          <cell r="O15">
            <v>47</v>
          </cell>
          <cell r="P15">
            <v>94</v>
          </cell>
        </row>
        <row r="16">
          <cell r="J16">
            <v>0.46</v>
          </cell>
          <cell r="K16">
            <v>0.45450000000000002</v>
          </cell>
          <cell r="L16">
            <v>0.72</v>
          </cell>
          <cell r="M16">
            <v>0.28360000000000002</v>
          </cell>
          <cell r="N16">
            <v>35</v>
          </cell>
          <cell r="O16">
            <v>71</v>
          </cell>
          <cell r="P16">
            <v>106</v>
          </cell>
        </row>
        <row r="17">
          <cell r="J17">
            <v>0.44</v>
          </cell>
          <cell r="K17">
            <v>0.43940000000000001</v>
          </cell>
          <cell r="L17">
            <v>0.77</v>
          </cell>
          <cell r="M17">
            <v>0.29849999999999999</v>
          </cell>
          <cell r="N17">
            <v>40</v>
          </cell>
          <cell r="O17">
            <v>70</v>
          </cell>
          <cell r="P17">
            <v>110</v>
          </cell>
        </row>
        <row r="18">
          <cell r="J18">
            <v>0.42</v>
          </cell>
          <cell r="K18">
            <v>0.42420000000000002</v>
          </cell>
          <cell r="L18">
            <v>0.82</v>
          </cell>
          <cell r="M18">
            <v>0.29849999999999999</v>
          </cell>
          <cell r="N18">
            <v>41</v>
          </cell>
          <cell r="O18">
            <v>52</v>
          </cell>
          <cell r="P18">
            <v>93</v>
          </cell>
        </row>
        <row r="19">
          <cell r="J19">
            <v>0.44</v>
          </cell>
          <cell r="L19">
            <v>0.82</v>
          </cell>
          <cell r="M19">
            <v>0.28360000000000002</v>
          </cell>
          <cell r="N19">
            <v>15</v>
          </cell>
          <cell r="O19">
            <v>52</v>
          </cell>
          <cell r="P19">
            <v>67</v>
          </cell>
        </row>
        <row r="20">
          <cell r="J20">
            <v>0.42</v>
          </cell>
          <cell r="K20">
            <v>0.42420000000000002</v>
          </cell>
          <cell r="L20">
            <v>0.88</v>
          </cell>
          <cell r="M20">
            <v>0.25369999999999998</v>
          </cell>
          <cell r="N20">
            <v>9</v>
          </cell>
          <cell r="O20">
            <v>26</v>
          </cell>
          <cell r="P20">
            <v>35</v>
          </cell>
        </row>
        <row r="21">
          <cell r="J21">
            <v>0.42</v>
          </cell>
          <cell r="K21">
            <v>0.42420000000000002</v>
          </cell>
          <cell r="L21">
            <v>0.88</v>
          </cell>
          <cell r="M21">
            <v>0.25369999999999998</v>
          </cell>
          <cell r="N21">
            <v>6</v>
          </cell>
          <cell r="O21">
            <v>31</v>
          </cell>
          <cell r="P21">
            <v>37</v>
          </cell>
        </row>
        <row r="22">
          <cell r="J22">
            <v>0.4</v>
          </cell>
          <cell r="K22">
            <v>0.40910000000000002</v>
          </cell>
          <cell r="L22">
            <v>0.87</v>
          </cell>
          <cell r="M22">
            <v>0.25369999999999998</v>
          </cell>
          <cell r="N22">
            <v>11</v>
          </cell>
          <cell r="O22">
            <v>25</v>
          </cell>
          <cell r="P22">
            <v>36</v>
          </cell>
        </row>
        <row r="23">
          <cell r="J23">
            <v>0.4</v>
          </cell>
          <cell r="K23">
            <v>0.40910000000000002</v>
          </cell>
          <cell r="L23">
            <v>0.87</v>
          </cell>
          <cell r="M23">
            <v>0.19400000000000001</v>
          </cell>
          <cell r="N23">
            <v>3</v>
          </cell>
          <cell r="O23">
            <v>31</v>
          </cell>
          <cell r="P23">
            <v>34</v>
          </cell>
        </row>
        <row r="24">
          <cell r="J24">
            <v>0.4</v>
          </cell>
          <cell r="K24">
            <v>0.40910000000000002</v>
          </cell>
          <cell r="L24">
            <v>0.94</v>
          </cell>
          <cell r="M24">
            <v>0.22389999999999999</v>
          </cell>
          <cell r="N24">
            <v>11</v>
          </cell>
          <cell r="O24">
            <v>17</v>
          </cell>
          <cell r="P24">
            <v>28</v>
          </cell>
        </row>
        <row r="25">
          <cell r="J25">
            <v>0.46</v>
          </cell>
          <cell r="L25">
            <v>0.88</v>
          </cell>
          <cell r="M25">
            <v>0.29849999999999999</v>
          </cell>
          <cell r="N25">
            <v>15</v>
          </cell>
          <cell r="O25">
            <v>24</v>
          </cell>
          <cell r="P25">
            <v>39</v>
          </cell>
        </row>
        <row r="26">
          <cell r="J26">
            <v>0.46</v>
          </cell>
          <cell r="K26">
            <v>0.45450000000000002</v>
          </cell>
          <cell r="L26">
            <v>0.88</v>
          </cell>
          <cell r="M26">
            <v>0.29849999999999999</v>
          </cell>
          <cell r="N26">
            <v>4</v>
          </cell>
          <cell r="O26">
            <v>13</v>
          </cell>
          <cell r="P26">
            <v>17</v>
          </cell>
        </row>
        <row r="27">
          <cell r="J27">
            <v>0.44</v>
          </cell>
          <cell r="K27">
            <v>0.43940000000000001</v>
          </cell>
          <cell r="L27">
            <v>0.94</v>
          </cell>
          <cell r="M27">
            <v>0.25369999999999998</v>
          </cell>
          <cell r="N27">
            <v>1</v>
          </cell>
          <cell r="O27">
            <v>16</v>
          </cell>
          <cell r="P27">
            <v>17</v>
          </cell>
        </row>
        <row r="28">
          <cell r="J28">
            <v>0.42</v>
          </cell>
          <cell r="K28">
            <v>0.42420000000000002</v>
          </cell>
          <cell r="L28">
            <v>1</v>
          </cell>
          <cell r="M28">
            <v>0.28360000000000002</v>
          </cell>
          <cell r="N28">
            <v>1</v>
          </cell>
          <cell r="O28">
            <v>8</v>
          </cell>
          <cell r="P28">
            <v>9</v>
          </cell>
        </row>
        <row r="29">
          <cell r="J29">
            <v>0.46</v>
          </cell>
          <cell r="K29">
            <v>0.45450000000000002</v>
          </cell>
          <cell r="L29">
            <v>0.94</v>
          </cell>
          <cell r="M29">
            <v>0.19400000000000001</v>
          </cell>
          <cell r="N29">
            <v>2</v>
          </cell>
          <cell r="O29">
            <v>4</v>
          </cell>
          <cell r="P29">
            <v>6</v>
          </cell>
        </row>
        <row r="30">
          <cell r="J30">
            <v>0.46</v>
          </cell>
          <cell r="L30">
            <v>0.94</v>
          </cell>
          <cell r="M30">
            <v>0.19400000000000001</v>
          </cell>
          <cell r="N30">
            <v>2</v>
          </cell>
          <cell r="O30">
            <v>1</v>
          </cell>
          <cell r="P30">
            <v>3</v>
          </cell>
        </row>
        <row r="31">
          <cell r="J31">
            <v>0.42</v>
          </cell>
          <cell r="K31">
            <v>0.42420000000000002</v>
          </cell>
          <cell r="L31">
            <v>0.77</v>
          </cell>
          <cell r="M31">
            <v>0.29849999999999999</v>
          </cell>
          <cell r="N31">
            <v>0</v>
          </cell>
          <cell r="O31">
            <v>2</v>
          </cell>
          <cell r="P31">
            <v>2</v>
          </cell>
        </row>
        <row r="32">
          <cell r="J32">
            <v>0.4</v>
          </cell>
          <cell r="K32">
            <v>0.40910000000000002</v>
          </cell>
          <cell r="L32">
            <v>0.76</v>
          </cell>
          <cell r="M32">
            <v>0.19400000000000001</v>
          </cell>
          <cell r="N32">
            <v>0</v>
          </cell>
          <cell r="O32">
            <v>1</v>
          </cell>
          <cell r="P32">
            <v>1</v>
          </cell>
        </row>
        <row r="33">
          <cell r="J33">
            <v>0.4</v>
          </cell>
          <cell r="K33">
            <v>0.40910000000000002</v>
          </cell>
          <cell r="L33">
            <v>0.71</v>
          </cell>
          <cell r="M33">
            <v>0.22389999999999999</v>
          </cell>
          <cell r="N33">
            <v>0</v>
          </cell>
          <cell r="O33">
            <v>8</v>
          </cell>
          <cell r="P33">
            <v>8</v>
          </cell>
        </row>
        <row r="34">
          <cell r="J34">
            <v>0.38</v>
          </cell>
          <cell r="L34">
            <v>0.76</v>
          </cell>
          <cell r="M34">
            <v>0.22389999999999999</v>
          </cell>
          <cell r="N34">
            <v>1</v>
          </cell>
          <cell r="O34">
            <v>19</v>
          </cell>
          <cell r="P34">
            <v>20</v>
          </cell>
        </row>
        <row r="35">
          <cell r="J35">
            <v>0.36</v>
          </cell>
          <cell r="K35">
            <v>0.34849999999999998</v>
          </cell>
          <cell r="L35">
            <v>0.81</v>
          </cell>
          <cell r="M35">
            <v>0.22389999999999999</v>
          </cell>
          <cell r="N35">
            <v>7</v>
          </cell>
          <cell r="O35">
            <v>46</v>
          </cell>
          <cell r="P35">
            <v>53</v>
          </cell>
        </row>
        <row r="36">
          <cell r="J36">
            <v>0.36</v>
          </cell>
          <cell r="K36">
            <v>0.33329999999999999</v>
          </cell>
          <cell r="L36">
            <v>0.71</v>
          </cell>
          <cell r="M36">
            <v>0.25369999999999998</v>
          </cell>
          <cell r="N36">
            <v>16</v>
          </cell>
          <cell r="O36">
            <v>54</v>
          </cell>
          <cell r="P36">
            <v>70</v>
          </cell>
        </row>
        <row r="37">
          <cell r="J37">
            <v>0.36</v>
          </cell>
          <cell r="K37">
            <v>0.33329999999999999</v>
          </cell>
          <cell r="L37">
            <v>0.66</v>
          </cell>
          <cell r="M37">
            <v>0.29849999999999999</v>
          </cell>
          <cell r="N37">
            <v>20</v>
          </cell>
          <cell r="O37">
            <v>73</v>
          </cell>
          <cell r="P37">
            <v>93</v>
          </cell>
        </row>
        <row r="38">
          <cell r="J38">
            <v>0.36</v>
          </cell>
          <cell r="K38">
            <v>0.34849999999999998</v>
          </cell>
          <cell r="L38">
            <v>0.66</v>
          </cell>
          <cell r="M38">
            <v>0.1343</v>
          </cell>
          <cell r="N38">
            <v>11</v>
          </cell>
          <cell r="O38">
            <v>64</v>
          </cell>
          <cell r="P38">
            <v>75</v>
          </cell>
        </row>
        <row r="39">
          <cell r="J39">
            <v>0.36</v>
          </cell>
          <cell r="L39">
            <v>0.76</v>
          </cell>
          <cell r="M39">
            <v>0.19400000000000001</v>
          </cell>
          <cell r="N39">
            <v>4</v>
          </cell>
          <cell r="O39">
            <v>55</v>
          </cell>
          <cell r="P39">
            <v>59</v>
          </cell>
        </row>
        <row r="40">
          <cell r="J40">
            <v>0.34</v>
          </cell>
          <cell r="K40">
            <v>0.33329999999999999</v>
          </cell>
          <cell r="L40">
            <v>0.81</v>
          </cell>
          <cell r="M40">
            <v>0.16420000000000001</v>
          </cell>
          <cell r="N40">
            <v>19</v>
          </cell>
          <cell r="O40">
            <v>55</v>
          </cell>
          <cell r="P40">
            <v>74</v>
          </cell>
        </row>
        <row r="41">
          <cell r="J41">
            <v>0.34</v>
          </cell>
          <cell r="K41">
            <v>0.33329999999999999</v>
          </cell>
          <cell r="L41">
            <v>0.71</v>
          </cell>
          <cell r="M41">
            <v>0.16420000000000001</v>
          </cell>
          <cell r="N41">
            <v>9</v>
          </cell>
          <cell r="O41">
            <v>67</v>
          </cell>
          <cell r="P41">
            <v>76</v>
          </cell>
        </row>
        <row r="42">
          <cell r="J42">
            <v>0.34</v>
          </cell>
          <cell r="K42">
            <v>0.33329999999999999</v>
          </cell>
          <cell r="L42">
            <v>0.56999999999999995</v>
          </cell>
          <cell r="M42">
            <v>0.19400000000000001</v>
          </cell>
          <cell r="N42">
            <v>7</v>
          </cell>
          <cell r="O42">
            <v>58</v>
          </cell>
          <cell r="P42">
            <v>65</v>
          </cell>
        </row>
        <row r="43">
          <cell r="J43">
            <v>0.36</v>
          </cell>
          <cell r="K43">
            <v>0.33329999999999999</v>
          </cell>
          <cell r="L43">
            <v>0.46</v>
          </cell>
          <cell r="M43">
            <v>0.32840000000000003</v>
          </cell>
          <cell r="N43">
            <v>10</v>
          </cell>
          <cell r="O43">
            <v>43</v>
          </cell>
          <cell r="P43">
            <v>53</v>
          </cell>
        </row>
        <row r="44">
          <cell r="J44">
            <v>0.32</v>
          </cell>
          <cell r="K44">
            <v>0.28789999999999999</v>
          </cell>
          <cell r="L44">
            <v>0.42</v>
          </cell>
          <cell r="M44">
            <v>0.44779999999999998</v>
          </cell>
          <cell r="N44">
            <v>1</v>
          </cell>
          <cell r="O44">
            <v>29</v>
          </cell>
          <cell r="P44">
            <v>30</v>
          </cell>
        </row>
        <row r="45">
          <cell r="J45">
            <v>0.3</v>
          </cell>
          <cell r="L45">
            <v>0.39</v>
          </cell>
          <cell r="M45">
            <v>0.35820000000000002</v>
          </cell>
          <cell r="N45">
            <v>5</v>
          </cell>
          <cell r="O45">
            <v>17</v>
          </cell>
          <cell r="P45">
            <v>22</v>
          </cell>
        </row>
        <row r="46">
          <cell r="J46">
            <v>0.26</v>
          </cell>
          <cell r="K46">
            <v>0.2273</v>
          </cell>
          <cell r="L46">
            <v>0.44</v>
          </cell>
          <cell r="M46">
            <v>0.32840000000000003</v>
          </cell>
          <cell r="N46">
            <v>11</v>
          </cell>
          <cell r="O46">
            <v>20</v>
          </cell>
          <cell r="P46">
            <v>31</v>
          </cell>
        </row>
        <row r="47">
          <cell r="J47">
            <v>0.24</v>
          </cell>
          <cell r="K47">
            <v>0.21210000000000001</v>
          </cell>
          <cell r="L47">
            <v>0.44</v>
          </cell>
          <cell r="M47">
            <v>0.29849999999999999</v>
          </cell>
          <cell r="N47">
            <v>0</v>
          </cell>
          <cell r="O47">
            <v>9</v>
          </cell>
          <cell r="P47">
            <v>9</v>
          </cell>
        </row>
        <row r="48">
          <cell r="J48">
            <v>0.22</v>
          </cell>
          <cell r="K48">
            <v>0.2273</v>
          </cell>
          <cell r="L48">
            <v>0.47</v>
          </cell>
          <cell r="M48">
            <v>0.16420000000000001</v>
          </cell>
          <cell r="N48">
            <v>0</v>
          </cell>
          <cell r="O48">
            <v>8</v>
          </cell>
          <cell r="P48">
            <v>8</v>
          </cell>
        </row>
        <row r="49">
          <cell r="J49">
            <v>0.22</v>
          </cell>
          <cell r="K49">
            <v>0.19700000000000001</v>
          </cell>
          <cell r="L49">
            <v>0.44</v>
          </cell>
          <cell r="M49">
            <v>0.35820000000000002</v>
          </cell>
          <cell r="N49">
            <v>0</v>
          </cell>
          <cell r="O49">
            <v>5</v>
          </cell>
          <cell r="P49">
            <v>5</v>
          </cell>
        </row>
        <row r="50">
          <cell r="J50">
            <v>0.2</v>
          </cell>
          <cell r="L50">
            <v>0.44</v>
          </cell>
          <cell r="M50">
            <v>0.41789999999999999</v>
          </cell>
          <cell r="N50">
            <v>0</v>
          </cell>
          <cell r="O50">
            <v>2</v>
          </cell>
          <cell r="P50">
            <v>2</v>
          </cell>
        </row>
        <row r="51">
          <cell r="J51">
            <v>0.16</v>
          </cell>
          <cell r="K51">
            <v>0.13639999999999999</v>
          </cell>
          <cell r="L51">
            <v>0.47</v>
          </cell>
          <cell r="M51">
            <v>0.3881</v>
          </cell>
          <cell r="N51">
            <v>0</v>
          </cell>
          <cell r="O51">
            <v>1</v>
          </cell>
          <cell r="P51">
            <v>1</v>
          </cell>
        </row>
        <row r="52">
          <cell r="J52">
            <v>0.16</v>
          </cell>
          <cell r="K52">
            <v>0.13639999999999999</v>
          </cell>
          <cell r="L52">
            <v>0.47</v>
          </cell>
          <cell r="M52">
            <v>0.28360000000000002</v>
          </cell>
          <cell r="N52">
            <v>0</v>
          </cell>
          <cell r="O52">
            <v>3</v>
          </cell>
          <cell r="P52">
            <v>3</v>
          </cell>
        </row>
        <row r="53">
          <cell r="J53">
            <v>0.14000000000000001</v>
          </cell>
          <cell r="K53">
            <v>0.1061</v>
          </cell>
          <cell r="L53">
            <v>0.5</v>
          </cell>
          <cell r="M53">
            <v>0.3881</v>
          </cell>
          <cell r="N53">
            <v>0</v>
          </cell>
          <cell r="O53">
            <v>30</v>
          </cell>
          <cell r="P53">
            <v>30</v>
          </cell>
        </row>
        <row r="54">
          <cell r="J54">
            <v>0.14000000000000001</v>
          </cell>
          <cell r="K54">
            <v>0.13639999999999999</v>
          </cell>
          <cell r="L54">
            <v>0.5</v>
          </cell>
          <cell r="M54">
            <v>0.19400000000000001</v>
          </cell>
          <cell r="N54">
            <v>1</v>
          </cell>
          <cell r="O54">
            <v>63</v>
          </cell>
          <cell r="P54">
            <v>64</v>
          </cell>
        </row>
        <row r="55">
          <cell r="J55">
            <v>0.14000000000000001</v>
          </cell>
          <cell r="K55">
            <v>0.1212</v>
          </cell>
          <cell r="L55">
            <v>0.5</v>
          </cell>
          <cell r="M55">
            <v>0.28360000000000002</v>
          </cell>
          <cell r="N55">
            <v>1</v>
          </cell>
          <cell r="O55">
            <v>153</v>
          </cell>
          <cell r="P55">
            <v>154</v>
          </cell>
        </row>
        <row r="56">
          <cell r="J56">
            <v>0.16</v>
          </cell>
          <cell r="K56">
            <v>0.13639999999999999</v>
          </cell>
          <cell r="L56">
            <v>0.43</v>
          </cell>
          <cell r="M56">
            <v>0.3881</v>
          </cell>
          <cell r="N56">
            <v>7</v>
          </cell>
          <cell r="O56">
            <v>81</v>
          </cell>
          <cell r="P56">
            <v>88</v>
          </cell>
        </row>
        <row r="57">
          <cell r="J57">
            <v>0.18</v>
          </cell>
          <cell r="K57">
            <v>0.16669999999999999</v>
          </cell>
          <cell r="L57">
            <v>0.43</v>
          </cell>
          <cell r="M57">
            <v>0.25369999999999998</v>
          </cell>
          <cell r="N57">
            <v>11</v>
          </cell>
          <cell r="O57">
            <v>33</v>
          </cell>
          <cell r="P57">
            <v>44</v>
          </cell>
        </row>
        <row r="58">
          <cell r="J58">
            <v>0.2</v>
          </cell>
          <cell r="K58">
            <v>0.18179999999999999</v>
          </cell>
          <cell r="L58">
            <v>0.4</v>
          </cell>
          <cell r="M58">
            <v>0.32840000000000003</v>
          </cell>
          <cell r="N58">
            <v>10</v>
          </cell>
          <cell r="O58">
            <v>41</v>
          </cell>
          <cell r="P58">
            <v>51</v>
          </cell>
        </row>
        <row r="59">
          <cell r="J59">
            <v>0.22</v>
          </cell>
          <cell r="K59">
            <v>0.21210000000000001</v>
          </cell>
          <cell r="L59">
            <v>0.35</v>
          </cell>
          <cell r="M59">
            <v>0.29849999999999999</v>
          </cell>
          <cell r="N59">
            <v>13</v>
          </cell>
          <cell r="O59">
            <v>48</v>
          </cell>
          <cell r="P59">
            <v>61</v>
          </cell>
        </row>
        <row r="60">
          <cell r="J60">
            <v>0.24</v>
          </cell>
          <cell r="L60">
            <v>0.35</v>
          </cell>
          <cell r="M60">
            <v>0.28360000000000002</v>
          </cell>
          <cell r="N60">
            <v>8</v>
          </cell>
          <cell r="O60">
            <v>53</v>
          </cell>
          <cell r="P60">
            <v>61</v>
          </cell>
        </row>
        <row r="61">
          <cell r="J61">
            <v>0.26</v>
          </cell>
          <cell r="K61">
            <v>0.2424</v>
          </cell>
          <cell r="L61">
            <v>0.3</v>
          </cell>
          <cell r="M61">
            <v>0.28360000000000002</v>
          </cell>
          <cell r="N61">
            <v>11</v>
          </cell>
          <cell r="O61">
            <v>66</v>
          </cell>
          <cell r="P61">
            <v>77</v>
          </cell>
        </row>
        <row r="62">
          <cell r="J62">
            <v>0.26</v>
          </cell>
          <cell r="K62">
            <v>0.2424</v>
          </cell>
          <cell r="L62">
            <v>0.3</v>
          </cell>
          <cell r="M62">
            <v>0.25369999999999998</v>
          </cell>
          <cell r="N62">
            <v>14</v>
          </cell>
          <cell r="O62">
            <v>58</v>
          </cell>
          <cell r="P62">
            <v>72</v>
          </cell>
        </row>
        <row r="63">
          <cell r="J63">
            <v>0.26</v>
          </cell>
          <cell r="K63">
            <v>0.2424</v>
          </cell>
          <cell r="L63">
            <v>0.3</v>
          </cell>
          <cell r="M63">
            <v>0.25369999999999998</v>
          </cell>
          <cell r="N63">
            <v>9</v>
          </cell>
          <cell r="O63">
            <v>67</v>
          </cell>
          <cell r="P63">
            <v>76</v>
          </cell>
        </row>
        <row r="64">
          <cell r="J64">
            <v>0.24</v>
          </cell>
          <cell r="K64">
            <v>0.2273</v>
          </cell>
          <cell r="L64">
            <v>0.3</v>
          </cell>
          <cell r="M64">
            <v>0.22389999999999999</v>
          </cell>
          <cell r="N64">
            <v>11</v>
          </cell>
          <cell r="O64">
            <v>146</v>
          </cell>
          <cell r="P64">
            <v>157</v>
          </cell>
        </row>
        <row r="65">
          <cell r="J65">
            <v>0.24</v>
          </cell>
          <cell r="K65">
            <v>0.2576</v>
          </cell>
          <cell r="L65">
            <v>0.32</v>
          </cell>
          <cell r="M65">
            <v>0.1045</v>
          </cell>
          <cell r="N65">
            <v>9</v>
          </cell>
          <cell r="O65">
            <v>148</v>
          </cell>
          <cell r="P65">
            <v>157</v>
          </cell>
        </row>
        <row r="66">
          <cell r="J66">
            <v>0.2</v>
          </cell>
          <cell r="K66">
            <v>0.2576</v>
          </cell>
          <cell r="L66">
            <v>0.47</v>
          </cell>
          <cell r="M66">
            <v>0</v>
          </cell>
          <cell r="N66">
            <v>8</v>
          </cell>
          <cell r="O66">
            <v>102</v>
          </cell>
          <cell r="P66">
            <v>110</v>
          </cell>
        </row>
        <row r="67">
          <cell r="J67">
            <v>0.2</v>
          </cell>
          <cell r="L67">
            <v>0.47</v>
          </cell>
          <cell r="M67">
            <v>0.1045</v>
          </cell>
          <cell r="N67">
            <v>3</v>
          </cell>
          <cell r="O67">
            <v>49</v>
          </cell>
          <cell r="P67">
            <v>52</v>
          </cell>
        </row>
        <row r="68">
          <cell r="J68">
            <v>0.18</v>
          </cell>
          <cell r="K68">
            <v>0.19700000000000001</v>
          </cell>
          <cell r="L68">
            <v>0.64</v>
          </cell>
          <cell r="M68">
            <v>0.1343</v>
          </cell>
          <cell r="N68">
            <v>3</v>
          </cell>
          <cell r="O68">
            <v>49</v>
          </cell>
          <cell r="P68">
            <v>52</v>
          </cell>
        </row>
        <row r="69">
          <cell r="J69">
            <v>0.14000000000000001</v>
          </cell>
          <cell r="K69">
            <v>0.1515</v>
          </cell>
          <cell r="L69">
            <v>0.69</v>
          </cell>
          <cell r="M69">
            <v>0.1343</v>
          </cell>
          <cell r="N69">
            <v>0</v>
          </cell>
          <cell r="O69">
            <v>20</v>
          </cell>
          <cell r="P69">
            <v>20</v>
          </cell>
        </row>
        <row r="70">
          <cell r="J70">
            <v>0.18</v>
          </cell>
          <cell r="K70">
            <v>0.21210000000000001</v>
          </cell>
          <cell r="L70">
            <v>0.55000000000000004</v>
          </cell>
          <cell r="M70">
            <v>0.1045</v>
          </cell>
          <cell r="N70">
            <v>1</v>
          </cell>
          <cell r="O70">
            <v>11</v>
          </cell>
          <cell r="P70">
            <v>12</v>
          </cell>
        </row>
        <row r="71">
          <cell r="J71">
            <v>0.16</v>
          </cell>
          <cell r="L71">
            <v>0.55000000000000004</v>
          </cell>
          <cell r="M71">
            <v>0.1045</v>
          </cell>
          <cell r="N71">
            <v>0</v>
          </cell>
          <cell r="O71">
            <v>5</v>
          </cell>
          <cell r="P71">
            <v>5</v>
          </cell>
        </row>
        <row r="72">
          <cell r="J72">
            <v>0.16</v>
          </cell>
          <cell r="K72">
            <v>0.18179999999999999</v>
          </cell>
          <cell r="L72">
            <v>0.59</v>
          </cell>
          <cell r="M72">
            <v>0.1045</v>
          </cell>
          <cell r="N72">
            <v>0</v>
          </cell>
          <cell r="O72">
            <v>2</v>
          </cell>
          <cell r="P72">
            <v>2</v>
          </cell>
        </row>
        <row r="73">
          <cell r="J73">
            <v>0.14000000000000001</v>
          </cell>
          <cell r="K73">
            <v>0.1515</v>
          </cell>
          <cell r="L73">
            <v>0.63</v>
          </cell>
          <cell r="M73">
            <v>0.1343</v>
          </cell>
          <cell r="N73">
            <v>0</v>
          </cell>
          <cell r="O73">
            <v>1</v>
          </cell>
          <cell r="P73">
            <v>1</v>
          </cell>
        </row>
        <row r="74">
          <cell r="J74">
            <v>0.14000000000000001</v>
          </cell>
          <cell r="K74">
            <v>0.18179999999999999</v>
          </cell>
          <cell r="L74">
            <v>0.63</v>
          </cell>
          <cell r="M74">
            <v>8.9599999999999999E-2</v>
          </cell>
          <cell r="N74">
            <v>0</v>
          </cell>
          <cell r="O74">
            <v>2</v>
          </cell>
          <cell r="P74">
            <v>2</v>
          </cell>
        </row>
        <row r="75">
          <cell r="J75">
            <v>0.12</v>
          </cell>
          <cell r="K75">
            <v>0.1515</v>
          </cell>
          <cell r="L75">
            <v>0.68</v>
          </cell>
          <cell r="M75">
            <v>0.1045</v>
          </cell>
          <cell r="N75">
            <v>0</v>
          </cell>
          <cell r="O75">
            <v>4</v>
          </cell>
          <cell r="P75">
            <v>4</v>
          </cell>
        </row>
        <row r="76">
          <cell r="J76">
            <v>0.12</v>
          </cell>
          <cell r="K76">
            <v>0.1515</v>
          </cell>
          <cell r="L76">
            <v>0.74</v>
          </cell>
          <cell r="M76">
            <v>0.1045</v>
          </cell>
          <cell r="N76">
            <v>0</v>
          </cell>
          <cell r="O76">
            <v>36</v>
          </cell>
          <cell r="P76">
            <v>36</v>
          </cell>
        </row>
        <row r="77">
          <cell r="J77">
            <v>0.12</v>
          </cell>
          <cell r="K77">
            <v>0.1515</v>
          </cell>
          <cell r="L77">
            <v>0.74</v>
          </cell>
          <cell r="M77">
            <v>0.1343</v>
          </cell>
          <cell r="N77">
            <v>2</v>
          </cell>
          <cell r="O77">
            <v>92</v>
          </cell>
          <cell r="P77">
            <v>94</v>
          </cell>
        </row>
        <row r="78">
          <cell r="J78">
            <v>0.14000000000000001</v>
          </cell>
          <cell r="K78">
            <v>0.1515</v>
          </cell>
          <cell r="L78">
            <v>0.69</v>
          </cell>
          <cell r="M78">
            <v>0.16420000000000001</v>
          </cell>
          <cell r="N78">
            <v>2</v>
          </cell>
          <cell r="O78">
            <v>177</v>
          </cell>
          <cell r="P78">
            <v>179</v>
          </cell>
        </row>
        <row r="79">
          <cell r="J79">
            <v>0.16</v>
          </cell>
          <cell r="K79">
            <v>0.1515</v>
          </cell>
          <cell r="L79">
            <v>0.64</v>
          </cell>
          <cell r="M79">
            <v>0.22389999999999999</v>
          </cell>
          <cell r="N79">
            <v>2</v>
          </cell>
          <cell r="O79">
            <v>98</v>
          </cell>
          <cell r="P79">
            <v>100</v>
          </cell>
        </row>
        <row r="80">
          <cell r="J80">
            <v>0.16</v>
          </cell>
          <cell r="K80">
            <v>0.13639999999999999</v>
          </cell>
          <cell r="L80">
            <v>0.69</v>
          </cell>
          <cell r="M80">
            <v>0.32840000000000003</v>
          </cell>
          <cell r="N80">
            <v>5</v>
          </cell>
          <cell r="O80">
            <v>37</v>
          </cell>
          <cell r="P80">
            <v>42</v>
          </cell>
        </row>
        <row r="81">
          <cell r="J81">
            <v>0.22</v>
          </cell>
          <cell r="K81">
            <v>0.21210000000000001</v>
          </cell>
          <cell r="L81">
            <v>0.51</v>
          </cell>
          <cell r="M81">
            <v>0.29849999999999999</v>
          </cell>
          <cell r="N81">
            <v>7</v>
          </cell>
          <cell r="O81">
            <v>50</v>
          </cell>
          <cell r="P81">
            <v>57</v>
          </cell>
        </row>
        <row r="82">
          <cell r="J82">
            <v>0.22</v>
          </cell>
          <cell r="K82">
            <v>0.2273</v>
          </cell>
          <cell r="L82">
            <v>0.51</v>
          </cell>
          <cell r="M82">
            <v>0.16420000000000001</v>
          </cell>
          <cell r="N82">
            <v>12</v>
          </cell>
          <cell r="O82">
            <v>66</v>
          </cell>
          <cell r="P82">
            <v>78</v>
          </cell>
        </row>
        <row r="83">
          <cell r="J83">
            <v>0.24</v>
          </cell>
          <cell r="K83">
            <v>0.2273</v>
          </cell>
          <cell r="L83">
            <v>0.56000000000000005</v>
          </cell>
          <cell r="M83">
            <v>0.19400000000000001</v>
          </cell>
          <cell r="N83">
            <v>18</v>
          </cell>
          <cell r="O83">
            <v>79</v>
          </cell>
          <cell r="P83">
            <v>97</v>
          </cell>
        </row>
        <row r="84">
          <cell r="J84">
            <v>0.26</v>
          </cell>
          <cell r="K84">
            <v>0.2576</v>
          </cell>
          <cell r="L84">
            <v>0.52</v>
          </cell>
          <cell r="M84">
            <v>0.22389999999999999</v>
          </cell>
          <cell r="N84">
            <v>9</v>
          </cell>
          <cell r="O84">
            <v>54</v>
          </cell>
          <cell r="P84">
            <v>63</v>
          </cell>
        </row>
        <row r="85">
          <cell r="J85">
            <v>0.28000000000000003</v>
          </cell>
          <cell r="K85">
            <v>0.2727</v>
          </cell>
          <cell r="L85">
            <v>0.52</v>
          </cell>
          <cell r="M85">
            <v>0.25369999999999998</v>
          </cell>
          <cell r="N85">
            <v>17</v>
          </cell>
          <cell r="O85">
            <v>48</v>
          </cell>
          <cell r="P85">
            <v>65</v>
          </cell>
        </row>
        <row r="86">
          <cell r="J86">
            <v>0.3</v>
          </cell>
          <cell r="K86">
            <v>0.28789999999999999</v>
          </cell>
          <cell r="L86">
            <v>0.49</v>
          </cell>
          <cell r="M86">
            <v>0.25369999999999998</v>
          </cell>
          <cell r="N86">
            <v>15</v>
          </cell>
          <cell r="O86">
            <v>68</v>
          </cell>
          <cell r="P86">
            <v>83</v>
          </cell>
        </row>
        <row r="87">
          <cell r="J87">
            <v>0.28000000000000003</v>
          </cell>
          <cell r="K87">
            <v>0.2727</v>
          </cell>
          <cell r="L87">
            <v>0.48</v>
          </cell>
          <cell r="M87">
            <v>0.22389999999999999</v>
          </cell>
          <cell r="N87">
            <v>10</v>
          </cell>
          <cell r="O87">
            <v>202</v>
          </cell>
          <cell r="P87">
            <v>212</v>
          </cell>
        </row>
        <row r="88">
          <cell r="J88">
            <v>0.26</v>
          </cell>
          <cell r="K88">
            <v>0.2576</v>
          </cell>
          <cell r="L88">
            <v>0.48</v>
          </cell>
          <cell r="M88">
            <v>0.19400000000000001</v>
          </cell>
          <cell r="N88">
            <v>3</v>
          </cell>
          <cell r="O88">
            <v>179</v>
          </cell>
          <cell r="P88">
            <v>182</v>
          </cell>
        </row>
        <row r="89">
          <cell r="J89">
            <v>0.24</v>
          </cell>
          <cell r="K89">
            <v>0.2576</v>
          </cell>
          <cell r="L89">
            <v>0.48</v>
          </cell>
          <cell r="M89">
            <v>0.1045</v>
          </cell>
          <cell r="N89">
            <v>2</v>
          </cell>
          <cell r="O89">
            <v>110</v>
          </cell>
          <cell r="P89">
            <v>112</v>
          </cell>
        </row>
        <row r="90">
          <cell r="J90">
            <v>0.24</v>
          </cell>
          <cell r="K90">
            <v>0.2576</v>
          </cell>
          <cell r="L90">
            <v>0.48</v>
          </cell>
          <cell r="M90">
            <v>0.1045</v>
          </cell>
          <cell r="N90">
            <v>1</v>
          </cell>
          <cell r="O90">
            <v>53</v>
          </cell>
          <cell r="P90">
            <v>54</v>
          </cell>
        </row>
        <row r="91">
          <cell r="J91">
            <v>0.22</v>
          </cell>
          <cell r="K91">
            <v>0.2727</v>
          </cell>
          <cell r="L91">
            <v>0.64</v>
          </cell>
          <cell r="M91">
            <v>0</v>
          </cell>
          <cell r="N91">
            <v>0</v>
          </cell>
          <cell r="O91">
            <v>48</v>
          </cell>
          <cell r="P91">
            <v>48</v>
          </cell>
        </row>
        <row r="92">
          <cell r="J92">
            <v>0.22</v>
          </cell>
          <cell r="K92">
            <v>0.2576</v>
          </cell>
          <cell r="L92">
            <v>0.64</v>
          </cell>
          <cell r="M92">
            <v>8.9599999999999999E-2</v>
          </cell>
          <cell r="N92">
            <v>1</v>
          </cell>
          <cell r="O92">
            <v>34</v>
          </cell>
          <cell r="P92">
            <v>35</v>
          </cell>
        </row>
        <row r="93">
          <cell r="J93">
            <v>0.2</v>
          </cell>
          <cell r="K93">
            <v>0.2273</v>
          </cell>
          <cell r="L93">
            <v>0.69</v>
          </cell>
          <cell r="M93">
            <v>8.9599999999999999E-2</v>
          </cell>
          <cell r="N93">
            <v>2</v>
          </cell>
          <cell r="O93">
            <v>9</v>
          </cell>
          <cell r="P93">
            <v>11</v>
          </cell>
        </row>
        <row r="94">
          <cell r="J94">
            <v>0.2</v>
          </cell>
          <cell r="K94">
            <v>0.2576</v>
          </cell>
          <cell r="L94">
            <v>0.64</v>
          </cell>
          <cell r="M94">
            <v>0</v>
          </cell>
          <cell r="N94">
            <v>0</v>
          </cell>
          <cell r="O94">
            <v>6</v>
          </cell>
          <cell r="P94">
            <v>6</v>
          </cell>
        </row>
        <row r="95">
          <cell r="J95">
            <v>0.16</v>
          </cell>
          <cell r="K95">
            <v>0.19700000000000001</v>
          </cell>
          <cell r="L95">
            <v>0.74</v>
          </cell>
          <cell r="M95">
            <v>8.9599999999999999E-2</v>
          </cell>
          <cell r="N95">
            <v>0</v>
          </cell>
          <cell r="O95">
            <v>6</v>
          </cell>
          <cell r="P95">
            <v>6</v>
          </cell>
        </row>
        <row r="96">
          <cell r="J96">
            <v>0.16</v>
          </cell>
          <cell r="K96">
            <v>0.19700000000000001</v>
          </cell>
          <cell r="L96">
            <v>0.74</v>
          </cell>
          <cell r="M96">
            <v>8.9599999999999999E-2</v>
          </cell>
          <cell r="N96">
            <v>0</v>
          </cell>
          <cell r="O96">
            <v>2</v>
          </cell>
          <cell r="P96">
            <v>2</v>
          </cell>
        </row>
        <row r="97">
          <cell r="J97">
            <v>0.24</v>
          </cell>
          <cell r="K97">
            <v>0.2273</v>
          </cell>
          <cell r="L97">
            <v>0.48</v>
          </cell>
          <cell r="M97">
            <v>0.22389999999999999</v>
          </cell>
          <cell r="N97">
            <v>0</v>
          </cell>
          <cell r="O97">
            <v>2</v>
          </cell>
          <cell r="P97">
            <v>2</v>
          </cell>
        </row>
        <row r="98">
          <cell r="J98">
            <v>0.22</v>
          </cell>
          <cell r="K98">
            <v>0.2273</v>
          </cell>
          <cell r="L98">
            <v>0.47</v>
          </cell>
          <cell r="M98">
            <v>0.16420000000000001</v>
          </cell>
          <cell r="N98">
            <v>0</v>
          </cell>
          <cell r="O98">
            <v>3</v>
          </cell>
          <cell r="P98">
            <v>3</v>
          </cell>
        </row>
        <row r="99">
          <cell r="J99">
            <v>0.2</v>
          </cell>
          <cell r="K99">
            <v>0.19700000000000001</v>
          </cell>
          <cell r="L99">
            <v>0.47</v>
          </cell>
          <cell r="M99">
            <v>0.22389999999999999</v>
          </cell>
          <cell r="N99">
            <v>0</v>
          </cell>
          <cell r="O99">
            <v>33</v>
          </cell>
          <cell r="P99">
            <v>33</v>
          </cell>
        </row>
        <row r="100">
          <cell r="J100">
            <v>0.18</v>
          </cell>
          <cell r="K100">
            <v>0.18179999999999999</v>
          </cell>
          <cell r="L100">
            <v>0.43</v>
          </cell>
          <cell r="M100">
            <v>0.19400000000000001</v>
          </cell>
          <cell r="N100">
            <v>1</v>
          </cell>
          <cell r="O100">
            <v>87</v>
          </cell>
          <cell r="P100">
            <v>88</v>
          </cell>
        </row>
        <row r="101">
          <cell r="J101">
            <v>0.2</v>
          </cell>
          <cell r="K101">
            <v>0.18179999999999999</v>
          </cell>
          <cell r="L101">
            <v>0.4</v>
          </cell>
          <cell r="M101">
            <v>0.29849999999999999</v>
          </cell>
          <cell r="N101">
            <v>3</v>
          </cell>
          <cell r="O101">
            <v>192</v>
          </cell>
          <cell r="P101">
            <v>195</v>
          </cell>
        </row>
        <row r="102">
          <cell r="J102">
            <v>0.22</v>
          </cell>
          <cell r="K102">
            <v>0.19700000000000001</v>
          </cell>
          <cell r="L102">
            <v>0.37</v>
          </cell>
          <cell r="M102">
            <v>0.32840000000000003</v>
          </cell>
          <cell r="N102">
            <v>6</v>
          </cell>
          <cell r="O102">
            <v>109</v>
          </cell>
          <cell r="P102">
            <v>115</v>
          </cell>
        </row>
        <row r="103">
          <cell r="J103">
            <v>0.22</v>
          </cell>
          <cell r="K103">
            <v>0.19700000000000001</v>
          </cell>
          <cell r="L103">
            <v>0.37</v>
          </cell>
          <cell r="M103">
            <v>0.32840000000000003</v>
          </cell>
          <cell r="N103">
            <v>4</v>
          </cell>
          <cell r="O103">
            <v>53</v>
          </cell>
          <cell r="P103">
            <v>57</v>
          </cell>
        </row>
        <row r="104">
          <cell r="J104">
            <v>0.26</v>
          </cell>
          <cell r="K104">
            <v>0.2273</v>
          </cell>
          <cell r="L104">
            <v>0.33</v>
          </cell>
          <cell r="M104">
            <v>0.32840000000000003</v>
          </cell>
          <cell r="N104">
            <v>12</v>
          </cell>
          <cell r="O104">
            <v>34</v>
          </cell>
          <cell r="P104">
            <v>46</v>
          </cell>
        </row>
        <row r="105">
          <cell r="J105">
            <v>0.26</v>
          </cell>
          <cell r="K105">
            <v>0.2273</v>
          </cell>
          <cell r="L105">
            <v>0.33</v>
          </cell>
          <cell r="M105">
            <v>0.32840000000000003</v>
          </cell>
          <cell r="N105">
            <v>5</v>
          </cell>
          <cell r="O105">
            <v>74</v>
          </cell>
          <cell r="P105">
            <v>79</v>
          </cell>
        </row>
        <row r="106">
          <cell r="J106">
            <v>0.28000000000000003</v>
          </cell>
          <cell r="K106">
            <v>0.2576</v>
          </cell>
          <cell r="L106">
            <v>0.3</v>
          </cell>
          <cell r="M106">
            <v>0.29849999999999999</v>
          </cell>
          <cell r="N106">
            <v>6</v>
          </cell>
          <cell r="O106">
            <v>65</v>
          </cell>
          <cell r="P106">
            <v>71</v>
          </cell>
        </row>
        <row r="107">
          <cell r="J107">
            <v>0.3</v>
          </cell>
          <cell r="K107">
            <v>0.28789999999999999</v>
          </cell>
          <cell r="L107">
            <v>0.28000000000000003</v>
          </cell>
          <cell r="M107">
            <v>0.19400000000000001</v>
          </cell>
          <cell r="N107">
            <v>10</v>
          </cell>
          <cell r="O107">
            <v>52</v>
          </cell>
          <cell r="P107">
            <v>62</v>
          </cell>
        </row>
        <row r="108">
          <cell r="J108">
            <v>0.3</v>
          </cell>
          <cell r="K108">
            <v>0.28789999999999999</v>
          </cell>
          <cell r="L108">
            <v>0.28000000000000003</v>
          </cell>
          <cell r="M108">
            <v>0.19400000000000001</v>
          </cell>
          <cell r="N108">
            <v>7</v>
          </cell>
          <cell r="O108">
            <v>55</v>
          </cell>
          <cell r="P108">
            <v>62</v>
          </cell>
        </row>
        <row r="109">
          <cell r="J109">
            <v>0.3</v>
          </cell>
          <cell r="K109">
            <v>0.31819999999999998</v>
          </cell>
          <cell r="L109">
            <v>0.28000000000000003</v>
          </cell>
          <cell r="M109">
            <v>8.9599999999999999E-2</v>
          </cell>
          <cell r="N109">
            <v>4</v>
          </cell>
          <cell r="O109">
            <v>85</v>
          </cell>
          <cell r="P109">
            <v>89</v>
          </cell>
        </row>
        <row r="110">
          <cell r="J110">
            <v>0.24</v>
          </cell>
          <cell r="K110">
            <v>0.2273</v>
          </cell>
          <cell r="L110">
            <v>0.38</v>
          </cell>
          <cell r="M110">
            <v>0.19400000000000001</v>
          </cell>
          <cell r="N110">
            <v>4</v>
          </cell>
          <cell r="O110">
            <v>186</v>
          </cell>
          <cell r="P110">
            <v>190</v>
          </cell>
        </row>
        <row r="111">
          <cell r="J111">
            <v>0.24</v>
          </cell>
          <cell r="K111">
            <v>0.2424</v>
          </cell>
          <cell r="L111">
            <v>0.38</v>
          </cell>
          <cell r="M111">
            <v>0.1343</v>
          </cell>
          <cell r="N111">
            <v>3</v>
          </cell>
          <cell r="O111">
            <v>166</v>
          </cell>
          <cell r="P111">
            <v>169</v>
          </cell>
        </row>
        <row r="112">
          <cell r="J112">
            <v>0.24</v>
          </cell>
          <cell r="K112">
            <v>0.2576</v>
          </cell>
          <cell r="L112">
            <v>0.38</v>
          </cell>
          <cell r="M112">
            <v>0.1045</v>
          </cell>
          <cell r="N112">
            <v>5</v>
          </cell>
          <cell r="O112">
            <v>127</v>
          </cell>
          <cell r="P112">
            <v>132</v>
          </cell>
        </row>
        <row r="113">
          <cell r="J113">
            <v>0.22</v>
          </cell>
          <cell r="K113">
            <v>0.2273</v>
          </cell>
          <cell r="L113">
            <v>0.47</v>
          </cell>
          <cell r="M113">
            <v>0.16420000000000001</v>
          </cell>
          <cell r="N113">
            <v>7</v>
          </cell>
          <cell r="O113">
            <v>82</v>
          </cell>
          <cell r="P113">
            <v>89</v>
          </cell>
        </row>
        <row r="114">
          <cell r="J114">
            <v>0.2</v>
          </cell>
          <cell r="K114">
            <v>0.19700000000000001</v>
          </cell>
          <cell r="L114">
            <v>0.51</v>
          </cell>
          <cell r="M114">
            <v>0.19400000000000001</v>
          </cell>
          <cell r="N114">
            <v>3</v>
          </cell>
          <cell r="O114">
            <v>40</v>
          </cell>
          <cell r="P114">
            <v>43</v>
          </cell>
        </row>
        <row r="115">
          <cell r="J115">
            <v>0.18</v>
          </cell>
          <cell r="K115">
            <v>0.19700000000000001</v>
          </cell>
          <cell r="L115">
            <v>0.55000000000000004</v>
          </cell>
          <cell r="M115">
            <v>0.1343</v>
          </cell>
          <cell r="N115">
            <v>1</v>
          </cell>
          <cell r="O115">
            <v>41</v>
          </cell>
          <cell r="P115">
            <v>42</v>
          </cell>
        </row>
        <row r="116">
          <cell r="J116">
            <v>0.2</v>
          </cell>
          <cell r="K116">
            <v>0.2576</v>
          </cell>
          <cell r="L116">
            <v>0.47</v>
          </cell>
          <cell r="M116">
            <v>0</v>
          </cell>
          <cell r="N116">
            <v>1</v>
          </cell>
          <cell r="O116">
            <v>18</v>
          </cell>
          <cell r="P116">
            <v>19</v>
          </cell>
        </row>
        <row r="117">
          <cell r="J117">
            <v>0.18</v>
          </cell>
          <cell r="K117">
            <v>0.2424</v>
          </cell>
          <cell r="L117">
            <v>0.55000000000000004</v>
          </cell>
          <cell r="M117">
            <v>0</v>
          </cell>
          <cell r="N117">
            <v>0</v>
          </cell>
          <cell r="O117">
            <v>11</v>
          </cell>
          <cell r="P117">
            <v>11</v>
          </cell>
        </row>
        <row r="118">
          <cell r="J118">
            <v>0.16</v>
          </cell>
          <cell r="K118">
            <v>0.2273</v>
          </cell>
          <cell r="L118">
            <v>0.64</v>
          </cell>
          <cell r="M118">
            <v>0</v>
          </cell>
          <cell r="N118">
            <v>0</v>
          </cell>
          <cell r="O118">
            <v>4</v>
          </cell>
          <cell r="P118">
            <v>4</v>
          </cell>
        </row>
        <row r="119">
          <cell r="J119">
            <v>0.16</v>
          </cell>
          <cell r="K119">
            <v>0.2273</v>
          </cell>
          <cell r="L119">
            <v>0.64</v>
          </cell>
          <cell r="M119">
            <v>0</v>
          </cell>
          <cell r="N119">
            <v>0</v>
          </cell>
          <cell r="O119">
            <v>2</v>
          </cell>
          <cell r="P119">
            <v>2</v>
          </cell>
        </row>
        <row r="120">
          <cell r="J120">
            <v>0.16</v>
          </cell>
          <cell r="K120">
            <v>0.19700000000000001</v>
          </cell>
          <cell r="L120">
            <v>0.64</v>
          </cell>
          <cell r="M120">
            <v>8.9599999999999999E-2</v>
          </cell>
          <cell r="N120">
            <v>0</v>
          </cell>
          <cell r="O120">
            <v>1</v>
          </cell>
          <cell r="P120">
            <v>1</v>
          </cell>
        </row>
        <row r="121">
          <cell r="J121">
            <v>0.14000000000000001</v>
          </cell>
          <cell r="K121">
            <v>0.18179999999999999</v>
          </cell>
          <cell r="L121">
            <v>0.69</v>
          </cell>
          <cell r="M121">
            <v>8.9599999999999999E-2</v>
          </cell>
          <cell r="N121">
            <v>0</v>
          </cell>
          <cell r="O121">
            <v>4</v>
          </cell>
          <cell r="P121">
            <v>4</v>
          </cell>
        </row>
        <row r="122">
          <cell r="J122">
            <v>0.14000000000000001</v>
          </cell>
          <cell r="K122">
            <v>0.16669999999999999</v>
          </cell>
          <cell r="L122">
            <v>0.63</v>
          </cell>
          <cell r="M122">
            <v>0.1045</v>
          </cell>
          <cell r="N122">
            <v>0</v>
          </cell>
          <cell r="O122">
            <v>36</v>
          </cell>
          <cell r="P122">
            <v>36</v>
          </cell>
        </row>
        <row r="123">
          <cell r="J123">
            <v>0.16</v>
          </cell>
          <cell r="K123">
            <v>0.2273</v>
          </cell>
          <cell r="L123">
            <v>0.59</v>
          </cell>
          <cell r="M123">
            <v>0</v>
          </cell>
          <cell r="N123">
            <v>0</v>
          </cell>
          <cell r="O123">
            <v>95</v>
          </cell>
          <cell r="P123">
            <v>95</v>
          </cell>
        </row>
        <row r="124">
          <cell r="J124">
            <v>0.16</v>
          </cell>
          <cell r="K124">
            <v>0.2273</v>
          </cell>
          <cell r="L124">
            <v>0.59</v>
          </cell>
          <cell r="M124">
            <v>0</v>
          </cell>
          <cell r="N124">
            <v>3</v>
          </cell>
          <cell r="O124">
            <v>216</v>
          </cell>
          <cell r="P124">
            <v>219</v>
          </cell>
        </row>
        <row r="125">
          <cell r="J125">
            <v>0.18</v>
          </cell>
          <cell r="K125">
            <v>0.2424</v>
          </cell>
          <cell r="L125">
            <v>0.51</v>
          </cell>
          <cell r="M125">
            <v>0</v>
          </cell>
          <cell r="N125">
            <v>6</v>
          </cell>
          <cell r="O125">
            <v>116</v>
          </cell>
          <cell r="P125">
            <v>122</v>
          </cell>
        </row>
        <row r="126">
          <cell r="J126">
            <v>0.2</v>
          </cell>
          <cell r="K126">
            <v>0.2576</v>
          </cell>
          <cell r="L126">
            <v>0.47</v>
          </cell>
          <cell r="M126">
            <v>0</v>
          </cell>
          <cell r="N126">
            <v>3</v>
          </cell>
          <cell r="O126">
            <v>42</v>
          </cell>
          <cell r="P126">
            <v>45</v>
          </cell>
        </row>
        <row r="127">
          <cell r="J127">
            <v>0.22</v>
          </cell>
          <cell r="K127">
            <v>0.2576</v>
          </cell>
          <cell r="L127">
            <v>0.44</v>
          </cell>
          <cell r="M127">
            <v>8.9599999999999999E-2</v>
          </cell>
          <cell r="N127">
            <v>2</v>
          </cell>
          <cell r="O127">
            <v>57</v>
          </cell>
          <cell r="P127">
            <v>59</v>
          </cell>
        </row>
        <row r="128">
          <cell r="J128">
            <v>0.26</v>
          </cell>
          <cell r="K128">
            <v>0.28789999999999999</v>
          </cell>
          <cell r="L128">
            <v>0.35</v>
          </cell>
          <cell r="M128">
            <v>0</v>
          </cell>
          <cell r="N128">
            <v>6</v>
          </cell>
          <cell r="O128">
            <v>78</v>
          </cell>
          <cell r="P128">
            <v>84</v>
          </cell>
        </row>
        <row r="129">
          <cell r="J129">
            <v>0.26</v>
          </cell>
          <cell r="K129">
            <v>0.2727</v>
          </cell>
          <cell r="L129">
            <v>0.35</v>
          </cell>
          <cell r="M129">
            <v>0.1045</v>
          </cell>
          <cell r="N129">
            <v>12</v>
          </cell>
          <cell r="O129">
            <v>55</v>
          </cell>
          <cell r="P129">
            <v>67</v>
          </cell>
        </row>
        <row r="130">
          <cell r="J130">
            <v>0.28000000000000003</v>
          </cell>
          <cell r="K130">
            <v>0.2727</v>
          </cell>
          <cell r="L130">
            <v>0.36</v>
          </cell>
          <cell r="M130">
            <v>0.16420000000000001</v>
          </cell>
          <cell r="N130">
            <v>11</v>
          </cell>
          <cell r="O130">
            <v>59</v>
          </cell>
          <cell r="P130">
            <v>70</v>
          </cell>
        </row>
        <row r="131">
          <cell r="J131">
            <v>0.28000000000000003</v>
          </cell>
          <cell r="K131">
            <v>0.2727</v>
          </cell>
          <cell r="L131">
            <v>0.36</v>
          </cell>
          <cell r="M131">
            <v>0</v>
          </cell>
          <cell r="N131">
            <v>8</v>
          </cell>
          <cell r="O131">
            <v>54</v>
          </cell>
          <cell r="P131">
            <v>62</v>
          </cell>
        </row>
        <row r="132">
          <cell r="J132">
            <v>0.26</v>
          </cell>
          <cell r="K132">
            <v>0.2576</v>
          </cell>
          <cell r="L132">
            <v>0.38</v>
          </cell>
          <cell r="M132">
            <v>0.16420000000000001</v>
          </cell>
          <cell r="N132">
            <v>12</v>
          </cell>
          <cell r="O132">
            <v>74</v>
          </cell>
          <cell r="P132">
            <v>86</v>
          </cell>
        </row>
        <row r="133">
          <cell r="J133">
            <v>0.22</v>
          </cell>
          <cell r="K133">
            <v>0.2273</v>
          </cell>
          <cell r="L133">
            <v>0.51</v>
          </cell>
          <cell r="M133">
            <v>0.16420000000000001</v>
          </cell>
          <cell r="N133">
            <v>9</v>
          </cell>
          <cell r="O133">
            <v>163</v>
          </cell>
          <cell r="P133">
            <v>172</v>
          </cell>
        </row>
        <row r="134">
          <cell r="J134">
            <v>0.22</v>
          </cell>
          <cell r="K134">
            <v>0.2273</v>
          </cell>
          <cell r="L134">
            <v>0.51</v>
          </cell>
          <cell r="M134">
            <v>0.1343</v>
          </cell>
          <cell r="N134">
            <v>5</v>
          </cell>
          <cell r="O134">
            <v>158</v>
          </cell>
          <cell r="P134">
            <v>163</v>
          </cell>
        </row>
        <row r="135">
          <cell r="J135">
            <v>0.22</v>
          </cell>
          <cell r="K135">
            <v>0.2576</v>
          </cell>
          <cell r="L135">
            <v>0.55000000000000004</v>
          </cell>
          <cell r="M135">
            <v>8.9599999999999999E-2</v>
          </cell>
          <cell r="N135">
            <v>3</v>
          </cell>
          <cell r="O135">
            <v>109</v>
          </cell>
          <cell r="P135">
            <v>112</v>
          </cell>
        </row>
        <row r="136">
          <cell r="J136">
            <v>0.2</v>
          </cell>
          <cell r="K136">
            <v>0.21210000000000001</v>
          </cell>
          <cell r="L136">
            <v>0.51</v>
          </cell>
          <cell r="M136">
            <v>0.16420000000000001</v>
          </cell>
          <cell r="N136">
            <v>3</v>
          </cell>
          <cell r="O136">
            <v>66</v>
          </cell>
          <cell r="P136">
            <v>69</v>
          </cell>
        </row>
        <row r="137">
          <cell r="J137">
            <v>0.22</v>
          </cell>
          <cell r="K137">
            <v>0.21210000000000001</v>
          </cell>
          <cell r="L137">
            <v>0.55000000000000004</v>
          </cell>
          <cell r="M137">
            <v>0.22389999999999999</v>
          </cell>
          <cell r="N137">
            <v>0</v>
          </cell>
          <cell r="O137">
            <v>48</v>
          </cell>
          <cell r="P137">
            <v>48</v>
          </cell>
        </row>
        <row r="138">
          <cell r="J138">
            <v>0.22</v>
          </cell>
          <cell r="K138">
            <v>0.21210000000000001</v>
          </cell>
          <cell r="L138">
            <v>0.51</v>
          </cell>
          <cell r="M138">
            <v>0.28360000000000002</v>
          </cell>
          <cell r="N138">
            <v>1</v>
          </cell>
          <cell r="O138">
            <v>51</v>
          </cell>
          <cell r="P138">
            <v>52</v>
          </cell>
        </row>
        <row r="139">
          <cell r="J139">
            <v>0.2</v>
          </cell>
          <cell r="K139">
            <v>0.19700000000000001</v>
          </cell>
          <cell r="L139">
            <v>0.59</v>
          </cell>
          <cell r="M139">
            <v>0.19400000000000001</v>
          </cell>
          <cell r="N139">
            <v>4</v>
          </cell>
          <cell r="O139">
            <v>19</v>
          </cell>
          <cell r="P139">
            <v>23</v>
          </cell>
        </row>
        <row r="140">
          <cell r="J140">
            <v>0.2</v>
          </cell>
          <cell r="K140">
            <v>0.19700000000000001</v>
          </cell>
          <cell r="L140">
            <v>0.64</v>
          </cell>
          <cell r="M140">
            <v>0.19400000000000001</v>
          </cell>
          <cell r="N140">
            <v>4</v>
          </cell>
          <cell r="O140">
            <v>13</v>
          </cell>
          <cell r="P140">
            <v>17</v>
          </cell>
        </row>
        <row r="141">
          <cell r="J141">
            <v>0.2</v>
          </cell>
          <cell r="K141">
            <v>0.19700000000000001</v>
          </cell>
          <cell r="L141">
            <v>0.69</v>
          </cell>
          <cell r="M141">
            <v>0.22389999999999999</v>
          </cell>
          <cell r="N141">
            <v>2</v>
          </cell>
          <cell r="O141">
            <v>5</v>
          </cell>
          <cell r="P141">
            <v>7</v>
          </cell>
        </row>
        <row r="142">
          <cell r="J142">
            <v>0.2</v>
          </cell>
          <cell r="K142">
            <v>0.19700000000000001</v>
          </cell>
          <cell r="L142">
            <v>0.69</v>
          </cell>
          <cell r="M142">
            <v>0.22389999999999999</v>
          </cell>
          <cell r="N142">
            <v>0</v>
          </cell>
          <cell r="O142">
            <v>1</v>
          </cell>
          <cell r="P142">
            <v>1</v>
          </cell>
        </row>
        <row r="143">
          <cell r="J143">
            <v>0.2</v>
          </cell>
          <cell r="K143">
            <v>0.21210000000000001</v>
          </cell>
          <cell r="L143">
            <v>0.69</v>
          </cell>
          <cell r="M143">
            <v>0.1343</v>
          </cell>
          <cell r="N143">
            <v>0</v>
          </cell>
          <cell r="O143">
            <v>1</v>
          </cell>
          <cell r="P143">
            <v>1</v>
          </cell>
        </row>
        <row r="144">
          <cell r="J144">
            <v>0.22</v>
          </cell>
          <cell r="K144">
            <v>0.2727</v>
          </cell>
          <cell r="L144">
            <v>0.55000000000000004</v>
          </cell>
          <cell r="M144">
            <v>0</v>
          </cell>
          <cell r="N144">
            <v>0</v>
          </cell>
          <cell r="O144">
            <v>5</v>
          </cell>
          <cell r="P144">
            <v>5</v>
          </cell>
        </row>
        <row r="145">
          <cell r="J145">
            <v>0.2</v>
          </cell>
          <cell r="K145">
            <v>0.2576</v>
          </cell>
          <cell r="L145">
            <v>0.69</v>
          </cell>
          <cell r="M145">
            <v>0</v>
          </cell>
          <cell r="N145">
            <v>8</v>
          </cell>
          <cell r="O145">
            <v>26</v>
          </cell>
          <cell r="P145">
            <v>34</v>
          </cell>
        </row>
        <row r="146">
          <cell r="J146">
            <v>0.2</v>
          </cell>
          <cell r="K146">
            <v>0.21210000000000001</v>
          </cell>
          <cell r="L146">
            <v>0.69</v>
          </cell>
          <cell r="M146">
            <v>0.1343</v>
          </cell>
          <cell r="N146">
            <v>8</v>
          </cell>
          <cell r="O146">
            <v>76</v>
          </cell>
          <cell r="P146">
            <v>84</v>
          </cell>
        </row>
        <row r="147">
          <cell r="J147">
            <v>0.2</v>
          </cell>
          <cell r="K147">
            <v>0.19700000000000001</v>
          </cell>
          <cell r="L147">
            <v>0.51</v>
          </cell>
          <cell r="M147">
            <v>0.25369999999999998</v>
          </cell>
          <cell r="N147">
            <v>20</v>
          </cell>
          <cell r="O147">
            <v>190</v>
          </cell>
          <cell r="P147">
            <v>210</v>
          </cell>
        </row>
        <row r="148">
          <cell r="J148">
            <v>0.2</v>
          </cell>
          <cell r="K148">
            <v>0.18179999999999999</v>
          </cell>
          <cell r="L148">
            <v>0.47</v>
          </cell>
          <cell r="M148">
            <v>0.29849999999999999</v>
          </cell>
          <cell r="N148">
            <v>9</v>
          </cell>
          <cell r="O148">
            <v>125</v>
          </cell>
          <cell r="P148">
            <v>134</v>
          </cell>
        </row>
        <row r="149">
          <cell r="J149">
            <v>0.22</v>
          </cell>
          <cell r="K149">
            <v>0.19700000000000001</v>
          </cell>
          <cell r="L149">
            <v>0.37</v>
          </cell>
          <cell r="M149">
            <v>0.32840000000000003</v>
          </cell>
          <cell r="N149">
            <v>16</v>
          </cell>
          <cell r="O149">
            <v>47</v>
          </cell>
          <cell r="P149">
            <v>63</v>
          </cell>
        </row>
        <row r="150">
          <cell r="J150">
            <v>0.2</v>
          </cell>
          <cell r="K150">
            <v>0.19700000000000001</v>
          </cell>
          <cell r="L150">
            <v>0.4</v>
          </cell>
          <cell r="M150">
            <v>0.22389999999999999</v>
          </cell>
          <cell r="N150">
            <v>19</v>
          </cell>
          <cell r="O150">
            <v>48</v>
          </cell>
          <cell r="P150">
            <v>67</v>
          </cell>
        </row>
        <row r="151">
          <cell r="J151">
            <v>0.2</v>
          </cell>
          <cell r="K151">
            <v>0.19700000000000001</v>
          </cell>
          <cell r="L151">
            <v>0.37</v>
          </cell>
          <cell r="M151">
            <v>0.25369999999999998</v>
          </cell>
          <cell r="N151">
            <v>9</v>
          </cell>
          <cell r="O151">
            <v>50</v>
          </cell>
          <cell r="P151">
            <v>59</v>
          </cell>
        </row>
        <row r="152">
          <cell r="J152">
            <v>0.2</v>
          </cell>
          <cell r="K152">
            <v>0.18179999999999999</v>
          </cell>
          <cell r="L152">
            <v>0.37</v>
          </cell>
          <cell r="M152">
            <v>0.28360000000000002</v>
          </cell>
          <cell r="N152">
            <v>9</v>
          </cell>
          <cell r="O152">
            <v>64</v>
          </cell>
          <cell r="P152">
            <v>73</v>
          </cell>
        </row>
        <row r="153">
          <cell r="J153">
            <v>0.2</v>
          </cell>
          <cell r="K153">
            <v>0.19700000000000001</v>
          </cell>
          <cell r="L153">
            <v>0.4</v>
          </cell>
          <cell r="M153">
            <v>0.25369999999999998</v>
          </cell>
          <cell r="N153">
            <v>7</v>
          </cell>
          <cell r="O153">
            <v>43</v>
          </cell>
          <cell r="P153">
            <v>50</v>
          </cell>
        </row>
        <row r="154">
          <cell r="J154">
            <v>0.2</v>
          </cell>
          <cell r="K154">
            <v>0.21210000000000001</v>
          </cell>
          <cell r="L154">
            <v>0.37</v>
          </cell>
          <cell r="M154">
            <v>0.16420000000000001</v>
          </cell>
          <cell r="N154">
            <v>9</v>
          </cell>
          <cell r="O154">
            <v>63</v>
          </cell>
          <cell r="P154">
            <v>72</v>
          </cell>
        </row>
        <row r="155">
          <cell r="J155">
            <v>0.2</v>
          </cell>
          <cell r="K155">
            <v>0.21210000000000001</v>
          </cell>
          <cell r="L155">
            <v>0.37</v>
          </cell>
          <cell r="M155">
            <v>0.16420000000000001</v>
          </cell>
          <cell r="N155">
            <v>5</v>
          </cell>
          <cell r="O155">
            <v>82</v>
          </cell>
          <cell r="P155">
            <v>87</v>
          </cell>
        </row>
        <row r="156">
          <cell r="J156">
            <v>0.2</v>
          </cell>
          <cell r="K156">
            <v>0.2576</v>
          </cell>
          <cell r="L156">
            <v>0.37</v>
          </cell>
          <cell r="M156">
            <v>0</v>
          </cell>
          <cell r="N156">
            <v>9</v>
          </cell>
          <cell r="O156">
            <v>178</v>
          </cell>
          <cell r="P156">
            <v>187</v>
          </cell>
        </row>
        <row r="157">
          <cell r="J157">
            <v>0.2</v>
          </cell>
          <cell r="K157">
            <v>0.2273</v>
          </cell>
          <cell r="L157">
            <v>0.4</v>
          </cell>
          <cell r="M157">
            <v>8.9599999999999999E-2</v>
          </cell>
          <cell r="N157">
            <v>7</v>
          </cell>
          <cell r="O157">
            <v>116</v>
          </cell>
          <cell r="P157">
            <v>123</v>
          </cell>
        </row>
        <row r="158">
          <cell r="J158">
            <v>0.16</v>
          </cell>
          <cell r="K158">
            <v>0.19700000000000001</v>
          </cell>
          <cell r="L158">
            <v>0.55000000000000004</v>
          </cell>
          <cell r="M158">
            <v>8.9599999999999999E-2</v>
          </cell>
          <cell r="N158">
            <v>3</v>
          </cell>
          <cell r="O158">
            <v>92</v>
          </cell>
          <cell r="P158">
            <v>95</v>
          </cell>
        </row>
        <row r="159">
          <cell r="J159">
            <v>0.18</v>
          </cell>
          <cell r="K159">
            <v>0.21210000000000001</v>
          </cell>
          <cell r="L159">
            <v>0.47</v>
          </cell>
          <cell r="M159">
            <v>0.1045</v>
          </cell>
          <cell r="N159">
            <v>1</v>
          </cell>
          <cell r="O159">
            <v>50</v>
          </cell>
          <cell r="P159">
            <v>51</v>
          </cell>
        </row>
        <row r="160">
          <cell r="J160">
            <v>0.18</v>
          </cell>
          <cell r="K160">
            <v>0.19700000000000001</v>
          </cell>
          <cell r="L160">
            <v>0.47</v>
          </cell>
          <cell r="M160">
            <v>0.1343</v>
          </cell>
          <cell r="N160">
            <v>0</v>
          </cell>
          <cell r="O160">
            <v>39</v>
          </cell>
          <cell r="P160">
            <v>39</v>
          </cell>
        </row>
        <row r="161">
          <cell r="J161">
            <v>0.18</v>
          </cell>
          <cell r="K161">
            <v>0.19700000000000001</v>
          </cell>
          <cell r="L161">
            <v>0.43</v>
          </cell>
          <cell r="M161">
            <v>0.16420000000000001</v>
          </cell>
          <cell r="N161">
            <v>2</v>
          </cell>
          <cell r="O161">
            <v>34</v>
          </cell>
          <cell r="P161">
            <v>36</v>
          </cell>
        </row>
        <row r="162">
          <cell r="J162">
            <v>0.18</v>
          </cell>
          <cell r="K162">
            <v>0.19700000000000001</v>
          </cell>
          <cell r="L162">
            <v>0.51</v>
          </cell>
          <cell r="M162">
            <v>0.16420000000000001</v>
          </cell>
          <cell r="N162">
            <v>1</v>
          </cell>
          <cell r="O162">
            <v>14</v>
          </cell>
          <cell r="P162">
            <v>15</v>
          </cell>
        </row>
        <row r="163">
          <cell r="J163">
            <v>0.18</v>
          </cell>
          <cell r="K163">
            <v>0.19700000000000001</v>
          </cell>
          <cell r="L163">
            <v>0.51</v>
          </cell>
          <cell r="M163">
            <v>0.16420000000000001</v>
          </cell>
          <cell r="N163">
            <v>1</v>
          </cell>
          <cell r="O163">
            <v>24</v>
          </cell>
          <cell r="P163">
            <v>25</v>
          </cell>
        </row>
        <row r="164">
          <cell r="J164">
            <v>0.18</v>
          </cell>
          <cell r="K164">
            <v>0.21210000000000001</v>
          </cell>
          <cell r="L164">
            <v>0.55000000000000004</v>
          </cell>
          <cell r="M164">
            <v>8.9599999999999999E-2</v>
          </cell>
          <cell r="N164">
            <v>1</v>
          </cell>
          <cell r="O164">
            <v>15</v>
          </cell>
          <cell r="P164">
            <v>16</v>
          </cell>
        </row>
        <row r="165">
          <cell r="J165">
            <v>0.18</v>
          </cell>
          <cell r="K165">
            <v>0.2424</v>
          </cell>
          <cell r="L165">
            <v>0.55000000000000004</v>
          </cell>
          <cell r="M165">
            <v>0</v>
          </cell>
          <cell r="N165">
            <v>3</v>
          </cell>
          <cell r="O165">
            <v>13</v>
          </cell>
          <cell r="P165">
            <v>16</v>
          </cell>
        </row>
        <row r="166">
          <cell r="J166">
            <v>0.18</v>
          </cell>
          <cell r="K166">
            <v>0.19700000000000001</v>
          </cell>
          <cell r="L166">
            <v>0.55000000000000004</v>
          </cell>
          <cell r="M166">
            <v>0.16420000000000001</v>
          </cell>
          <cell r="N166">
            <v>0</v>
          </cell>
          <cell r="O166">
            <v>7</v>
          </cell>
          <cell r="P166">
            <v>7</v>
          </cell>
        </row>
        <row r="167">
          <cell r="J167">
            <v>0.18</v>
          </cell>
          <cell r="K167">
            <v>0.19700000000000001</v>
          </cell>
          <cell r="L167">
            <v>0.55000000000000004</v>
          </cell>
          <cell r="M167">
            <v>0.16420000000000001</v>
          </cell>
          <cell r="N167">
            <v>0</v>
          </cell>
          <cell r="O167">
            <v>1</v>
          </cell>
          <cell r="P167">
            <v>1</v>
          </cell>
        </row>
        <row r="168">
          <cell r="J168">
            <v>0.16</v>
          </cell>
          <cell r="K168">
            <v>0.16669999999999999</v>
          </cell>
          <cell r="L168">
            <v>0.74</v>
          </cell>
          <cell r="M168">
            <v>0.16420000000000001</v>
          </cell>
          <cell r="N168">
            <v>0</v>
          </cell>
          <cell r="O168">
            <v>5</v>
          </cell>
          <cell r="P168">
            <v>5</v>
          </cell>
        </row>
        <row r="169">
          <cell r="J169">
            <v>0.16</v>
          </cell>
          <cell r="K169">
            <v>0.16669999999999999</v>
          </cell>
          <cell r="L169">
            <v>0.74</v>
          </cell>
          <cell r="M169">
            <v>0.16420000000000001</v>
          </cell>
          <cell r="N169">
            <v>0</v>
          </cell>
          <cell r="O169">
            <v>2</v>
          </cell>
          <cell r="P169">
            <v>2</v>
          </cell>
        </row>
        <row r="170">
          <cell r="J170">
            <v>0.16</v>
          </cell>
          <cell r="K170">
            <v>0.18179999999999999</v>
          </cell>
          <cell r="L170">
            <v>0.74</v>
          </cell>
          <cell r="M170">
            <v>0.1045</v>
          </cell>
          <cell r="N170">
            <v>1</v>
          </cell>
          <cell r="O170">
            <v>8</v>
          </cell>
          <cell r="P170">
            <v>9</v>
          </cell>
        </row>
        <row r="171">
          <cell r="J171">
            <v>0.16</v>
          </cell>
          <cell r="K171">
            <v>0.18179999999999999</v>
          </cell>
          <cell r="L171">
            <v>0.93</v>
          </cell>
          <cell r="M171">
            <v>0.1045</v>
          </cell>
          <cell r="N171">
            <v>0</v>
          </cell>
          <cell r="O171">
            <v>15</v>
          </cell>
          <cell r="P171">
            <v>15</v>
          </cell>
        </row>
        <row r="172">
          <cell r="J172">
            <v>0.16</v>
          </cell>
          <cell r="K172">
            <v>0.18179999999999999</v>
          </cell>
          <cell r="L172">
            <v>0.93</v>
          </cell>
          <cell r="M172">
            <v>0.1045</v>
          </cell>
          <cell r="N172">
            <v>0</v>
          </cell>
          <cell r="O172">
            <v>20</v>
          </cell>
          <cell r="P172">
            <v>20</v>
          </cell>
        </row>
        <row r="173">
          <cell r="J173">
            <v>0.18</v>
          </cell>
          <cell r="K173">
            <v>0.19700000000000001</v>
          </cell>
          <cell r="L173">
            <v>0.8</v>
          </cell>
          <cell r="M173">
            <v>0.16420000000000001</v>
          </cell>
          <cell r="N173">
            <v>5</v>
          </cell>
          <cell r="O173">
            <v>56</v>
          </cell>
          <cell r="P173">
            <v>61</v>
          </cell>
        </row>
        <row r="174">
          <cell r="J174">
            <v>0.2</v>
          </cell>
          <cell r="K174">
            <v>0.18179999999999999</v>
          </cell>
          <cell r="L174">
            <v>0.69</v>
          </cell>
          <cell r="M174">
            <v>0.3881</v>
          </cell>
          <cell r="N174">
            <v>2</v>
          </cell>
          <cell r="O174">
            <v>60</v>
          </cell>
          <cell r="P174">
            <v>62</v>
          </cell>
        </row>
        <row r="175">
          <cell r="J175">
            <v>0.2</v>
          </cell>
          <cell r="K175">
            <v>0.18179999999999999</v>
          </cell>
          <cell r="L175">
            <v>0.59</v>
          </cell>
          <cell r="M175">
            <v>0.35820000000000002</v>
          </cell>
          <cell r="N175">
            <v>8</v>
          </cell>
          <cell r="O175">
            <v>90</v>
          </cell>
          <cell r="P175">
            <v>98</v>
          </cell>
        </row>
        <row r="176">
          <cell r="J176">
            <v>0.2</v>
          </cell>
          <cell r="K176">
            <v>0.18179999999999999</v>
          </cell>
          <cell r="L176">
            <v>0.44</v>
          </cell>
          <cell r="M176">
            <v>0.32840000000000003</v>
          </cell>
          <cell r="N176">
            <v>7</v>
          </cell>
          <cell r="O176">
            <v>95</v>
          </cell>
          <cell r="P176">
            <v>102</v>
          </cell>
        </row>
        <row r="177">
          <cell r="J177">
            <v>0.2</v>
          </cell>
          <cell r="K177">
            <v>0.16669999999999999</v>
          </cell>
          <cell r="L177">
            <v>0.32</v>
          </cell>
          <cell r="M177">
            <v>0.49249999999999999</v>
          </cell>
          <cell r="N177">
            <v>12</v>
          </cell>
          <cell r="O177">
            <v>83</v>
          </cell>
          <cell r="P177">
            <v>95</v>
          </cell>
        </row>
        <row r="178">
          <cell r="J178">
            <v>0.2</v>
          </cell>
          <cell r="K178">
            <v>0.16669999999999999</v>
          </cell>
          <cell r="L178">
            <v>0.32</v>
          </cell>
          <cell r="M178">
            <v>0.44779999999999998</v>
          </cell>
          <cell r="N178">
            <v>5</v>
          </cell>
          <cell r="O178">
            <v>69</v>
          </cell>
          <cell r="P178">
            <v>74</v>
          </cell>
        </row>
        <row r="179">
          <cell r="J179">
            <v>0.18</v>
          </cell>
          <cell r="K179">
            <v>0.13639999999999999</v>
          </cell>
          <cell r="L179">
            <v>0.28999999999999998</v>
          </cell>
          <cell r="M179">
            <v>0.44779999999999998</v>
          </cell>
          <cell r="N179">
            <v>8</v>
          </cell>
          <cell r="O179">
            <v>68</v>
          </cell>
          <cell r="P179">
            <v>76</v>
          </cell>
        </row>
        <row r="180">
          <cell r="J180">
            <v>0.16</v>
          </cell>
          <cell r="K180">
            <v>0.1212</v>
          </cell>
          <cell r="L180">
            <v>0.37</v>
          </cell>
          <cell r="M180">
            <v>0.55220000000000002</v>
          </cell>
          <cell r="N180">
            <v>5</v>
          </cell>
          <cell r="O180">
            <v>64</v>
          </cell>
          <cell r="P180">
            <v>69</v>
          </cell>
        </row>
        <row r="181">
          <cell r="J181">
            <v>0.14000000000000001</v>
          </cell>
          <cell r="K181">
            <v>0.1212</v>
          </cell>
          <cell r="L181">
            <v>0.39</v>
          </cell>
          <cell r="M181">
            <v>0.29849999999999999</v>
          </cell>
          <cell r="N181">
            <v>3</v>
          </cell>
          <cell r="O181">
            <v>52</v>
          </cell>
          <cell r="P181">
            <v>55</v>
          </cell>
        </row>
        <row r="182">
          <cell r="J182">
            <v>0.14000000000000001</v>
          </cell>
          <cell r="K182">
            <v>0.1212</v>
          </cell>
          <cell r="L182">
            <v>0.36</v>
          </cell>
          <cell r="M182">
            <v>0.25369999999999998</v>
          </cell>
          <cell r="N182">
            <v>4</v>
          </cell>
          <cell r="O182">
            <v>26</v>
          </cell>
          <cell r="P182">
            <v>30</v>
          </cell>
        </row>
        <row r="183">
          <cell r="J183">
            <v>0.12</v>
          </cell>
          <cell r="K183">
            <v>0.1212</v>
          </cell>
          <cell r="L183">
            <v>0.36</v>
          </cell>
          <cell r="M183">
            <v>0.25369999999999998</v>
          </cell>
          <cell r="N183">
            <v>0</v>
          </cell>
          <cell r="O183">
            <v>28</v>
          </cell>
          <cell r="P183">
            <v>28</v>
          </cell>
        </row>
        <row r="184">
          <cell r="J184">
            <v>0.12</v>
          </cell>
          <cell r="K184">
            <v>0.1061</v>
          </cell>
          <cell r="L184">
            <v>0.39</v>
          </cell>
          <cell r="M184">
            <v>0.35820000000000002</v>
          </cell>
          <cell r="N184">
            <v>2</v>
          </cell>
          <cell r="O184">
            <v>35</v>
          </cell>
          <cell r="P184">
            <v>37</v>
          </cell>
        </row>
        <row r="185">
          <cell r="J185">
            <v>0.12</v>
          </cell>
          <cell r="K185">
            <v>0.1061</v>
          </cell>
          <cell r="L185">
            <v>0.36</v>
          </cell>
          <cell r="M185">
            <v>0.3881</v>
          </cell>
          <cell r="N185">
            <v>1</v>
          </cell>
          <cell r="O185">
            <v>33</v>
          </cell>
          <cell r="P185">
            <v>34</v>
          </cell>
        </row>
        <row r="186">
          <cell r="J186">
            <v>0.1</v>
          </cell>
          <cell r="K186">
            <v>6.0600000000000001E-2</v>
          </cell>
          <cell r="L186">
            <v>0.39</v>
          </cell>
          <cell r="M186">
            <v>0.44779999999999998</v>
          </cell>
          <cell r="N186">
            <v>0</v>
          </cell>
          <cell r="O186">
            <v>22</v>
          </cell>
          <cell r="P186">
            <v>22</v>
          </cell>
        </row>
        <row r="187">
          <cell r="J187">
            <v>0.1</v>
          </cell>
          <cell r="K187">
            <v>7.5800000000000006E-2</v>
          </cell>
          <cell r="L187">
            <v>0.42</v>
          </cell>
          <cell r="M187">
            <v>0.3881</v>
          </cell>
          <cell r="N187">
            <v>1</v>
          </cell>
          <cell r="O187">
            <v>24</v>
          </cell>
          <cell r="P187">
            <v>25</v>
          </cell>
        </row>
        <row r="188">
          <cell r="J188">
            <v>0.1</v>
          </cell>
          <cell r="K188">
            <v>6.0600000000000001E-2</v>
          </cell>
          <cell r="L188">
            <v>0.42</v>
          </cell>
          <cell r="M188">
            <v>0.4627</v>
          </cell>
          <cell r="N188">
            <v>0</v>
          </cell>
          <cell r="O188">
            <v>12</v>
          </cell>
          <cell r="P188">
            <v>12</v>
          </cell>
        </row>
        <row r="189">
          <cell r="J189">
            <v>0.1</v>
          </cell>
          <cell r="K189">
            <v>6.0600000000000001E-2</v>
          </cell>
          <cell r="L189">
            <v>0.46</v>
          </cell>
          <cell r="M189">
            <v>0.4627</v>
          </cell>
          <cell r="N189">
            <v>0</v>
          </cell>
          <cell r="O189">
            <v>11</v>
          </cell>
          <cell r="P189">
            <v>11</v>
          </cell>
        </row>
        <row r="190">
          <cell r="J190">
            <v>0.1</v>
          </cell>
          <cell r="K190">
            <v>7.5800000000000006E-2</v>
          </cell>
          <cell r="L190">
            <v>0.46</v>
          </cell>
          <cell r="M190">
            <v>0.41789999999999999</v>
          </cell>
          <cell r="N190">
            <v>0</v>
          </cell>
          <cell r="O190">
            <v>4</v>
          </cell>
          <cell r="P190">
            <v>4</v>
          </cell>
        </row>
        <row r="191">
          <cell r="J191">
            <v>0.08</v>
          </cell>
          <cell r="K191">
            <v>9.0899999999999995E-2</v>
          </cell>
          <cell r="L191">
            <v>0.53</v>
          </cell>
          <cell r="M191">
            <v>0.19400000000000001</v>
          </cell>
          <cell r="N191">
            <v>0</v>
          </cell>
          <cell r="O191">
            <v>1</v>
          </cell>
          <cell r="P191">
            <v>1</v>
          </cell>
        </row>
        <row r="192">
          <cell r="J192">
            <v>0.08</v>
          </cell>
          <cell r="K192">
            <v>9.0899999999999995E-2</v>
          </cell>
          <cell r="L192">
            <v>0.53</v>
          </cell>
          <cell r="M192">
            <v>0.19400000000000001</v>
          </cell>
          <cell r="N192">
            <v>0</v>
          </cell>
          <cell r="O192">
            <v>1</v>
          </cell>
          <cell r="P192">
            <v>1</v>
          </cell>
        </row>
        <row r="193">
          <cell r="J193">
            <v>0.1</v>
          </cell>
          <cell r="K193">
            <v>9.0899999999999995E-2</v>
          </cell>
          <cell r="L193">
            <v>0.49</v>
          </cell>
          <cell r="M193">
            <v>0.28360000000000002</v>
          </cell>
          <cell r="N193">
            <v>0</v>
          </cell>
          <cell r="O193">
            <v>1</v>
          </cell>
          <cell r="P193">
            <v>1</v>
          </cell>
        </row>
        <row r="194">
          <cell r="J194">
            <v>0.08</v>
          </cell>
          <cell r="K194">
            <v>9.0899999999999995E-2</v>
          </cell>
          <cell r="L194">
            <v>0.53</v>
          </cell>
          <cell r="M194">
            <v>0.19400000000000001</v>
          </cell>
          <cell r="N194">
            <v>1</v>
          </cell>
          <cell r="O194">
            <v>5</v>
          </cell>
          <cell r="P194">
            <v>6</v>
          </cell>
        </row>
        <row r="195">
          <cell r="J195">
            <v>0.1</v>
          </cell>
          <cell r="K195">
            <v>9.0899999999999995E-2</v>
          </cell>
          <cell r="L195">
            <v>0.49</v>
          </cell>
          <cell r="M195">
            <v>0.28360000000000002</v>
          </cell>
          <cell r="N195">
            <v>0</v>
          </cell>
          <cell r="O195">
            <v>10</v>
          </cell>
          <cell r="P195">
            <v>10</v>
          </cell>
        </row>
        <row r="196">
          <cell r="J196">
            <v>0.12</v>
          </cell>
          <cell r="K196">
            <v>7.5800000000000006E-2</v>
          </cell>
          <cell r="L196">
            <v>0.46</v>
          </cell>
          <cell r="M196">
            <v>0.52239999999999998</v>
          </cell>
          <cell r="N196">
            <v>0</v>
          </cell>
          <cell r="O196">
            <v>19</v>
          </cell>
          <cell r="P196">
            <v>19</v>
          </cell>
        </row>
        <row r="197">
          <cell r="J197">
            <v>0.14000000000000001</v>
          </cell>
          <cell r="K197">
            <v>0.1061</v>
          </cell>
          <cell r="L197">
            <v>0.43</v>
          </cell>
          <cell r="M197">
            <v>0.3881</v>
          </cell>
          <cell r="N197">
            <v>0</v>
          </cell>
          <cell r="O197">
            <v>49</v>
          </cell>
          <cell r="P197">
            <v>49</v>
          </cell>
        </row>
        <row r="198">
          <cell r="J198">
            <v>0.16</v>
          </cell>
          <cell r="K198">
            <v>0.1212</v>
          </cell>
          <cell r="L198">
            <v>0.4</v>
          </cell>
          <cell r="M198">
            <v>0.52239999999999998</v>
          </cell>
          <cell r="N198">
            <v>2</v>
          </cell>
          <cell r="O198">
            <v>47</v>
          </cell>
          <cell r="P198">
            <v>49</v>
          </cell>
        </row>
        <row r="199">
          <cell r="J199">
            <v>0.18</v>
          </cell>
          <cell r="K199">
            <v>0.13639999999999999</v>
          </cell>
          <cell r="L199">
            <v>0.37</v>
          </cell>
          <cell r="M199">
            <v>0.44779999999999998</v>
          </cell>
          <cell r="N199">
            <v>4</v>
          </cell>
          <cell r="O199">
            <v>79</v>
          </cell>
          <cell r="P199">
            <v>83</v>
          </cell>
        </row>
        <row r="200">
          <cell r="J200">
            <v>0.2</v>
          </cell>
          <cell r="K200">
            <v>0.16669999999999999</v>
          </cell>
          <cell r="L200">
            <v>0.34</v>
          </cell>
          <cell r="M200">
            <v>0.44779999999999998</v>
          </cell>
          <cell r="N200">
            <v>6</v>
          </cell>
          <cell r="O200">
            <v>69</v>
          </cell>
          <cell r="P200">
            <v>75</v>
          </cell>
        </row>
        <row r="201">
          <cell r="J201">
            <v>0.22</v>
          </cell>
          <cell r="K201">
            <v>0.18179999999999999</v>
          </cell>
          <cell r="L201">
            <v>0.32</v>
          </cell>
          <cell r="M201">
            <v>0.4627</v>
          </cell>
          <cell r="N201">
            <v>8</v>
          </cell>
          <cell r="O201">
            <v>64</v>
          </cell>
          <cell r="P201">
            <v>72</v>
          </cell>
        </row>
        <row r="202">
          <cell r="J202">
            <v>0.22</v>
          </cell>
          <cell r="K202">
            <v>0.19700000000000001</v>
          </cell>
          <cell r="L202">
            <v>0.35</v>
          </cell>
          <cell r="M202">
            <v>0.35820000000000002</v>
          </cell>
          <cell r="N202">
            <v>5</v>
          </cell>
          <cell r="O202">
            <v>77</v>
          </cell>
          <cell r="P202">
            <v>82</v>
          </cell>
        </row>
        <row r="203">
          <cell r="J203">
            <v>0.2</v>
          </cell>
          <cell r="K203">
            <v>0.16669999999999999</v>
          </cell>
          <cell r="L203">
            <v>0.34</v>
          </cell>
          <cell r="M203">
            <v>0.44779999999999998</v>
          </cell>
          <cell r="N203">
            <v>13</v>
          </cell>
          <cell r="O203">
            <v>79</v>
          </cell>
          <cell r="P203">
            <v>92</v>
          </cell>
        </row>
        <row r="204">
          <cell r="J204">
            <v>0.18</v>
          </cell>
          <cell r="K204">
            <v>0.1515</v>
          </cell>
          <cell r="L204">
            <v>0.37</v>
          </cell>
          <cell r="M204">
            <v>0.3881</v>
          </cell>
          <cell r="N204">
            <v>3</v>
          </cell>
          <cell r="O204">
            <v>59</v>
          </cell>
          <cell r="P204">
            <v>62</v>
          </cell>
        </row>
        <row r="205">
          <cell r="J205">
            <v>0.16</v>
          </cell>
          <cell r="K205">
            <v>0.13639999999999999</v>
          </cell>
          <cell r="L205">
            <v>0.4</v>
          </cell>
          <cell r="M205">
            <v>0.32840000000000003</v>
          </cell>
          <cell r="N205">
            <v>4</v>
          </cell>
          <cell r="O205">
            <v>44</v>
          </cell>
          <cell r="P205">
            <v>48</v>
          </cell>
        </row>
        <row r="206">
          <cell r="J206">
            <v>0.16</v>
          </cell>
          <cell r="K206">
            <v>0.13639999999999999</v>
          </cell>
          <cell r="L206">
            <v>0.43</v>
          </cell>
          <cell r="M206">
            <v>0.32840000000000003</v>
          </cell>
          <cell r="N206">
            <v>1</v>
          </cell>
          <cell r="O206">
            <v>40</v>
          </cell>
          <cell r="P206">
            <v>41</v>
          </cell>
        </row>
        <row r="207">
          <cell r="J207">
            <v>0.14000000000000001</v>
          </cell>
          <cell r="K207">
            <v>0.1212</v>
          </cell>
          <cell r="L207">
            <v>0.46</v>
          </cell>
          <cell r="M207">
            <v>0.25369999999999998</v>
          </cell>
          <cell r="N207">
            <v>0</v>
          </cell>
          <cell r="O207">
            <v>38</v>
          </cell>
          <cell r="P207">
            <v>38</v>
          </cell>
        </row>
        <row r="208">
          <cell r="J208">
            <v>0.14000000000000001</v>
          </cell>
          <cell r="K208">
            <v>0.1061</v>
          </cell>
          <cell r="L208">
            <v>0.46</v>
          </cell>
          <cell r="M208">
            <v>0.41789999999999999</v>
          </cell>
          <cell r="N208">
            <v>1</v>
          </cell>
          <cell r="O208">
            <v>19</v>
          </cell>
          <cell r="P208">
            <v>20</v>
          </cell>
        </row>
        <row r="209">
          <cell r="J209">
            <v>0.14000000000000001</v>
          </cell>
          <cell r="K209">
            <v>0.1212</v>
          </cell>
          <cell r="L209">
            <v>0.46</v>
          </cell>
          <cell r="M209">
            <v>0.29849999999999999</v>
          </cell>
          <cell r="N209">
            <v>5</v>
          </cell>
          <cell r="O209">
            <v>10</v>
          </cell>
          <cell r="P209">
            <v>15</v>
          </cell>
        </row>
        <row r="210">
          <cell r="J210">
            <v>0.12</v>
          </cell>
          <cell r="K210">
            <v>0.13639999999999999</v>
          </cell>
          <cell r="L210">
            <v>0.5</v>
          </cell>
          <cell r="M210">
            <v>0.19400000000000001</v>
          </cell>
          <cell r="N210">
            <v>0</v>
          </cell>
          <cell r="O210">
            <v>6</v>
          </cell>
          <cell r="P210">
            <v>6</v>
          </cell>
        </row>
        <row r="211">
          <cell r="J211">
            <v>0.12</v>
          </cell>
          <cell r="K211">
            <v>0.1212</v>
          </cell>
          <cell r="L211">
            <v>0.5</v>
          </cell>
          <cell r="M211">
            <v>0.28360000000000002</v>
          </cell>
          <cell r="N211">
            <v>2</v>
          </cell>
          <cell r="O211">
            <v>3</v>
          </cell>
          <cell r="P211">
            <v>5</v>
          </cell>
        </row>
        <row r="212">
          <cell r="J212">
            <v>0.12</v>
          </cell>
          <cell r="K212">
            <v>0.1212</v>
          </cell>
          <cell r="L212">
            <v>0.5</v>
          </cell>
          <cell r="M212">
            <v>0.28360000000000002</v>
          </cell>
          <cell r="N212">
            <v>1</v>
          </cell>
          <cell r="O212">
            <v>0</v>
          </cell>
          <cell r="P212">
            <v>1</v>
          </cell>
        </row>
        <row r="213">
          <cell r="J213">
            <v>0.12</v>
          </cell>
          <cell r="K213">
            <v>0.1212</v>
          </cell>
          <cell r="L213">
            <v>0.5</v>
          </cell>
          <cell r="M213">
            <v>0.22389999999999999</v>
          </cell>
          <cell r="N213">
            <v>0</v>
          </cell>
          <cell r="O213">
            <v>3</v>
          </cell>
          <cell r="P213">
            <v>3</v>
          </cell>
        </row>
        <row r="214">
          <cell r="J214">
            <v>0.12</v>
          </cell>
          <cell r="K214">
            <v>0.1212</v>
          </cell>
          <cell r="L214">
            <v>0.5</v>
          </cell>
          <cell r="M214">
            <v>0.22389999999999999</v>
          </cell>
          <cell r="N214">
            <v>0</v>
          </cell>
          <cell r="O214">
            <v>1</v>
          </cell>
          <cell r="P214">
            <v>1</v>
          </cell>
        </row>
        <row r="215">
          <cell r="J215">
            <v>0.1</v>
          </cell>
          <cell r="K215">
            <v>0.1212</v>
          </cell>
          <cell r="L215">
            <v>0.54</v>
          </cell>
          <cell r="M215">
            <v>0.1343</v>
          </cell>
          <cell r="N215">
            <v>1</v>
          </cell>
          <cell r="O215">
            <v>2</v>
          </cell>
          <cell r="P215">
            <v>3</v>
          </cell>
        </row>
        <row r="216">
          <cell r="J216">
            <v>0.1</v>
          </cell>
          <cell r="K216">
            <v>0.1061</v>
          </cell>
          <cell r="L216">
            <v>0.54</v>
          </cell>
          <cell r="M216">
            <v>0.25369999999999998</v>
          </cell>
          <cell r="N216">
            <v>0</v>
          </cell>
          <cell r="O216">
            <v>3</v>
          </cell>
          <cell r="P216">
            <v>3</v>
          </cell>
        </row>
        <row r="217">
          <cell r="J217">
            <v>0.12</v>
          </cell>
          <cell r="K217">
            <v>0.1212</v>
          </cell>
          <cell r="L217">
            <v>0.5</v>
          </cell>
          <cell r="M217">
            <v>0.28360000000000002</v>
          </cell>
          <cell r="N217">
            <v>0</v>
          </cell>
          <cell r="O217">
            <v>31</v>
          </cell>
          <cell r="P217">
            <v>31</v>
          </cell>
        </row>
        <row r="218">
          <cell r="J218">
            <v>0.12</v>
          </cell>
          <cell r="K218">
            <v>0.1212</v>
          </cell>
          <cell r="L218">
            <v>0.5</v>
          </cell>
          <cell r="M218">
            <v>0.22389999999999999</v>
          </cell>
          <cell r="N218">
            <v>2</v>
          </cell>
          <cell r="O218">
            <v>75</v>
          </cell>
          <cell r="P218">
            <v>77</v>
          </cell>
        </row>
        <row r="219">
          <cell r="J219">
            <v>0.12</v>
          </cell>
          <cell r="K219">
            <v>0.1212</v>
          </cell>
          <cell r="L219">
            <v>0.5</v>
          </cell>
          <cell r="M219">
            <v>0.28360000000000002</v>
          </cell>
          <cell r="N219">
            <v>4</v>
          </cell>
          <cell r="O219">
            <v>184</v>
          </cell>
          <cell r="P219">
            <v>188</v>
          </cell>
        </row>
        <row r="220">
          <cell r="J220">
            <v>0.14000000000000001</v>
          </cell>
          <cell r="K220">
            <v>0.1212</v>
          </cell>
          <cell r="L220">
            <v>0.5</v>
          </cell>
          <cell r="M220">
            <v>0.25369999999999998</v>
          </cell>
          <cell r="N220">
            <v>2</v>
          </cell>
          <cell r="O220">
            <v>92</v>
          </cell>
          <cell r="P220">
            <v>94</v>
          </cell>
        </row>
        <row r="221">
          <cell r="J221">
            <v>0.14000000000000001</v>
          </cell>
          <cell r="K221">
            <v>0.1212</v>
          </cell>
          <cell r="L221">
            <v>0.5</v>
          </cell>
          <cell r="M221">
            <v>0.29849999999999999</v>
          </cell>
          <cell r="N221">
            <v>0</v>
          </cell>
          <cell r="O221">
            <v>31</v>
          </cell>
          <cell r="P221">
            <v>31</v>
          </cell>
        </row>
        <row r="222">
          <cell r="J222">
            <v>0.16</v>
          </cell>
          <cell r="K222">
            <v>0.13639999999999999</v>
          </cell>
          <cell r="L222">
            <v>0.47</v>
          </cell>
          <cell r="M222">
            <v>0.28360000000000002</v>
          </cell>
          <cell r="N222">
            <v>2</v>
          </cell>
          <cell r="O222">
            <v>28</v>
          </cell>
          <cell r="P222">
            <v>30</v>
          </cell>
        </row>
        <row r="223">
          <cell r="J223">
            <v>0.2</v>
          </cell>
          <cell r="K223">
            <v>0.18179999999999999</v>
          </cell>
          <cell r="L223">
            <v>0.4</v>
          </cell>
          <cell r="M223">
            <v>0.28360000000000002</v>
          </cell>
          <cell r="N223">
            <v>5</v>
          </cell>
          <cell r="O223">
            <v>47</v>
          </cell>
          <cell r="P223">
            <v>52</v>
          </cell>
        </row>
        <row r="224">
          <cell r="J224">
            <v>0.2</v>
          </cell>
          <cell r="K224">
            <v>0.18179999999999999</v>
          </cell>
          <cell r="L224">
            <v>0.4</v>
          </cell>
          <cell r="M224">
            <v>0.28360000000000002</v>
          </cell>
          <cell r="N224">
            <v>4</v>
          </cell>
          <cell r="O224">
            <v>50</v>
          </cell>
          <cell r="P224">
            <v>54</v>
          </cell>
        </row>
        <row r="225">
          <cell r="J225">
            <v>0.2</v>
          </cell>
          <cell r="K225">
            <v>0.19700000000000001</v>
          </cell>
          <cell r="L225">
            <v>0.4</v>
          </cell>
          <cell r="M225">
            <v>0.22389999999999999</v>
          </cell>
          <cell r="N225">
            <v>0</v>
          </cell>
          <cell r="O225">
            <v>47</v>
          </cell>
          <cell r="P225">
            <v>47</v>
          </cell>
        </row>
        <row r="226">
          <cell r="J226">
            <v>0.2</v>
          </cell>
          <cell r="K226">
            <v>0.19700000000000001</v>
          </cell>
          <cell r="L226">
            <v>0.4</v>
          </cell>
          <cell r="M226">
            <v>0.22389999999999999</v>
          </cell>
          <cell r="N226">
            <v>2</v>
          </cell>
          <cell r="O226">
            <v>43</v>
          </cell>
          <cell r="P226">
            <v>45</v>
          </cell>
        </row>
        <row r="227">
          <cell r="J227">
            <v>0.2</v>
          </cell>
          <cell r="K227">
            <v>0.21210000000000001</v>
          </cell>
          <cell r="L227">
            <v>0.4</v>
          </cell>
          <cell r="M227">
            <v>0.1343</v>
          </cell>
          <cell r="N227">
            <v>4</v>
          </cell>
          <cell r="O227">
            <v>70</v>
          </cell>
          <cell r="P227">
            <v>74</v>
          </cell>
        </row>
        <row r="228">
          <cell r="J228">
            <v>0.2</v>
          </cell>
          <cell r="K228">
            <v>0.2273</v>
          </cell>
          <cell r="L228">
            <v>0.4</v>
          </cell>
          <cell r="M228">
            <v>0.1045</v>
          </cell>
          <cell r="N228">
            <v>4</v>
          </cell>
          <cell r="O228">
            <v>174</v>
          </cell>
          <cell r="P228">
            <v>178</v>
          </cell>
        </row>
        <row r="229">
          <cell r="J229">
            <v>0.2</v>
          </cell>
          <cell r="K229">
            <v>0.19700000000000001</v>
          </cell>
          <cell r="L229">
            <v>0.4</v>
          </cell>
          <cell r="M229">
            <v>0.22389999999999999</v>
          </cell>
          <cell r="N229">
            <v>1</v>
          </cell>
          <cell r="O229">
            <v>154</v>
          </cell>
          <cell r="P229">
            <v>155</v>
          </cell>
        </row>
        <row r="230">
          <cell r="J230">
            <v>0.16</v>
          </cell>
          <cell r="K230">
            <v>0.16669999999999999</v>
          </cell>
          <cell r="L230">
            <v>0.47</v>
          </cell>
          <cell r="M230">
            <v>0.16420000000000001</v>
          </cell>
          <cell r="N230">
            <v>3</v>
          </cell>
          <cell r="O230">
            <v>92</v>
          </cell>
          <cell r="P230">
            <v>95</v>
          </cell>
        </row>
        <row r="231">
          <cell r="J231">
            <v>0.16</v>
          </cell>
          <cell r="K231">
            <v>0.16669999999999999</v>
          </cell>
          <cell r="L231">
            <v>0.5</v>
          </cell>
          <cell r="M231">
            <v>0.16420000000000001</v>
          </cell>
          <cell r="N231">
            <v>1</v>
          </cell>
          <cell r="O231">
            <v>73</v>
          </cell>
          <cell r="P231">
            <v>74</v>
          </cell>
        </row>
        <row r="232">
          <cell r="J232">
            <v>0.14000000000000001</v>
          </cell>
          <cell r="K232">
            <v>0.13639999999999999</v>
          </cell>
          <cell r="L232">
            <v>0.59</v>
          </cell>
          <cell r="M232">
            <v>0.19400000000000001</v>
          </cell>
          <cell r="N232">
            <v>1</v>
          </cell>
          <cell r="O232">
            <v>37</v>
          </cell>
          <cell r="P232">
            <v>38</v>
          </cell>
        </row>
        <row r="233">
          <cell r="J233">
            <v>0.14000000000000001</v>
          </cell>
          <cell r="K233">
            <v>0.1515</v>
          </cell>
          <cell r="L233">
            <v>0.59</v>
          </cell>
          <cell r="M233">
            <v>0.16420000000000001</v>
          </cell>
          <cell r="N233">
            <v>2</v>
          </cell>
          <cell r="O233">
            <v>22</v>
          </cell>
          <cell r="P233">
            <v>24</v>
          </cell>
        </row>
        <row r="234">
          <cell r="J234">
            <v>0.14000000000000001</v>
          </cell>
          <cell r="K234">
            <v>0.1515</v>
          </cell>
          <cell r="L234">
            <v>0.59</v>
          </cell>
          <cell r="M234">
            <v>0.16420000000000001</v>
          </cell>
          <cell r="N234">
            <v>0</v>
          </cell>
          <cell r="O234">
            <v>18</v>
          </cell>
          <cell r="P234">
            <v>18</v>
          </cell>
        </row>
        <row r="235">
          <cell r="J235">
            <v>0.14000000000000001</v>
          </cell>
          <cell r="K235">
            <v>0.16669999999999999</v>
          </cell>
          <cell r="L235">
            <v>0.59</v>
          </cell>
          <cell r="M235">
            <v>0.1045</v>
          </cell>
          <cell r="N235">
            <v>2</v>
          </cell>
          <cell r="O235">
            <v>10</v>
          </cell>
          <cell r="P235">
            <v>12</v>
          </cell>
        </row>
        <row r="236">
          <cell r="J236">
            <v>0.14000000000000001</v>
          </cell>
          <cell r="K236">
            <v>0.1515</v>
          </cell>
          <cell r="L236">
            <v>0.59</v>
          </cell>
          <cell r="M236">
            <v>0.16420000000000001</v>
          </cell>
          <cell r="N236">
            <v>0</v>
          </cell>
          <cell r="O236">
            <v>3</v>
          </cell>
          <cell r="P236">
            <v>3</v>
          </cell>
        </row>
        <row r="237">
          <cell r="J237">
            <v>0.16</v>
          </cell>
          <cell r="K237">
            <v>0.1515</v>
          </cell>
          <cell r="L237">
            <v>0.55000000000000004</v>
          </cell>
          <cell r="M237">
            <v>0.19400000000000001</v>
          </cell>
          <cell r="N237">
            <v>0</v>
          </cell>
          <cell r="O237">
            <v>3</v>
          </cell>
          <cell r="P237">
            <v>3</v>
          </cell>
        </row>
        <row r="238">
          <cell r="J238">
            <v>0.16</v>
          </cell>
          <cell r="K238">
            <v>0.18179999999999999</v>
          </cell>
          <cell r="L238">
            <v>0.55000000000000004</v>
          </cell>
          <cell r="M238">
            <v>0.1343</v>
          </cell>
          <cell r="N238">
            <v>0</v>
          </cell>
          <cell r="O238">
            <v>6</v>
          </cell>
          <cell r="P238">
            <v>6</v>
          </cell>
        </row>
        <row r="239">
          <cell r="J239">
            <v>0.16</v>
          </cell>
          <cell r="K239">
            <v>0.18179999999999999</v>
          </cell>
          <cell r="L239">
            <v>0.55000000000000004</v>
          </cell>
          <cell r="M239">
            <v>0.1343</v>
          </cell>
          <cell r="N239">
            <v>0</v>
          </cell>
          <cell r="O239">
            <v>27</v>
          </cell>
          <cell r="P239">
            <v>27</v>
          </cell>
        </row>
        <row r="240">
          <cell r="J240">
            <v>0.16</v>
          </cell>
          <cell r="K240">
            <v>0.2273</v>
          </cell>
          <cell r="L240">
            <v>0.55000000000000004</v>
          </cell>
          <cell r="M240">
            <v>0</v>
          </cell>
          <cell r="N240">
            <v>2</v>
          </cell>
          <cell r="O240">
            <v>97</v>
          </cell>
          <cell r="P240">
            <v>99</v>
          </cell>
        </row>
        <row r="241">
          <cell r="J241">
            <v>0.18</v>
          </cell>
          <cell r="K241">
            <v>0.21210000000000001</v>
          </cell>
          <cell r="L241">
            <v>0.51</v>
          </cell>
          <cell r="M241">
            <v>8.9599999999999999E-2</v>
          </cell>
          <cell r="N241">
            <v>3</v>
          </cell>
          <cell r="O241">
            <v>214</v>
          </cell>
          <cell r="P241">
            <v>217</v>
          </cell>
        </row>
        <row r="242">
          <cell r="J242">
            <v>0.18</v>
          </cell>
          <cell r="K242">
            <v>0.19700000000000001</v>
          </cell>
          <cell r="L242">
            <v>0.51</v>
          </cell>
          <cell r="M242">
            <v>0.16420000000000001</v>
          </cell>
          <cell r="N242">
            <v>3</v>
          </cell>
          <cell r="O242">
            <v>127</v>
          </cell>
          <cell r="P242">
            <v>130</v>
          </cell>
        </row>
        <row r="243">
          <cell r="J243">
            <v>0.2</v>
          </cell>
          <cell r="K243">
            <v>0.21210000000000001</v>
          </cell>
          <cell r="L243">
            <v>0.51</v>
          </cell>
          <cell r="M243">
            <v>0.16420000000000001</v>
          </cell>
          <cell r="N243">
            <v>3</v>
          </cell>
          <cell r="O243">
            <v>51</v>
          </cell>
          <cell r="P243">
            <v>54</v>
          </cell>
        </row>
        <row r="244">
          <cell r="J244">
            <v>0.2</v>
          </cell>
          <cell r="K244">
            <v>0.21210000000000001</v>
          </cell>
          <cell r="L244">
            <v>0.47</v>
          </cell>
          <cell r="M244">
            <v>0.1343</v>
          </cell>
          <cell r="N244">
            <v>4</v>
          </cell>
          <cell r="O244">
            <v>31</v>
          </cell>
          <cell r="P244">
            <v>35</v>
          </cell>
        </row>
        <row r="245">
          <cell r="J245">
            <v>0.2</v>
          </cell>
          <cell r="K245">
            <v>0.2273</v>
          </cell>
          <cell r="L245">
            <v>0.51</v>
          </cell>
          <cell r="M245">
            <v>0.1045</v>
          </cell>
          <cell r="N245">
            <v>2</v>
          </cell>
          <cell r="O245">
            <v>55</v>
          </cell>
          <cell r="P245">
            <v>57</v>
          </cell>
        </row>
        <row r="246">
          <cell r="J246">
            <v>0.2</v>
          </cell>
          <cell r="K246">
            <v>0.2273</v>
          </cell>
          <cell r="L246">
            <v>0.59</v>
          </cell>
          <cell r="M246">
            <v>8.9599999999999999E-2</v>
          </cell>
          <cell r="N246">
            <v>6</v>
          </cell>
          <cell r="O246">
            <v>46</v>
          </cell>
          <cell r="P246">
            <v>52</v>
          </cell>
        </row>
        <row r="247">
          <cell r="J247">
            <v>0.2</v>
          </cell>
          <cell r="K247">
            <v>0.2273</v>
          </cell>
          <cell r="L247">
            <v>0.59</v>
          </cell>
          <cell r="M247">
            <v>8.9599999999999999E-2</v>
          </cell>
          <cell r="N247">
            <v>3</v>
          </cell>
          <cell r="O247">
            <v>60</v>
          </cell>
          <cell r="P247">
            <v>63</v>
          </cell>
        </row>
        <row r="248">
          <cell r="J248">
            <v>0.16</v>
          </cell>
          <cell r="K248">
            <v>0.19700000000000001</v>
          </cell>
          <cell r="L248">
            <v>0.8</v>
          </cell>
          <cell r="M248">
            <v>8.9599999999999999E-2</v>
          </cell>
          <cell r="N248">
            <v>2</v>
          </cell>
          <cell r="O248">
            <v>45</v>
          </cell>
          <cell r="P248">
            <v>47</v>
          </cell>
        </row>
        <row r="249">
          <cell r="J249">
            <v>0.16</v>
          </cell>
          <cell r="K249">
            <v>0.1515</v>
          </cell>
          <cell r="L249">
            <v>0.86</v>
          </cell>
          <cell r="M249">
            <v>0.22389999999999999</v>
          </cell>
          <cell r="N249">
            <v>4</v>
          </cell>
          <cell r="O249">
            <v>72</v>
          </cell>
          <cell r="P249">
            <v>76</v>
          </cell>
        </row>
        <row r="250">
          <cell r="J250">
            <v>0.16</v>
          </cell>
          <cell r="K250">
            <v>0.1515</v>
          </cell>
          <cell r="L250">
            <v>0.86</v>
          </cell>
          <cell r="M250">
            <v>0.22389999999999999</v>
          </cell>
          <cell r="N250">
            <v>6</v>
          </cell>
          <cell r="O250">
            <v>130</v>
          </cell>
          <cell r="P250">
            <v>136</v>
          </cell>
        </row>
        <row r="251">
          <cell r="J251">
            <v>0.16</v>
          </cell>
          <cell r="K251">
            <v>0.18179999999999999</v>
          </cell>
          <cell r="L251">
            <v>0.93</v>
          </cell>
          <cell r="M251">
            <v>0.1045</v>
          </cell>
          <cell r="N251">
            <v>1</v>
          </cell>
          <cell r="O251">
            <v>94</v>
          </cell>
          <cell r="P251">
            <v>95</v>
          </cell>
        </row>
        <row r="252">
          <cell r="J252">
            <v>0.16</v>
          </cell>
          <cell r="K252">
            <v>0.2273</v>
          </cell>
          <cell r="L252">
            <v>0.93</v>
          </cell>
          <cell r="M252">
            <v>0</v>
          </cell>
          <cell r="N252">
            <v>0</v>
          </cell>
          <cell r="O252">
            <v>51</v>
          </cell>
          <cell r="P252">
            <v>51</v>
          </cell>
        </row>
        <row r="253">
          <cell r="J253">
            <v>0.16</v>
          </cell>
          <cell r="K253">
            <v>0.1515</v>
          </cell>
          <cell r="L253">
            <v>0.93</v>
          </cell>
          <cell r="M253">
            <v>0.19400000000000001</v>
          </cell>
          <cell r="N253">
            <v>0</v>
          </cell>
          <cell r="O253">
            <v>32</v>
          </cell>
          <cell r="P253">
            <v>32</v>
          </cell>
        </row>
        <row r="254">
          <cell r="J254">
            <v>0.16</v>
          </cell>
          <cell r="K254">
            <v>0.19700000000000001</v>
          </cell>
          <cell r="L254">
            <v>0.86</v>
          </cell>
          <cell r="M254">
            <v>8.9599999999999999E-2</v>
          </cell>
          <cell r="N254">
            <v>0</v>
          </cell>
          <cell r="O254">
            <v>20</v>
          </cell>
          <cell r="P254">
            <v>20</v>
          </cell>
        </row>
        <row r="255">
          <cell r="J255">
            <v>0.16</v>
          </cell>
          <cell r="K255">
            <v>0.18179999999999999</v>
          </cell>
          <cell r="L255">
            <v>0.93</v>
          </cell>
          <cell r="M255">
            <v>0.1045</v>
          </cell>
          <cell r="N255">
            <v>1</v>
          </cell>
          <cell r="O255">
            <v>28</v>
          </cell>
          <cell r="P255">
            <v>29</v>
          </cell>
        </row>
        <row r="256">
          <cell r="J256">
            <v>0.16</v>
          </cell>
          <cell r="K256">
            <v>0.19700000000000001</v>
          </cell>
          <cell r="L256">
            <v>0.93</v>
          </cell>
          <cell r="M256">
            <v>8.9599999999999999E-2</v>
          </cell>
          <cell r="N256">
            <v>1</v>
          </cell>
          <cell r="O256">
            <v>18</v>
          </cell>
          <cell r="P256">
            <v>19</v>
          </cell>
        </row>
        <row r="257">
          <cell r="J257">
            <v>0.16</v>
          </cell>
          <cell r="K257">
            <v>0.19700000000000001</v>
          </cell>
          <cell r="L257">
            <v>0.86</v>
          </cell>
          <cell r="M257">
            <v>8.9599999999999999E-2</v>
          </cell>
          <cell r="N257">
            <v>0</v>
          </cell>
          <cell r="O257">
            <v>7</v>
          </cell>
          <cell r="P257">
            <v>7</v>
          </cell>
        </row>
        <row r="258">
          <cell r="J258">
            <v>0.16</v>
          </cell>
          <cell r="K258">
            <v>0.18179999999999999</v>
          </cell>
          <cell r="L258">
            <v>0.86</v>
          </cell>
          <cell r="M258">
            <v>0.1045</v>
          </cell>
          <cell r="N258">
            <v>0</v>
          </cell>
          <cell r="O258">
            <v>6</v>
          </cell>
          <cell r="P258">
            <v>6</v>
          </cell>
        </row>
        <row r="259">
          <cell r="J259">
            <v>0.14000000000000001</v>
          </cell>
          <cell r="K259">
            <v>0.1515</v>
          </cell>
          <cell r="L259">
            <v>0.86</v>
          </cell>
          <cell r="M259">
            <v>0.1343</v>
          </cell>
          <cell r="N259">
            <v>0</v>
          </cell>
          <cell r="O259">
            <v>1</v>
          </cell>
          <cell r="P259">
            <v>1</v>
          </cell>
        </row>
        <row r="260">
          <cell r="J260">
            <v>0.14000000000000001</v>
          </cell>
          <cell r="K260">
            <v>0.1515</v>
          </cell>
          <cell r="L260">
            <v>0.86</v>
          </cell>
          <cell r="M260">
            <v>0.16420000000000001</v>
          </cell>
          <cell r="N260">
            <v>0</v>
          </cell>
          <cell r="O260">
            <v>5</v>
          </cell>
          <cell r="P260">
            <v>5</v>
          </cell>
        </row>
        <row r="261">
          <cell r="J261">
            <v>0.12</v>
          </cell>
          <cell r="K261">
            <v>0.1515</v>
          </cell>
          <cell r="L261">
            <v>0.93</v>
          </cell>
          <cell r="M261">
            <v>0.1343</v>
          </cell>
          <cell r="N261">
            <v>0</v>
          </cell>
          <cell r="O261">
            <v>16</v>
          </cell>
          <cell r="P261">
            <v>16</v>
          </cell>
        </row>
        <row r="262">
          <cell r="J262">
            <v>0.14000000000000001</v>
          </cell>
          <cell r="K262">
            <v>0.1515</v>
          </cell>
          <cell r="L262">
            <v>0.69</v>
          </cell>
          <cell r="M262">
            <v>0.1343</v>
          </cell>
          <cell r="N262">
            <v>0</v>
          </cell>
          <cell r="O262">
            <v>54</v>
          </cell>
          <cell r="P262">
            <v>54</v>
          </cell>
        </row>
        <row r="263">
          <cell r="J263">
            <v>0.16</v>
          </cell>
          <cell r="K263">
            <v>0.16669999999999999</v>
          </cell>
          <cell r="L263">
            <v>0.59</v>
          </cell>
          <cell r="M263">
            <v>0.16420000000000001</v>
          </cell>
          <cell r="N263">
            <v>3</v>
          </cell>
          <cell r="O263">
            <v>125</v>
          </cell>
          <cell r="P263">
            <v>128</v>
          </cell>
        </row>
        <row r="264">
          <cell r="J264">
            <v>0.16</v>
          </cell>
          <cell r="K264">
            <v>0.13639999999999999</v>
          </cell>
          <cell r="L264">
            <v>0.59</v>
          </cell>
          <cell r="M264">
            <v>0.32840000000000003</v>
          </cell>
          <cell r="N264">
            <v>3</v>
          </cell>
          <cell r="O264">
            <v>78</v>
          </cell>
          <cell r="P264">
            <v>81</v>
          </cell>
        </row>
        <row r="265">
          <cell r="J265">
            <v>0.18</v>
          </cell>
          <cell r="K265">
            <v>0.18179999999999999</v>
          </cell>
          <cell r="L265">
            <v>0.55000000000000004</v>
          </cell>
          <cell r="M265">
            <v>0.22389999999999999</v>
          </cell>
          <cell r="N265">
            <v>0</v>
          </cell>
          <cell r="O265">
            <v>39</v>
          </cell>
          <cell r="P265">
            <v>39</v>
          </cell>
        </row>
        <row r="266">
          <cell r="J266">
            <v>0.2</v>
          </cell>
          <cell r="K266">
            <v>0.18179999999999999</v>
          </cell>
          <cell r="L266">
            <v>0.51</v>
          </cell>
          <cell r="M266">
            <v>0.3881</v>
          </cell>
          <cell r="N266">
            <v>3</v>
          </cell>
          <cell r="O266">
            <v>32</v>
          </cell>
          <cell r="P266">
            <v>35</v>
          </cell>
        </row>
        <row r="267">
          <cell r="J267">
            <v>0.2</v>
          </cell>
          <cell r="K267">
            <v>0.1515</v>
          </cell>
          <cell r="L267">
            <v>0.47</v>
          </cell>
          <cell r="M267">
            <v>0.58209999999999995</v>
          </cell>
          <cell r="N267">
            <v>3</v>
          </cell>
          <cell r="O267">
            <v>52</v>
          </cell>
          <cell r="P267">
            <v>55</v>
          </cell>
        </row>
        <row r="268">
          <cell r="J268">
            <v>0.22</v>
          </cell>
          <cell r="K268">
            <v>0.19700000000000001</v>
          </cell>
          <cell r="L268">
            <v>0.44</v>
          </cell>
          <cell r="M268">
            <v>0.35820000000000002</v>
          </cell>
          <cell r="N268">
            <v>0</v>
          </cell>
          <cell r="O268">
            <v>49</v>
          </cell>
          <cell r="P268">
            <v>49</v>
          </cell>
        </row>
        <row r="269">
          <cell r="J269">
            <v>0.2</v>
          </cell>
          <cell r="K269">
            <v>0.18179999999999999</v>
          </cell>
          <cell r="L269">
            <v>0.47</v>
          </cell>
          <cell r="M269">
            <v>0.32840000000000003</v>
          </cell>
          <cell r="N269">
            <v>0</v>
          </cell>
          <cell r="O269">
            <v>44</v>
          </cell>
          <cell r="P269">
            <v>44</v>
          </cell>
        </row>
        <row r="270">
          <cell r="J270">
            <v>0.2</v>
          </cell>
          <cell r="K270">
            <v>0.16669999999999999</v>
          </cell>
          <cell r="L270">
            <v>0.47</v>
          </cell>
          <cell r="M270">
            <v>0.41789999999999999</v>
          </cell>
          <cell r="N270">
            <v>1</v>
          </cell>
          <cell r="O270">
            <v>48</v>
          </cell>
          <cell r="P270">
            <v>49</v>
          </cell>
        </row>
        <row r="271">
          <cell r="J271">
            <v>0.22</v>
          </cell>
          <cell r="K271">
            <v>0.19700000000000001</v>
          </cell>
          <cell r="L271">
            <v>0.44</v>
          </cell>
          <cell r="M271">
            <v>0.32840000000000003</v>
          </cell>
          <cell r="N271">
            <v>5</v>
          </cell>
          <cell r="O271">
            <v>63</v>
          </cell>
          <cell r="P271">
            <v>68</v>
          </cell>
        </row>
        <row r="272">
          <cell r="J272">
            <v>0.2</v>
          </cell>
          <cell r="K272">
            <v>0.18179999999999999</v>
          </cell>
          <cell r="L272">
            <v>0.47</v>
          </cell>
          <cell r="M272">
            <v>0.35820000000000002</v>
          </cell>
          <cell r="N272">
            <v>0</v>
          </cell>
          <cell r="O272">
            <v>139</v>
          </cell>
          <cell r="P272">
            <v>139</v>
          </cell>
        </row>
        <row r="273">
          <cell r="J273">
            <v>0.2</v>
          </cell>
          <cell r="K273">
            <v>0.1515</v>
          </cell>
          <cell r="L273">
            <v>0.47</v>
          </cell>
          <cell r="M273">
            <v>0.52239999999999998</v>
          </cell>
          <cell r="N273">
            <v>2</v>
          </cell>
          <cell r="O273">
            <v>135</v>
          </cell>
          <cell r="P273">
            <v>137</v>
          </cell>
        </row>
        <row r="274">
          <cell r="J274">
            <v>0.18</v>
          </cell>
          <cell r="K274">
            <v>0.1515</v>
          </cell>
          <cell r="L274">
            <v>0.47</v>
          </cell>
          <cell r="M274">
            <v>0.41789999999999999</v>
          </cell>
          <cell r="N274">
            <v>1</v>
          </cell>
          <cell r="O274">
            <v>82</v>
          </cell>
          <cell r="P274">
            <v>83</v>
          </cell>
        </row>
        <row r="275">
          <cell r="J275">
            <v>0.16</v>
          </cell>
          <cell r="K275">
            <v>0.13639999999999999</v>
          </cell>
          <cell r="L275">
            <v>0.5</v>
          </cell>
          <cell r="M275">
            <v>0.32840000000000003</v>
          </cell>
          <cell r="N275">
            <v>2</v>
          </cell>
          <cell r="O275">
            <v>54</v>
          </cell>
          <cell r="P275">
            <v>56</v>
          </cell>
        </row>
        <row r="276">
          <cell r="J276">
            <v>0.16</v>
          </cell>
          <cell r="K276">
            <v>0.13639999999999999</v>
          </cell>
          <cell r="L276">
            <v>0.55000000000000004</v>
          </cell>
          <cell r="M276">
            <v>0.32840000000000003</v>
          </cell>
          <cell r="N276">
            <v>0</v>
          </cell>
          <cell r="O276">
            <v>57</v>
          </cell>
          <cell r="P276">
            <v>57</v>
          </cell>
        </row>
        <row r="277">
          <cell r="J277">
            <v>0.16</v>
          </cell>
          <cell r="K277">
            <v>0.1212</v>
          </cell>
          <cell r="L277">
            <v>0.55000000000000004</v>
          </cell>
          <cell r="M277">
            <v>0.44779999999999998</v>
          </cell>
          <cell r="N277">
            <v>1</v>
          </cell>
          <cell r="O277">
            <v>32</v>
          </cell>
          <cell r="P277">
            <v>33</v>
          </cell>
        </row>
        <row r="278">
          <cell r="J278">
            <v>0.14000000000000001</v>
          </cell>
          <cell r="K278">
            <v>0.1061</v>
          </cell>
          <cell r="L278">
            <v>0.59</v>
          </cell>
          <cell r="M278">
            <v>0.41789999999999999</v>
          </cell>
          <cell r="N278">
            <v>1</v>
          </cell>
          <cell r="O278">
            <v>19</v>
          </cell>
          <cell r="P278">
            <v>20</v>
          </cell>
        </row>
        <row r="279">
          <cell r="J279">
            <v>0.14000000000000001</v>
          </cell>
          <cell r="K279">
            <v>0.1212</v>
          </cell>
          <cell r="L279">
            <v>0.59</v>
          </cell>
          <cell r="M279">
            <v>0.28360000000000002</v>
          </cell>
          <cell r="N279">
            <v>1</v>
          </cell>
          <cell r="O279">
            <v>6</v>
          </cell>
          <cell r="P279">
            <v>7</v>
          </cell>
        </row>
        <row r="280">
          <cell r="J280">
            <v>0.14000000000000001</v>
          </cell>
          <cell r="K280">
            <v>0.1212</v>
          </cell>
          <cell r="L280">
            <v>0.5</v>
          </cell>
          <cell r="M280">
            <v>0.28360000000000002</v>
          </cell>
          <cell r="N280">
            <v>0</v>
          </cell>
          <cell r="O280">
            <v>2</v>
          </cell>
          <cell r="P280">
            <v>2</v>
          </cell>
        </row>
        <row r="281">
          <cell r="J281">
            <v>0.14000000000000001</v>
          </cell>
          <cell r="K281">
            <v>0.1212</v>
          </cell>
          <cell r="L281">
            <v>0.5</v>
          </cell>
          <cell r="M281">
            <v>0.35820000000000002</v>
          </cell>
          <cell r="N281">
            <v>0</v>
          </cell>
          <cell r="O281">
            <v>2</v>
          </cell>
          <cell r="P281">
            <v>2</v>
          </cell>
        </row>
        <row r="282">
          <cell r="J282">
            <v>0.14000000000000001</v>
          </cell>
          <cell r="K282">
            <v>0.1212</v>
          </cell>
          <cell r="L282">
            <v>0.5</v>
          </cell>
          <cell r="M282">
            <v>0.32840000000000003</v>
          </cell>
          <cell r="N282">
            <v>0</v>
          </cell>
          <cell r="O282">
            <v>3</v>
          </cell>
          <cell r="P282">
            <v>3</v>
          </cell>
        </row>
        <row r="283">
          <cell r="J283">
            <v>0.14000000000000001</v>
          </cell>
          <cell r="K283">
            <v>0.1212</v>
          </cell>
          <cell r="L283">
            <v>0.5</v>
          </cell>
          <cell r="M283">
            <v>0.25369999999999998</v>
          </cell>
          <cell r="N283">
            <v>0</v>
          </cell>
          <cell r="O283">
            <v>4</v>
          </cell>
          <cell r="P283">
            <v>4</v>
          </cell>
        </row>
        <row r="284">
          <cell r="J284">
            <v>0.14000000000000001</v>
          </cell>
          <cell r="K284">
            <v>0.1212</v>
          </cell>
          <cell r="L284">
            <v>0.5</v>
          </cell>
          <cell r="M284">
            <v>0.29849999999999999</v>
          </cell>
          <cell r="N284">
            <v>0</v>
          </cell>
          <cell r="O284">
            <v>3</v>
          </cell>
          <cell r="P284">
            <v>3</v>
          </cell>
        </row>
        <row r="285">
          <cell r="J285">
            <v>0.12</v>
          </cell>
          <cell r="K285">
            <v>0.1515</v>
          </cell>
          <cell r="L285">
            <v>0.54</v>
          </cell>
          <cell r="M285">
            <v>0.1343</v>
          </cell>
          <cell r="N285">
            <v>0</v>
          </cell>
          <cell r="O285">
            <v>28</v>
          </cell>
          <cell r="P285">
            <v>28</v>
          </cell>
        </row>
        <row r="286">
          <cell r="J286">
            <v>0.12</v>
          </cell>
          <cell r="K286">
            <v>0.1515</v>
          </cell>
          <cell r="L286">
            <v>0.54</v>
          </cell>
          <cell r="M286">
            <v>0.1343</v>
          </cell>
          <cell r="N286">
            <v>0</v>
          </cell>
          <cell r="O286">
            <v>72</v>
          </cell>
          <cell r="P286">
            <v>72</v>
          </cell>
        </row>
        <row r="287">
          <cell r="J287">
            <v>0.14000000000000001</v>
          </cell>
          <cell r="K287">
            <v>0.13639999999999999</v>
          </cell>
          <cell r="L287">
            <v>0.5</v>
          </cell>
          <cell r="M287">
            <v>0.19400000000000001</v>
          </cell>
          <cell r="N287">
            <v>5</v>
          </cell>
          <cell r="O287">
            <v>197</v>
          </cell>
          <cell r="P287">
            <v>202</v>
          </cell>
        </row>
        <row r="288">
          <cell r="J288">
            <v>0.14000000000000001</v>
          </cell>
          <cell r="K288">
            <v>0.1212</v>
          </cell>
          <cell r="L288">
            <v>0.5</v>
          </cell>
          <cell r="M288">
            <v>0.32840000000000003</v>
          </cell>
          <cell r="N288">
            <v>2</v>
          </cell>
          <cell r="O288">
            <v>137</v>
          </cell>
          <cell r="P288">
            <v>139</v>
          </cell>
        </row>
        <row r="289">
          <cell r="J289">
            <v>0.16</v>
          </cell>
          <cell r="K289">
            <v>0.13639999999999999</v>
          </cell>
          <cell r="L289">
            <v>0.5</v>
          </cell>
          <cell r="M289">
            <v>0.35820000000000002</v>
          </cell>
          <cell r="N289">
            <v>2</v>
          </cell>
          <cell r="O289">
            <v>36</v>
          </cell>
          <cell r="P289">
            <v>38</v>
          </cell>
        </row>
        <row r="290">
          <cell r="J290">
            <v>0.2</v>
          </cell>
          <cell r="K290">
            <v>0.16669999999999999</v>
          </cell>
          <cell r="L290">
            <v>0.44</v>
          </cell>
          <cell r="M290">
            <v>0.44779999999999998</v>
          </cell>
          <cell r="N290">
            <v>4</v>
          </cell>
          <cell r="O290">
            <v>33</v>
          </cell>
          <cell r="P290">
            <v>37</v>
          </cell>
        </row>
        <row r="291">
          <cell r="J291">
            <v>0.2</v>
          </cell>
          <cell r="K291">
            <v>0.16669999999999999</v>
          </cell>
          <cell r="L291">
            <v>0.44</v>
          </cell>
          <cell r="M291">
            <v>0.41789999999999999</v>
          </cell>
          <cell r="N291">
            <v>3</v>
          </cell>
          <cell r="O291">
            <v>49</v>
          </cell>
          <cell r="P291">
            <v>52</v>
          </cell>
        </row>
        <row r="292">
          <cell r="J292">
            <v>0.22</v>
          </cell>
          <cell r="K292">
            <v>0.19700000000000001</v>
          </cell>
          <cell r="L292">
            <v>0.41</v>
          </cell>
          <cell r="M292">
            <v>0.44779999999999998</v>
          </cell>
          <cell r="N292">
            <v>2</v>
          </cell>
          <cell r="O292">
            <v>81</v>
          </cell>
          <cell r="P292">
            <v>83</v>
          </cell>
        </row>
        <row r="293">
          <cell r="J293">
            <v>0.22</v>
          </cell>
          <cell r="K293">
            <v>0.19700000000000001</v>
          </cell>
          <cell r="L293">
            <v>0.41</v>
          </cell>
          <cell r="M293">
            <v>0.3881</v>
          </cell>
          <cell r="N293">
            <v>3</v>
          </cell>
          <cell r="O293">
            <v>39</v>
          </cell>
          <cell r="P293">
            <v>42</v>
          </cell>
        </row>
        <row r="294">
          <cell r="J294">
            <v>0.24</v>
          </cell>
          <cell r="K294">
            <v>0.21210000000000001</v>
          </cell>
          <cell r="L294">
            <v>0.38</v>
          </cell>
          <cell r="M294">
            <v>0.29849999999999999</v>
          </cell>
          <cell r="N294">
            <v>5</v>
          </cell>
          <cell r="O294">
            <v>55</v>
          </cell>
          <cell r="P294">
            <v>60</v>
          </cell>
        </row>
        <row r="295">
          <cell r="J295">
            <v>0.24</v>
          </cell>
          <cell r="K295">
            <v>0.21210000000000001</v>
          </cell>
          <cell r="L295">
            <v>0.38</v>
          </cell>
          <cell r="M295">
            <v>0.35820000000000002</v>
          </cell>
          <cell r="N295">
            <v>2</v>
          </cell>
          <cell r="O295">
            <v>76</v>
          </cell>
          <cell r="P295">
            <v>78</v>
          </cell>
        </row>
        <row r="296">
          <cell r="J296">
            <v>0.2</v>
          </cell>
          <cell r="K296">
            <v>0.18179999999999999</v>
          </cell>
          <cell r="L296">
            <v>0.4</v>
          </cell>
          <cell r="M296">
            <v>0.28360000000000002</v>
          </cell>
          <cell r="N296">
            <v>4</v>
          </cell>
          <cell r="O296">
            <v>158</v>
          </cell>
          <cell r="P296">
            <v>162</v>
          </cell>
        </row>
        <row r="297">
          <cell r="J297">
            <v>0.2</v>
          </cell>
          <cell r="K297">
            <v>0.18179999999999999</v>
          </cell>
          <cell r="L297">
            <v>0.4</v>
          </cell>
          <cell r="M297">
            <v>0.32840000000000003</v>
          </cell>
          <cell r="N297">
            <v>3</v>
          </cell>
          <cell r="O297">
            <v>141</v>
          </cell>
          <cell r="P297">
            <v>144</v>
          </cell>
        </row>
        <row r="298">
          <cell r="J298">
            <v>0.16</v>
          </cell>
          <cell r="K298">
            <v>0.1515</v>
          </cell>
          <cell r="L298">
            <v>0.47</v>
          </cell>
          <cell r="M298">
            <v>0.25369999999999998</v>
          </cell>
          <cell r="N298">
            <v>1</v>
          </cell>
          <cell r="O298">
            <v>98</v>
          </cell>
          <cell r="P298">
            <v>99</v>
          </cell>
        </row>
        <row r="299">
          <cell r="J299">
            <v>0.16</v>
          </cell>
          <cell r="K299">
            <v>0.1515</v>
          </cell>
          <cell r="L299">
            <v>0.47</v>
          </cell>
          <cell r="M299">
            <v>0.22389999999999999</v>
          </cell>
          <cell r="N299">
            <v>0</v>
          </cell>
          <cell r="O299">
            <v>64</v>
          </cell>
          <cell r="P299">
            <v>64</v>
          </cell>
        </row>
        <row r="300">
          <cell r="J300">
            <v>0.14000000000000001</v>
          </cell>
          <cell r="K300">
            <v>0.1212</v>
          </cell>
          <cell r="L300">
            <v>0.46</v>
          </cell>
          <cell r="M300">
            <v>0.29849999999999999</v>
          </cell>
          <cell r="N300">
            <v>0</v>
          </cell>
          <cell r="O300">
            <v>40</v>
          </cell>
          <cell r="P300">
            <v>40</v>
          </cell>
        </row>
        <row r="301">
          <cell r="J301">
            <v>0.14000000000000001</v>
          </cell>
          <cell r="K301">
            <v>0.1212</v>
          </cell>
          <cell r="L301">
            <v>0.46</v>
          </cell>
          <cell r="M301">
            <v>0.32840000000000003</v>
          </cell>
          <cell r="N301">
            <v>0</v>
          </cell>
          <cell r="O301">
            <v>30</v>
          </cell>
          <cell r="P301">
            <v>30</v>
          </cell>
        </row>
        <row r="302">
          <cell r="J302">
            <v>0.12</v>
          </cell>
          <cell r="K302">
            <v>0.13639999999999999</v>
          </cell>
          <cell r="L302">
            <v>0.5</v>
          </cell>
          <cell r="M302">
            <v>0.19400000000000001</v>
          </cell>
          <cell r="N302">
            <v>1</v>
          </cell>
          <cell r="O302">
            <v>14</v>
          </cell>
          <cell r="P302">
            <v>15</v>
          </cell>
        </row>
        <row r="303">
          <cell r="J303">
            <v>0.12</v>
          </cell>
          <cell r="K303">
            <v>0.13639999999999999</v>
          </cell>
          <cell r="L303">
            <v>0.5</v>
          </cell>
          <cell r="M303">
            <v>0.19400000000000001</v>
          </cell>
          <cell r="N303">
            <v>0</v>
          </cell>
          <cell r="O303">
            <v>14</v>
          </cell>
          <cell r="P303">
            <v>14</v>
          </cell>
        </row>
        <row r="304">
          <cell r="J304">
            <v>0.1</v>
          </cell>
          <cell r="K304">
            <v>0.1212</v>
          </cell>
          <cell r="L304">
            <v>0.54</v>
          </cell>
          <cell r="M304">
            <v>0.16420000000000001</v>
          </cell>
          <cell r="N304">
            <v>0</v>
          </cell>
          <cell r="O304">
            <v>5</v>
          </cell>
          <cell r="P304">
            <v>5</v>
          </cell>
        </row>
        <row r="305">
          <cell r="J305">
            <v>0.1</v>
          </cell>
          <cell r="K305">
            <v>0.1212</v>
          </cell>
          <cell r="L305">
            <v>0.54</v>
          </cell>
          <cell r="M305">
            <v>0.1343</v>
          </cell>
          <cell r="N305">
            <v>0</v>
          </cell>
          <cell r="O305">
            <v>1</v>
          </cell>
          <cell r="P305">
            <v>1</v>
          </cell>
        </row>
        <row r="306">
          <cell r="J306">
            <v>0.1</v>
          </cell>
          <cell r="K306">
            <v>0.13639999999999999</v>
          </cell>
          <cell r="L306">
            <v>0.54</v>
          </cell>
          <cell r="M306">
            <v>0.1045</v>
          </cell>
          <cell r="N306">
            <v>0</v>
          </cell>
          <cell r="O306">
            <v>1</v>
          </cell>
          <cell r="P306">
            <v>1</v>
          </cell>
        </row>
        <row r="307">
          <cell r="J307">
            <v>0.1</v>
          </cell>
          <cell r="K307">
            <v>0.13639999999999999</v>
          </cell>
          <cell r="L307">
            <v>0.54</v>
          </cell>
          <cell r="M307">
            <v>8.9599999999999999E-2</v>
          </cell>
          <cell r="N307">
            <v>0</v>
          </cell>
          <cell r="O307">
            <v>8</v>
          </cell>
          <cell r="P307">
            <v>8</v>
          </cell>
        </row>
        <row r="308">
          <cell r="J308">
            <v>0.1</v>
          </cell>
          <cell r="K308">
            <v>0.18179999999999999</v>
          </cell>
          <cell r="L308">
            <v>0.54</v>
          </cell>
          <cell r="M308">
            <v>0</v>
          </cell>
          <cell r="N308">
            <v>0</v>
          </cell>
          <cell r="O308">
            <v>17</v>
          </cell>
          <cell r="P308">
            <v>17</v>
          </cell>
        </row>
        <row r="309">
          <cell r="J309">
            <v>0.1</v>
          </cell>
          <cell r="K309">
            <v>0.1212</v>
          </cell>
          <cell r="L309">
            <v>0.74</v>
          </cell>
          <cell r="M309">
            <v>0.16420000000000001</v>
          </cell>
          <cell r="N309">
            <v>0</v>
          </cell>
          <cell r="O309">
            <v>70</v>
          </cell>
          <cell r="P309">
            <v>70</v>
          </cell>
        </row>
        <row r="310">
          <cell r="J310">
            <v>0.12</v>
          </cell>
          <cell r="K310">
            <v>0.16669999999999999</v>
          </cell>
          <cell r="L310">
            <v>0.68</v>
          </cell>
          <cell r="M310">
            <v>0</v>
          </cell>
          <cell r="N310">
            <v>2</v>
          </cell>
          <cell r="O310">
            <v>156</v>
          </cell>
          <cell r="P310">
            <v>158</v>
          </cell>
        </row>
        <row r="311">
          <cell r="J311">
            <v>0.14000000000000001</v>
          </cell>
          <cell r="K311">
            <v>0.1515</v>
          </cell>
          <cell r="L311">
            <v>0.69</v>
          </cell>
          <cell r="M311">
            <v>0.1343</v>
          </cell>
          <cell r="N311">
            <v>0</v>
          </cell>
          <cell r="O311">
            <v>117</v>
          </cell>
          <cell r="P311">
            <v>117</v>
          </cell>
        </row>
        <row r="312">
          <cell r="J312">
            <v>0.18</v>
          </cell>
          <cell r="K312">
            <v>0.18179999999999999</v>
          </cell>
          <cell r="L312">
            <v>0.55000000000000004</v>
          </cell>
          <cell r="M312">
            <v>0.19400000000000001</v>
          </cell>
          <cell r="N312">
            <v>4</v>
          </cell>
          <cell r="O312">
            <v>40</v>
          </cell>
          <cell r="P312">
            <v>44</v>
          </cell>
        </row>
        <row r="313">
          <cell r="J313">
            <v>0.18</v>
          </cell>
          <cell r="K313">
            <v>0.16669999999999999</v>
          </cell>
          <cell r="L313">
            <v>0.51</v>
          </cell>
          <cell r="M313">
            <v>0.28360000000000002</v>
          </cell>
          <cell r="N313">
            <v>6</v>
          </cell>
          <cell r="O313">
            <v>47</v>
          </cell>
          <cell r="P313">
            <v>53</v>
          </cell>
        </row>
        <row r="314">
          <cell r="J314">
            <v>0.2</v>
          </cell>
          <cell r="K314">
            <v>0.19700000000000001</v>
          </cell>
          <cell r="L314">
            <v>0.44</v>
          </cell>
          <cell r="M314">
            <v>0.25369999999999998</v>
          </cell>
          <cell r="N314">
            <v>2</v>
          </cell>
          <cell r="O314">
            <v>59</v>
          </cell>
          <cell r="P314">
            <v>61</v>
          </cell>
        </row>
        <row r="315">
          <cell r="J315">
            <v>0.22</v>
          </cell>
          <cell r="K315">
            <v>0.19700000000000001</v>
          </cell>
          <cell r="L315">
            <v>0.37</v>
          </cell>
          <cell r="M315">
            <v>0.3881</v>
          </cell>
          <cell r="N315">
            <v>4</v>
          </cell>
          <cell r="O315">
            <v>73</v>
          </cell>
          <cell r="P315">
            <v>77</v>
          </cell>
        </row>
        <row r="316">
          <cell r="J316">
            <v>0.22</v>
          </cell>
          <cell r="K316">
            <v>0.21210000000000001</v>
          </cell>
          <cell r="L316">
            <v>0.41</v>
          </cell>
          <cell r="M316">
            <v>0.28360000000000002</v>
          </cell>
          <cell r="N316">
            <v>5</v>
          </cell>
          <cell r="O316">
            <v>59</v>
          </cell>
          <cell r="P316">
            <v>64</v>
          </cell>
        </row>
        <row r="317">
          <cell r="J317">
            <v>0.24</v>
          </cell>
          <cell r="K317">
            <v>0.2424</v>
          </cell>
          <cell r="L317">
            <v>0.38</v>
          </cell>
          <cell r="M317">
            <v>0.16420000000000001</v>
          </cell>
          <cell r="N317">
            <v>9</v>
          </cell>
          <cell r="O317">
            <v>59</v>
          </cell>
          <cell r="P317">
            <v>68</v>
          </cell>
        </row>
        <row r="318">
          <cell r="J318">
            <v>0.22</v>
          </cell>
          <cell r="K318">
            <v>0.2424</v>
          </cell>
          <cell r="L318">
            <v>0.41</v>
          </cell>
          <cell r="M318">
            <v>0.1045</v>
          </cell>
          <cell r="N318">
            <v>3</v>
          </cell>
          <cell r="O318">
            <v>87</v>
          </cell>
          <cell r="P318">
            <v>90</v>
          </cell>
        </row>
        <row r="319">
          <cell r="J319">
            <v>0.22</v>
          </cell>
          <cell r="K319">
            <v>0.2273</v>
          </cell>
          <cell r="L319">
            <v>0.41</v>
          </cell>
          <cell r="M319">
            <v>0.16420000000000001</v>
          </cell>
          <cell r="N319">
            <v>4</v>
          </cell>
          <cell r="O319">
            <v>155</v>
          </cell>
          <cell r="P319">
            <v>159</v>
          </cell>
        </row>
        <row r="320">
          <cell r="J320">
            <v>0.2</v>
          </cell>
          <cell r="K320">
            <v>0.2576</v>
          </cell>
          <cell r="L320">
            <v>0.47</v>
          </cell>
          <cell r="M320">
            <v>0</v>
          </cell>
          <cell r="N320">
            <v>5</v>
          </cell>
          <cell r="O320">
            <v>134</v>
          </cell>
          <cell r="P320">
            <v>139</v>
          </cell>
        </row>
        <row r="321">
          <cell r="J321">
            <v>0.16</v>
          </cell>
          <cell r="K321">
            <v>0.19700000000000001</v>
          </cell>
          <cell r="L321">
            <v>0.59</v>
          </cell>
          <cell r="M321">
            <v>8.9599999999999999E-2</v>
          </cell>
          <cell r="N321">
            <v>3</v>
          </cell>
          <cell r="O321">
            <v>89</v>
          </cell>
          <cell r="P321">
            <v>92</v>
          </cell>
        </row>
        <row r="322">
          <cell r="J322">
            <v>0.18</v>
          </cell>
          <cell r="K322">
            <v>0.2424</v>
          </cell>
          <cell r="L322">
            <v>0.59</v>
          </cell>
          <cell r="M322">
            <v>0</v>
          </cell>
          <cell r="N322">
            <v>0</v>
          </cell>
          <cell r="O322">
            <v>68</v>
          </cell>
          <cell r="P322">
            <v>68</v>
          </cell>
        </row>
        <row r="323">
          <cell r="J323">
            <v>0.16</v>
          </cell>
          <cell r="K323">
            <v>0.2273</v>
          </cell>
          <cell r="L323">
            <v>0.69</v>
          </cell>
          <cell r="M323">
            <v>0</v>
          </cell>
          <cell r="N323">
            <v>4</v>
          </cell>
          <cell r="O323">
            <v>48</v>
          </cell>
          <cell r="P323">
            <v>52</v>
          </cell>
        </row>
        <row r="324">
          <cell r="J324">
            <v>0.16</v>
          </cell>
          <cell r="K324">
            <v>0.2273</v>
          </cell>
          <cell r="L324">
            <v>0.69</v>
          </cell>
          <cell r="M324">
            <v>0</v>
          </cell>
          <cell r="N324">
            <v>2</v>
          </cell>
          <cell r="O324">
            <v>34</v>
          </cell>
          <cell r="P324">
            <v>36</v>
          </cell>
        </row>
        <row r="325">
          <cell r="J325">
            <v>0.18</v>
          </cell>
          <cell r="K325">
            <v>0.2424</v>
          </cell>
          <cell r="L325">
            <v>0.55000000000000004</v>
          </cell>
          <cell r="M325">
            <v>0</v>
          </cell>
          <cell r="N325">
            <v>1</v>
          </cell>
          <cell r="O325">
            <v>26</v>
          </cell>
          <cell r="P325">
            <v>27</v>
          </cell>
        </row>
        <row r="326">
          <cell r="J326">
            <v>0.18</v>
          </cell>
          <cell r="K326">
            <v>0.2424</v>
          </cell>
          <cell r="L326">
            <v>0.55000000000000004</v>
          </cell>
          <cell r="M326">
            <v>0</v>
          </cell>
          <cell r="N326">
            <v>3</v>
          </cell>
          <cell r="O326">
            <v>25</v>
          </cell>
          <cell r="P326">
            <v>28</v>
          </cell>
        </row>
        <row r="327">
          <cell r="J327">
            <v>0.16</v>
          </cell>
          <cell r="K327">
            <v>0.19700000000000001</v>
          </cell>
          <cell r="L327">
            <v>0.59</v>
          </cell>
          <cell r="M327">
            <v>8.9599999999999999E-2</v>
          </cell>
          <cell r="N327">
            <v>2</v>
          </cell>
          <cell r="O327">
            <v>18</v>
          </cell>
          <cell r="P327">
            <v>20</v>
          </cell>
        </row>
        <row r="328">
          <cell r="J328">
            <v>0.16</v>
          </cell>
          <cell r="K328">
            <v>0.19700000000000001</v>
          </cell>
          <cell r="L328">
            <v>0.59</v>
          </cell>
          <cell r="M328">
            <v>8.9599999999999999E-2</v>
          </cell>
          <cell r="N328">
            <v>0</v>
          </cell>
          <cell r="O328">
            <v>12</v>
          </cell>
          <cell r="P328">
            <v>12</v>
          </cell>
        </row>
        <row r="329">
          <cell r="J329">
            <v>0.16</v>
          </cell>
          <cell r="K329">
            <v>0.2273</v>
          </cell>
          <cell r="L329">
            <v>0.59</v>
          </cell>
          <cell r="M329">
            <v>0</v>
          </cell>
          <cell r="N329">
            <v>1</v>
          </cell>
          <cell r="O329">
            <v>7</v>
          </cell>
          <cell r="P329">
            <v>8</v>
          </cell>
        </row>
        <row r="330">
          <cell r="J330">
            <v>0.16</v>
          </cell>
          <cell r="K330">
            <v>0.2273</v>
          </cell>
          <cell r="L330">
            <v>0.59</v>
          </cell>
          <cell r="M330">
            <v>0</v>
          </cell>
          <cell r="N330">
            <v>0</v>
          </cell>
          <cell r="O330">
            <v>5</v>
          </cell>
          <cell r="P330">
            <v>5</v>
          </cell>
        </row>
        <row r="331">
          <cell r="J331">
            <v>0.16</v>
          </cell>
          <cell r="K331">
            <v>0.2273</v>
          </cell>
          <cell r="L331">
            <v>0.59</v>
          </cell>
          <cell r="M331">
            <v>0</v>
          </cell>
          <cell r="N331">
            <v>0</v>
          </cell>
          <cell r="O331">
            <v>1</v>
          </cell>
          <cell r="P331">
            <v>1</v>
          </cell>
        </row>
        <row r="332">
          <cell r="J332">
            <v>0.14000000000000001</v>
          </cell>
          <cell r="K332">
            <v>0.16669999999999999</v>
          </cell>
          <cell r="L332">
            <v>0.63</v>
          </cell>
          <cell r="M332">
            <v>0.1045</v>
          </cell>
          <cell r="N332">
            <v>1</v>
          </cell>
          <cell r="O332">
            <v>2</v>
          </cell>
          <cell r="P332">
            <v>3</v>
          </cell>
        </row>
        <row r="333">
          <cell r="J333">
            <v>0.14000000000000001</v>
          </cell>
          <cell r="K333">
            <v>0.21210000000000001</v>
          </cell>
          <cell r="L333">
            <v>0.63</v>
          </cell>
          <cell r="M333">
            <v>0</v>
          </cell>
          <cell r="N333">
            <v>1</v>
          </cell>
          <cell r="O333">
            <v>9</v>
          </cell>
          <cell r="P333">
            <v>10</v>
          </cell>
        </row>
        <row r="334">
          <cell r="J334">
            <v>0.14000000000000001</v>
          </cell>
          <cell r="K334">
            <v>0.1515</v>
          </cell>
          <cell r="L334">
            <v>0.63</v>
          </cell>
          <cell r="M334">
            <v>0.1343</v>
          </cell>
          <cell r="N334">
            <v>1</v>
          </cell>
          <cell r="O334">
            <v>22</v>
          </cell>
          <cell r="P334">
            <v>23</v>
          </cell>
        </row>
        <row r="335">
          <cell r="J335">
            <v>0.16</v>
          </cell>
          <cell r="K335">
            <v>0.18179999999999999</v>
          </cell>
          <cell r="L335">
            <v>0.64</v>
          </cell>
          <cell r="M335">
            <v>0.1343</v>
          </cell>
          <cell r="N335">
            <v>2</v>
          </cell>
          <cell r="O335">
            <v>31</v>
          </cell>
          <cell r="P335">
            <v>33</v>
          </cell>
        </row>
        <row r="336">
          <cell r="J336">
            <v>0.18</v>
          </cell>
          <cell r="K336">
            <v>0.19700000000000001</v>
          </cell>
          <cell r="L336">
            <v>0.59</v>
          </cell>
          <cell r="M336">
            <v>0.16420000000000001</v>
          </cell>
          <cell r="N336">
            <v>2</v>
          </cell>
          <cell r="O336">
            <v>57</v>
          </cell>
          <cell r="P336">
            <v>59</v>
          </cell>
        </row>
        <row r="337">
          <cell r="J337">
            <v>0.2</v>
          </cell>
          <cell r="K337">
            <v>0.19700000000000001</v>
          </cell>
          <cell r="L337">
            <v>0.55000000000000004</v>
          </cell>
          <cell r="M337">
            <v>0.22389999999999999</v>
          </cell>
          <cell r="N337">
            <v>18</v>
          </cell>
          <cell r="O337">
            <v>54</v>
          </cell>
          <cell r="P337">
            <v>72</v>
          </cell>
        </row>
        <row r="338">
          <cell r="J338">
            <v>0.24</v>
          </cell>
          <cell r="K338">
            <v>0.2273</v>
          </cell>
          <cell r="L338">
            <v>0.48</v>
          </cell>
          <cell r="M338">
            <v>0.22389999999999999</v>
          </cell>
          <cell r="N338">
            <v>15</v>
          </cell>
          <cell r="O338">
            <v>74</v>
          </cell>
          <cell r="P338">
            <v>89</v>
          </cell>
        </row>
        <row r="339">
          <cell r="J339">
            <v>0.28000000000000003</v>
          </cell>
          <cell r="K339">
            <v>0.2576</v>
          </cell>
          <cell r="L339">
            <v>0.38</v>
          </cell>
          <cell r="M339">
            <v>0.29849999999999999</v>
          </cell>
          <cell r="N339">
            <v>21</v>
          </cell>
          <cell r="O339">
            <v>80</v>
          </cell>
          <cell r="P339">
            <v>101</v>
          </cell>
        </row>
        <row r="340">
          <cell r="J340">
            <v>0.3</v>
          </cell>
          <cell r="K340">
            <v>0.28789999999999999</v>
          </cell>
          <cell r="L340">
            <v>0.39</v>
          </cell>
          <cell r="M340">
            <v>0.28360000000000002</v>
          </cell>
          <cell r="N340">
            <v>26</v>
          </cell>
          <cell r="O340">
            <v>92</v>
          </cell>
          <cell r="P340">
            <v>118</v>
          </cell>
        </row>
        <row r="341">
          <cell r="J341">
            <v>0.32</v>
          </cell>
          <cell r="K341">
            <v>0.31819999999999998</v>
          </cell>
          <cell r="L341">
            <v>0.36</v>
          </cell>
          <cell r="M341">
            <v>0.19400000000000001</v>
          </cell>
          <cell r="N341">
            <v>21</v>
          </cell>
          <cell r="O341">
            <v>108</v>
          </cell>
          <cell r="P341">
            <v>129</v>
          </cell>
        </row>
        <row r="342">
          <cell r="J342">
            <v>0.34</v>
          </cell>
          <cell r="K342">
            <v>0.33329999999999999</v>
          </cell>
          <cell r="L342">
            <v>0.34</v>
          </cell>
          <cell r="M342">
            <v>0.19400000000000001</v>
          </cell>
          <cell r="N342">
            <v>33</v>
          </cell>
          <cell r="O342">
            <v>95</v>
          </cell>
          <cell r="P342">
            <v>128</v>
          </cell>
        </row>
        <row r="343">
          <cell r="J343">
            <v>0.32</v>
          </cell>
          <cell r="K343">
            <v>0.30299999999999999</v>
          </cell>
          <cell r="L343">
            <v>0.36</v>
          </cell>
          <cell r="M343">
            <v>0.28360000000000002</v>
          </cell>
          <cell r="N343">
            <v>29</v>
          </cell>
          <cell r="O343">
            <v>54</v>
          </cell>
          <cell r="P343">
            <v>83</v>
          </cell>
        </row>
        <row r="344">
          <cell r="J344">
            <v>0.3</v>
          </cell>
          <cell r="K344">
            <v>0.28789999999999999</v>
          </cell>
          <cell r="L344">
            <v>0.45</v>
          </cell>
          <cell r="M344">
            <v>0.25369999999999998</v>
          </cell>
          <cell r="N344">
            <v>15</v>
          </cell>
          <cell r="O344">
            <v>69</v>
          </cell>
          <cell r="P344">
            <v>84</v>
          </cell>
        </row>
        <row r="345">
          <cell r="J345">
            <v>0.32</v>
          </cell>
          <cell r="K345">
            <v>0.30299999999999999</v>
          </cell>
          <cell r="L345">
            <v>0.39</v>
          </cell>
          <cell r="M345">
            <v>0.25369999999999998</v>
          </cell>
          <cell r="N345">
            <v>14</v>
          </cell>
          <cell r="O345">
            <v>60</v>
          </cell>
          <cell r="P345">
            <v>74</v>
          </cell>
        </row>
        <row r="346">
          <cell r="J346">
            <v>0.32</v>
          </cell>
          <cell r="K346">
            <v>0.30299999999999999</v>
          </cell>
          <cell r="L346">
            <v>0.39</v>
          </cell>
          <cell r="M346">
            <v>0.25369999999999998</v>
          </cell>
          <cell r="N346">
            <v>6</v>
          </cell>
          <cell r="O346">
            <v>35</v>
          </cell>
          <cell r="P346">
            <v>41</v>
          </cell>
        </row>
        <row r="347">
          <cell r="J347">
            <v>0.32</v>
          </cell>
          <cell r="K347">
            <v>0.30299999999999999</v>
          </cell>
          <cell r="L347">
            <v>0.39</v>
          </cell>
          <cell r="M347">
            <v>0.22389999999999999</v>
          </cell>
          <cell r="N347">
            <v>6</v>
          </cell>
          <cell r="O347">
            <v>51</v>
          </cell>
          <cell r="P347">
            <v>57</v>
          </cell>
        </row>
        <row r="348">
          <cell r="J348">
            <v>0.3</v>
          </cell>
          <cell r="K348">
            <v>0.31819999999999998</v>
          </cell>
          <cell r="L348">
            <v>0.42</v>
          </cell>
          <cell r="M348">
            <v>0.1045</v>
          </cell>
          <cell r="N348">
            <v>0</v>
          </cell>
          <cell r="O348">
            <v>26</v>
          </cell>
          <cell r="P348">
            <v>26</v>
          </cell>
        </row>
        <row r="349">
          <cell r="J349">
            <v>0.3</v>
          </cell>
          <cell r="K349">
            <v>0.28789999999999999</v>
          </cell>
          <cell r="L349">
            <v>0.45</v>
          </cell>
          <cell r="M349">
            <v>0.28360000000000002</v>
          </cell>
          <cell r="N349">
            <v>5</v>
          </cell>
          <cell r="O349">
            <v>39</v>
          </cell>
          <cell r="P349">
            <v>44</v>
          </cell>
        </row>
        <row r="350">
          <cell r="J350">
            <v>0.26</v>
          </cell>
          <cell r="K350">
            <v>0.30299999999999999</v>
          </cell>
          <cell r="L350">
            <v>0.56000000000000005</v>
          </cell>
          <cell r="M350">
            <v>0</v>
          </cell>
          <cell r="N350">
            <v>6</v>
          </cell>
          <cell r="O350">
            <v>33</v>
          </cell>
          <cell r="P350">
            <v>39</v>
          </cell>
        </row>
        <row r="351">
          <cell r="J351">
            <v>0.26</v>
          </cell>
          <cell r="K351">
            <v>0.2727</v>
          </cell>
          <cell r="L351">
            <v>0.56000000000000005</v>
          </cell>
          <cell r="M351">
            <v>0.1343</v>
          </cell>
          <cell r="N351">
            <v>4</v>
          </cell>
          <cell r="O351">
            <v>19</v>
          </cell>
          <cell r="P351">
            <v>23</v>
          </cell>
        </row>
        <row r="352">
          <cell r="J352">
            <v>0.26</v>
          </cell>
          <cell r="K352">
            <v>0.28789999999999999</v>
          </cell>
          <cell r="L352">
            <v>0.56000000000000005</v>
          </cell>
          <cell r="M352">
            <v>8.9599999999999999E-2</v>
          </cell>
          <cell r="N352">
            <v>3</v>
          </cell>
          <cell r="O352">
            <v>13</v>
          </cell>
          <cell r="P352">
            <v>16</v>
          </cell>
        </row>
        <row r="353">
          <cell r="J353">
            <v>0.22</v>
          </cell>
          <cell r="K353">
            <v>0.2727</v>
          </cell>
          <cell r="L353">
            <v>0.69</v>
          </cell>
          <cell r="M353">
            <v>0</v>
          </cell>
          <cell r="N353">
            <v>9</v>
          </cell>
          <cell r="O353">
            <v>6</v>
          </cell>
          <cell r="P353">
            <v>15</v>
          </cell>
        </row>
        <row r="354">
          <cell r="J354">
            <v>0.26</v>
          </cell>
          <cell r="K354">
            <v>0.2576</v>
          </cell>
          <cell r="L354">
            <v>0.56000000000000005</v>
          </cell>
          <cell r="M354">
            <v>0.16420000000000001</v>
          </cell>
          <cell r="N354">
            <v>0</v>
          </cell>
          <cell r="O354">
            <v>1</v>
          </cell>
          <cell r="P354">
            <v>1</v>
          </cell>
        </row>
        <row r="355">
          <cell r="J355">
            <v>0.26</v>
          </cell>
          <cell r="K355">
            <v>0.2576</v>
          </cell>
          <cell r="L355">
            <v>0.56000000000000005</v>
          </cell>
          <cell r="M355">
            <v>0.16420000000000001</v>
          </cell>
          <cell r="N355">
            <v>1</v>
          </cell>
          <cell r="O355">
            <v>1</v>
          </cell>
          <cell r="P355">
            <v>2</v>
          </cell>
        </row>
        <row r="356">
          <cell r="J356">
            <v>0.26</v>
          </cell>
          <cell r="K356">
            <v>0.2576</v>
          </cell>
          <cell r="L356">
            <v>0.56000000000000005</v>
          </cell>
          <cell r="M356">
            <v>0.16420000000000001</v>
          </cell>
          <cell r="N356">
            <v>0</v>
          </cell>
          <cell r="O356">
            <v>1</v>
          </cell>
          <cell r="P356">
            <v>1</v>
          </cell>
        </row>
        <row r="357">
          <cell r="J357">
            <v>0.24</v>
          </cell>
          <cell r="K357">
            <v>0.21210000000000001</v>
          </cell>
          <cell r="L357">
            <v>0.56000000000000005</v>
          </cell>
          <cell r="M357">
            <v>0.29849999999999999</v>
          </cell>
          <cell r="N357">
            <v>0</v>
          </cell>
          <cell r="O357">
            <v>3</v>
          </cell>
          <cell r="P357">
            <v>3</v>
          </cell>
        </row>
        <row r="358">
          <cell r="J358">
            <v>0.22</v>
          </cell>
          <cell r="K358">
            <v>0.21210000000000001</v>
          </cell>
          <cell r="L358">
            <v>0.55000000000000004</v>
          </cell>
          <cell r="M358">
            <v>0.28360000000000002</v>
          </cell>
          <cell r="N358">
            <v>0</v>
          </cell>
          <cell r="O358">
            <v>18</v>
          </cell>
          <cell r="P358">
            <v>18</v>
          </cell>
        </row>
        <row r="359">
          <cell r="J359">
            <v>0.22</v>
          </cell>
          <cell r="K359">
            <v>0.21210000000000001</v>
          </cell>
          <cell r="L359">
            <v>0.51</v>
          </cell>
          <cell r="M359">
            <v>0.25369999999999998</v>
          </cell>
          <cell r="N359">
            <v>3</v>
          </cell>
          <cell r="O359">
            <v>29</v>
          </cell>
          <cell r="P359">
            <v>32</v>
          </cell>
        </row>
        <row r="360">
          <cell r="J360">
            <v>0.22</v>
          </cell>
          <cell r="K360">
            <v>0.21210000000000001</v>
          </cell>
          <cell r="L360">
            <v>0.51</v>
          </cell>
          <cell r="M360">
            <v>0.28360000000000002</v>
          </cell>
          <cell r="N360">
            <v>8</v>
          </cell>
          <cell r="O360">
            <v>71</v>
          </cell>
          <cell r="P360">
            <v>79</v>
          </cell>
        </row>
        <row r="361">
          <cell r="J361">
            <v>0.24</v>
          </cell>
          <cell r="K361">
            <v>0.2273</v>
          </cell>
          <cell r="L361">
            <v>0.44</v>
          </cell>
          <cell r="M361">
            <v>0.25369999999999998</v>
          </cell>
          <cell r="N361">
            <v>23</v>
          </cell>
          <cell r="O361">
            <v>70</v>
          </cell>
          <cell r="P361">
            <v>93</v>
          </cell>
        </row>
        <row r="362">
          <cell r="J362">
            <v>0.24</v>
          </cell>
          <cell r="K362">
            <v>0.21210000000000001</v>
          </cell>
          <cell r="L362">
            <v>0.41</v>
          </cell>
          <cell r="M362">
            <v>0.28360000000000002</v>
          </cell>
          <cell r="N362">
            <v>29</v>
          </cell>
          <cell r="O362">
            <v>75</v>
          </cell>
          <cell r="P362">
            <v>104</v>
          </cell>
        </row>
        <row r="363">
          <cell r="J363">
            <v>0.26</v>
          </cell>
          <cell r="K363">
            <v>0.2273</v>
          </cell>
          <cell r="L363">
            <v>0.35</v>
          </cell>
          <cell r="M363">
            <v>0.29849999999999999</v>
          </cell>
          <cell r="N363">
            <v>23</v>
          </cell>
          <cell r="O363">
            <v>95</v>
          </cell>
          <cell r="P363">
            <v>118</v>
          </cell>
        </row>
        <row r="364">
          <cell r="J364">
            <v>0.28000000000000003</v>
          </cell>
          <cell r="K364">
            <v>0.2727</v>
          </cell>
          <cell r="L364">
            <v>0.36</v>
          </cell>
          <cell r="M364">
            <v>0.25369999999999998</v>
          </cell>
          <cell r="N364">
            <v>22</v>
          </cell>
          <cell r="O364">
            <v>69</v>
          </cell>
          <cell r="P364">
            <v>91</v>
          </cell>
        </row>
        <row r="365">
          <cell r="J365">
            <v>0.26</v>
          </cell>
          <cell r="K365">
            <v>0.2424</v>
          </cell>
          <cell r="L365">
            <v>0.38</v>
          </cell>
          <cell r="M365">
            <v>0.25369999999999998</v>
          </cell>
          <cell r="N365">
            <v>35</v>
          </cell>
          <cell r="O365">
            <v>78</v>
          </cell>
          <cell r="P365">
            <v>113</v>
          </cell>
        </row>
        <row r="366">
          <cell r="J366">
            <v>0.24</v>
          </cell>
          <cell r="K366">
            <v>0.2273</v>
          </cell>
          <cell r="L366">
            <v>0.38</v>
          </cell>
          <cell r="M366">
            <v>0.22389999999999999</v>
          </cell>
          <cell r="N366">
            <v>22</v>
          </cell>
          <cell r="O366">
            <v>77</v>
          </cell>
          <cell r="P366">
            <v>99</v>
          </cell>
        </row>
        <row r="367">
          <cell r="J367">
            <v>0.22</v>
          </cell>
          <cell r="K367">
            <v>0.21210000000000001</v>
          </cell>
          <cell r="L367">
            <v>0.37</v>
          </cell>
          <cell r="M367">
            <v>0.25369999999999998</v>
          </cell>
          <cell r="N367">
            <v>23</v>
          </cell>
          <cell r="O367">
            <v>82</v>
          </cell>
          <cell r="P367">
            <v>105</v>
          </cell>
        </row>
        <row r="368">
          <cell r="J368">
            <v>0.2</v>
          </cell>
          <cell r="K368">
            <v>0.21210000000000001</v>
          </cell>
          <cell r="L368">
            <v>0.4</v>
          </cell>
          <cell r="M368">
            <v>0.16420000000000001</v>
          </cell>
          <cell r="N368">
            <v>11</v>
          </cell>
          <cell r="O368">
            <v>56</v>
          </cell>
          <cell r="P368">
            <v>67</v>
          </cell>
        </row>
        <row r="369">
          <cell r="J369">
            <v>0.18</v>
          </cell>
          <cell r="K369">
            <v>0.19700000000000001</v>
          </cell>
          <cell r="L369">
            <v>0.47</v>
          </cell>
          <cell r="M369">
            <v>0.1343</v>
          </cell>
          <cell r="N369">
            <v>14</v>
          </cell>
          <cell r="O369">
            <v>47</v>
          </cell>
          <cell r="P369">
            <v>61</v>
          </cell>
        </row>
        <row r="370">
          <cell r="J370">
            <v>0.18</v>
          </cell>
          <cell r="K370">
            <v>0.19700000000000001</v>
          </cell>
          <cell r="L370">
            <v>0.47</v>
          </cell>
          <cell r="M370">
            <v>0.16420000000000001</v>
          </cell>
          <cell r="N370">
            <v>7</v>
          </cell>
          <cell r="O370">
            <v>50</v>
          </cell>
          <cell r="P370">
            <v>57</v>
          </cell>
        </row>
        <row r="371">
          <cell r="J371">
            <v>0.18</v>
          </cell>
          <cell r="K371">
            <v>0.19700000000000001</v>
          </cell>
          <cell r="L371">
            <v>0.51</v>
          </cell>
          <cell r="M371">
            <v>0.16420000000000001</v>
          </cell>
          <cell r="N371">
            <v>6</v>
          </cell>
          <cell r="O371">
            <v>22</v>
          </cell>
          <cell r="P371">
            <v>28</v>
          </cell>
        </row>
        <row r="372">
          <cell r="J372">
            <v>0.2</v>
          </cell>
          <cell r="K372">
            <v>0.21210000000000001</v>
          </cell>
          <cell r="L372">
            <v>0.49</v>
          </cell>
          <cell r="M372">
            <v>0.1343</v>
          </cell>
          <cell r="N372">
            <v>2</v>
          </cell>
          <cell r="O372">
            <v>19</v>
          </cell>
          <cell r="P372">
            <v>21</v>
          </cell>
        </row>
        <row r="373">
          <cell r="J373">
            <v>0.2</v>
          </cell>
          <cell r="K373">
            <v>0.2273</v>
          </cell>
          <cell r="L373">
            <v>0.4</v>
          </cell>
          <cell r="M373">
            <v>0.1045</v>
          </cell>
          <cell r="N373">
            <v>0</v>
          </cell>
          <cell r="O373">
            <v>18</v>
          </cell>
          <cell r="P373">
            <v>18</v>
          </cell>
        </row>
        <row r="374">
          <cell r="J374">
            <v>0.2</v>
          </cell>
          <cell r="K374">
            <v>0.19700000000000001</v>
          </cell>
          <cell r="L374">
            <v>0.47</v>
          </cell>
          <cell r="M374">
            <v>0.22389999999999999</v>
          </cell>
          <cell r="N374">
            <v>1</v>
          </cell>
          <cell r="O374">
            <v>16</v>
          </cell>
          <cell r="P374">
            <v>17</v>
          </cell>
        </row>
        <row r="375">
          <cell r="J375">
            <v>0.2</v>
          </cell>
          <cell r="K375">
            <v>0.19700000000000001</v>
          </cell>
          <cell r="L375">
            <v>0.44</v>
          </cell>
          <cell r="M375">
            <v>0.19400000000000001</v>
          </cell>
          <cell r="N375">
            <v>1</v>
          </cell>
          <cell r="O375">
            <v>15</v>
          </cell>
          <cell r="P375">
            <v>16</v>
          </cell>
        </row>
        <row r="376">
          <cell r="J376">
            <v>0.18</v>
          </cell>
          <cell r="K376">
            <v>0.16669999999999999</v>
          </cell>
          <cell r="L376">
            <v>0.43</v>
          </cell>
          <cell r="M376">
            <v>0.25369999999999998</v>
          </cell>
          <cell r="N376">
            <v>0</v>
          </cell>
          <cell r="O376">
            <v>8</v>
          </cell>
          <cell r="P376">
            <v>8</v>
          </cell>
        </row>
        <row r="377">
          <cell r="J377">
            <v>0.18</v>
          </cell>
          <cell r="K377">
            <v>0.18179999999999999</v>
          </cell>
          <cell r="L377">
            <v>0.43</v>
          </cell>
          <cell r="M377">
            <v>0.19400000000000001</v>
          </cell>
          <cell r="N377">
            <v>0</v>
          </cell>
          <cell r="O377">
            <v>2</v>
          </cell>
          <cell r="P377">
            <v>2</v>
          </cell>
        </row>
        <row r="378">
          <cell r="J378">
            <v>0.18</v>
          </cell>
          <cell r="K378">
            <v>0.19700000000000001</v>
          </cell>
          <cell r="L378">
            <v>0.43</v>
          </cell>
          <cell r="M378">
            <v>0.1343</v>
          </cell>
          <cell r="N378">
            <v>1</v>
          </cell>
          <cell r="O378">
            <v>2</v>
          </cell>
          <cell r="P378">
            <v>3</v>
          </cell>
        </row>
        <row r="379">
          <cell r="J379">
            <v>0.18</v>
          </cell>
          <cell r="K379">
            <v>0.19700000000000001</v>
          </cell>
          <cell r="L379">
            <v>0.43</v>
          </cell>
          <cell r="M379">
            <v>0.16420000000000001</v>
          </cell>
          <cell r="N379">
            <v>0</v>
          </cell>
          <cell r="O379">
            <v>1</v>
          </cell>
          <cell r="P379">
            <v>1</v>
          </cell>
        </row>
        <row r="380">
          <cell r="J380">
            <v>0.18</v>
          </cell>
          <cell r="K380">
            <v>0.18179999999999999</v>
          </cell>
          <cell r="L380">
            <v>0.43</v>
          </cell>
          <cell r="M380">
            <v>0.19400000000000001</v>
          </cell>
          <cell r="N380">
            <v>0</v>
          </cell>
          <cell r="O380">
            <v>5</v>
          </cell>
          <cell r="P380">
            <v>5</v>
          </cell>
        </row>
        <row r="381">
          <cell r="J381">
            <v>0.16</v>
          </cell>
          <cell r="K381">
            <v>0.18179999999999999</v>
          </cell>
          <cell r="L381">
            <v>0.5</v>
          </cell>
          <cell r="M381">
            <v>0.1343</v>
          </cell>
          <cell r="N381">
            <v>4</v>
          </cell>
          <cell r="O381">
            <v>9</v>
          </cell>
          <cell r="P381">
            <v>13</v>
          </cell>
        </row>
        <row r="382">
          <cell r="J382">
            <v>0.16</v>
          </cell>
          <cell r="K382">
            <v>0.1515</v>
          </cell>
          <cell r="L382">
            <v>0.47</v>
          </cell>
          <cell r="M382">
            <v>0.22389999999999999</v>
          </cell>
          <cell r="N382">
            <v>3</v>
          </cell>
          <cell r="O382">
            <v>30</v>
          </cell>
          <cell r="P382">
            <v>33</v>
          </cell>
        </row>
        <row r="383">
          <cell r="J383">
            <v>0.16</v>
          </cell>
          <cell r="K383">
            <v>0.1515</v>
          </cell>
          <cell r="L383">
            <v>0.47</v>
          </cell>
          <cell r="M383">
            <v>0.22389999999999999</v>
          </cell>
          <cell r="N383">
            <v>8</v>
          </cell>
          <cell r="O383">
            <v>39</v>
          </cell>
          <cell r="P383">
            <v>47</v>
          </cell>
        </row>
        <row r="384">
          <cell r="J384">
            <v>0.16</v>
          </cell>
          <cell r="K384">
            <v>0.1515</v>
          </cell>
          <cell r="L384">
            <v>0.5</v>
          </cell>
          <cell r="M384">
            <v>0.25369999999999998</v>
          </cell>
          <cell r="N384">
            <v>7</v>
          </cell>
          <cell r="O384">
            <v>50</v>
          </cell>
          <cell r="P384">
            <v>57</v>
          </cell>
        </row>
        <row r="385">
          <cell r="J385">
            <v>0.16</v>
          </cell>
          <cell r="K385">
            <v>0.1515</v>
          </cell>
          <cell r="L385">
            <v>0.55000000000000004</v>
          </cell>
          <cell r="M385">
            <v>0.19400000000000001</v>
          </cell>
          <cell r="N385">
            <v>9</v>
          </cell>
          <cell r="O385">
            <v>55</v>
          </cell>
          <cell r="P385">
            <v>64</v>
          </cell>
        </row>
        <row r="386">
          <cell r="J386">
            <v>0.18</v>
          </cell>
          <cell r="K386">
            <v>0.19700000000000001</v>
          </cell>
          <cell r="L386">
            <v>0.47</v>
          </cell>
          <cell r="M386">
            <v>0.1343</v>
          </cell>
          <cell r="N386">
            <v>10</v>
          </cell>
          <cell r="O386">
            <v>70</v>
          </cell>
          <cell r="P386">
            <v>80</v>
          </cell>
        </row>
        <row r="387">
          <cell r="J387">
            <v>0.18</v>
          </cell>
          <cell r="K387">
            <v>0.19700000000000001</v>
          </cell>
          <cell r="L387">
            <v>0.47</v>
          </cell>
          <cell r="M387">
            <v>0.1343</v>
          </cell>
          <cell r="N387">
            <v>13</v>
          </cell>
          <cell r="O387">
            <v>80</v>
          </cell>
          <cell r="P387">
            <v>93</v>
          </cell>
        </row>
        <row r="388">
          <cell r="J388">
            <v>0.18</v>
          </cell>
          <cell r="K388">
            <v>0.21210000000000001</v>
          </cell>
          <cell r="L388">
            <v>0.43</v>
          </cell>
          <cell r="M388">
            <v>0.1045</v>
          </cell>
          <cell r="N388">
            <v>12</v>
          </cell>
          <cell r="O388">
            <v>74</v>
          </cell>
          <cell r="P388">
            <v>86</v>
          </cell>
        </row>
        <row r="389">
          <cell r="J389">
            <v>0.2</v>
          </cell>
          <cell r="K389">
            <v>0.21210000000000001</v>
          </cell>
          <cell r="L389">
            <v>0.47</v>
          </cell>
          <cell r="M389">
            <v>0.16420000000000001</v>
          </cell>
          <cell r="N389">
            <v>21</v>
          </cell>
          <cell r="O389">
            <v>72</v>
          </cell>
          <cell r="P389">
            <v>93</v>
          </cell>
        </row>
        <row r="390">
          <cell r="J390">
            <v>0.2</v>
          </cell>
          <cell r="K390">
            <v>0.21210000000000001</v>
          </cell>
          <cell r="L390">
            <v>0.47</v>
          </cell>
          <cell r="M390">
            <v>0.16420000000000001</v>
          </cell>
          <cell r="N390">
            <v>6</v>
          </cell>
          <cell r="O390">
            <v>76</v>
          </cell>
          <cell r="P390">
            <v>82</v>
          </cell>
        </row>
        <row r="391">
          <cell r="J391">
            <v>0.2</v>
          </cell>
          <cell r="K391">
            <v>0.19700000000000001</v>
          </cell>
          <cell r="L391">
            <v>0.51</v>
          </cell>
          <cell r="M391">
            <v>0.19400000000000001</v>
          </cell>
          <cell r="N391">
            <v>4</v>
          </cell>
          <cell r="O391">
            <v>67</v>
          </cell>
          <cell r="P391">
            <v>71</v>
          </cell>
        </row>
        <row r="392">
          <cell r="J392">
            <v>0.18</v>
          </cell>
          <cell r="K392">
            <v>0.16669999999999999</v>
          </cell>
          <cell r="L392">
            <v>0.55000000000000004</v>
          </cell>
          <cell r="M392">
            <v>0.25369999999999998</v>
          </cell>
          <cell r="N392">
            <v>7</v>
          </cell>
          <cell r="O392">
            <v>85</v>
          </cell>
          <cell r="P392">
            <v>92</v>
          </cell>
        </row>
        <row r="393">
          <cell r="J393">
            <v>0.18</v>
          </cell>
          <cell r="K393">
            <v>0.18179999999999999</v>
          </cell>
          <cell r="L393">
            <v>0.59</v>
          </cell>
          <cell r="M393">
            <v>0.19400000000000001</v>
          </cell>
          <cell r="N393">
            <v>2</v>
          </cell>
          <cell r="O393">
            <v>58</v>
          </cell>
          <cell r="P393">
            <v>60</v>
          </cell>
        </row>
        <row r="394">
          <cell r="J394">
            <v>0.16</v>
          </cell>
          <cell r="K394">
            <v>0.1515</v>
          </cell>
          <cell r="L394">
            <v>0.8</v>
          </cell>
          <cell r="M394">
            <v>0.19400000000000001</v>
          </cell>
          <cell r="N394">
            <v>4</v>
          </cell>
          <cell r="O394">
            <v>29</v>
          </cell>
          <cell r="P394">
            <v>33</v>
          </cell>
        </row>
        <row r="395">
          <cell r="J395">
            <v>0.16</v>
          </cell>
          <cell r="K395">
            <v>0.1515</v>
          </cell>
          <cell r="L395">
            <v>0.8</v>
          </cell>
          <cell r="M395">
            <v>0.19400000000000001</v>
          </cell>
          <cell r="N395">
            <v>3</v>
          </cell>
          <cell r="O395">
            <v>24</v>
          </cell>
          <cell r="P395">
            <v>27</v>
          </cell>
        </row>
        <row r="396">
          <cell r="J396">
            <v>0.14000000000000001</v>
          </cell>
          <cell r="K396">
            <v>0.1212</v>
          </cell>
          <cell r="L396">
            <v>0.93</v>
          </cell>
          <cell r="M396">
            <v>0.25369999999999998</v>
          </cell>
          <cell r="N396">
            <v>0</v>
          </cell>
          <cell r="O396">
            <v>13</v>
          </cell>
          <cell r="P396">
            <v>13</v>
          </cell>
        </row>
        <row r="397">
          <cell r="J397">
            <v>0.16</v>
          </cell>
          <cell r="K397">
            <v>0.13639999999999999</v>
          </cell>
          <cell r="L397">
            <v>0.86</v>
          </cell>
          <cell r="M397">
            <v>0.28360000000000002</v>
          </cell>
          <cell r="N397">
            <v>1</v>
          </cell>
          <cell r="O397">
            <v>3</v>
          </cell>
          <cell r="P397">
            <v>4</v>
          </cell>
        </row>
        <row r="398">
          <cell r="J398">
            <v>0.2</v>
          </cell>
          <cell r="K398">
            <v>0.18179999999999999</v>
          </cell>
          <cell r="L398">
            <v>0.86</v>
          </cell>
          <cell r="M398">
            <v>0.32840000000000003</v>
          </cell>
          <cell r="N398">
            <v>0</v>
          </cell>
          <cell r="O398">
            <v>3</v>
          </cell>
          <cell r="P398">
            <v>3</v>
          </cell>
        </row>
        <row r="399">
          <cell r="J399">
            <v>0.2</v>
          </cell>
          <cell r="K399">
            <v>0.19700000000000001</v>
          </cell>
          <cell r="L399">
            <v>0.86</v>
          </cell>
          <cell r="M399">
            <v>0.22389999999999999</v>
          </cell>
          <cell r="N399">
            <v>0</v>
          </cell>
          <cell r="O399">
            <v>22</v>
          </cell>
          <cell r="P399">
            <v>22</v>
          </cell>
        </row>
        <row r="400">
          <cell r="J400">
            <v>0.22</v>
          </cell>
          <cell r="K400">
            <v>0.2273</v>
          </cell>
          <cell r="L400">
            <v>0.8</v>
          </cell>
          <cell r="M400">
            <v>0.16420000000000001</v>
          </cell>
          <cell r="N400">
            <v>2</v>
          </cell>
          <cell r="O400">
            <v>26</v>
          </cell>
          <cell r="P400">
            <v>28</v>
          </cell>
        </row>
        <row r="401">
          <cell r="J401">
            <v>0.22</v>
          </cell>
          <cell r="K401">
            <v>0.2273</v>
          </cell>
          <cell r="L401">
            <v>0.87</v>
          </cell>
          <cell r="M401">
            <v>0.16420000000000001</v>
          </cell>
          <cell r="N401">
            <v>3</v>
          </cell>
          <cell r="O401">
            <v>32</v>
          </cell>
          <cell r="P401">
            <v>35</v>
          </cell>
        </row>
        <row r="402">
          <cell r="J402">
            <v>0.22</v>
          </cell>
          <cell r="K402">
            <v>0.2273</v>
          </cell>
          <cell r="L402">
            <v>0.87</v>
          </cell>
          <cell r="M402">
            <v>0.19400000000000001</v>
          </cell>
          <cell r="N402">
            <v>0</v>
          </cell>
          <cell r="O402">
            <v>61</v>
          </cell>
          <cell r="P402">
            <v>61</v>
          </cell>
        </row>
        <row r="403">
          <cell r="J403">
            <v>0.22</v>
          </cell>
          <cell r="K403">
            <v>0.2273</v>
          </cell>
          <cell r="L403">
            <v>0.82</v>
          </cell>
          <cell r="M403">
            <v>0.19400000000000001</v>
          </cell>
          <cell r="N403">
            <v>1</v>
          </cell>
          <cell r="O403">
            <v>124</v>
          </cell>
          <cell r="P403">
            <v>125</v>
          </cell>
        </row>
        <row r="404">
          <cell r="J404">
            <v>0.22</v>
          </cell>
          <cell r="K404">
            <v>0.2273</v>
          </cell>
          <cell r="L404">
            <v>0.8</v>
          </cell>
          <cell r="M404">
            <v>0.16420000000000001</v>
          </cell>
          <cell r="N404">
            <v>1</v>
          </cell>
          <cell r="O404">
            <v>132</v>
          </cell>
          <cell r="P404">
            <v>133</v>
          </cell>
        </row>
        <row r="405">
          <cell r="J405">
            <v>0.22</v>
          </cell>
          <cell r="K405">
            <v>0.2273</v>
          </cell>
          <cell r="L405">
            <v>0.8</v>
          </cell>
          <cell r="M405">
            <v>0.1343</v>
          </cell>
          <cell r="N405">
            <v>1</v>
          </cell>
          <cell r="O405">
            <v>98</v>
          </cell>
          <cell r="P405">
            <v>99</v>
          </cell>
        </row>
        <row r="406">
          <cell r="J406">
            <v>0.22</v>
          </cell>
          <cell r="K406">
            <v>0.2727</v>
          </cell>
          <cell r="L406">
            <v>0.87</v>
          </cell>
          <cell r="M406">
            <v>0</v>
          </cell>
          <cell r="N406">
            <v>0</v>
          </cell>
          <cell r="O406">
            <v>83</v>
          </cell>
          <cell r="P406">
            <v>83</v>
          </cell>
        </row>
        <row r="407">
          <cell r="J407">
            <v>0.22</v>
          </cell>
          <cell r="K407">
            <v>0.2424</v>
          </cell>
          <cell r="L407">
            <v>0.93</v>
          </cell>
          <cell r="M407">
            <v>0.1045</v>
          </cell>
          <cell r="N407">
            <v>0</v>
          </cell>
          <cell r="O407">
            <v>41</v>
          </cell>
          <cell r="P407">
            <v>41</v>
          </cell>
        </row>
        <row r="408">
          <cell r="J408">
            <v>0.22</v>
          </cell>
          <cell r="K408">
            <v>0.2576</v>
          </cell>
          <cell r="L408">
            <v>0.93</v>
          </cell>
          <cell r="M408">
            <v>8.9599999999999999E-2</v>
          </cell>
          <cell r="N408">
            <v>0</v>
          </cell>
          <cell r="O408">
            <v>33</v>
          </cell>
          <cell r="P408">
            <v>33</v>
          </cell>
        </row>
        <row r="409">
          <cell r="J409">
            <v>0.22</v>
          </cell>
          <cell r="K409">
            <v>0.2727</v>
          </cell>
          <cell r="L409">
            <v>0.93</v>
          </cell>
          <cell r="M409">
            <v>0</v>
          </cell>
          <cell r="N409">
            <v>1</v>
          </cell>
          <cell r="O409">
            <v>19</v>
          </cell>
          <cell r="P409">
            <v>20</v>
          </cell>
        </row>
        <row r="410">
          <cell r="J410">
            <v>0.22</v>
          </cell>
          <cell r="K410">
            <v>0.2727</v>
          </cell>
          <cell r="L410">
            <v>0.93</v>
          </cell>
          <cell r="M410">
            <v>0</v>
          </cell>
          <cell r="N410">
            <v>0</v>
          </cell>
          <cell r="O410">
            <v>3</v>
          </cell>
          <cell r="P410">
            <v>3</v>
          </cell>
        </row>
        <row r="411">
          <cell r="J411">
            <v>0.22</v>
          </cell>
          <cell r="K411">
            <v>0.2273</v>
          </cell>
          <cell r="L411">
            <v>0.93</v>
          </cell>
          <cell r="M411">
            <v>0.1343</v>
          </cell>
          <cell r="N411">
            <v>1</v>
          </cell>
          <cell r="O411">
            <v>6</v>
          </cell>
          <cell r="P411">
            <v>7</v>
          </cell>
        </row>
        <row r="412">
          <cell r="J412">
            <v>0.22</v>
          </cell>
          <cell r="K412">
            <v>0.2273</v>
          </cell>
          <cell r="L412">
            <v>0.93</v>
          </cell>
          <cell r="M412">
            <v>0.1343</v>
          </cell>
          <cell r="N412">
            <v>0</v>
          </cell>
          <cell r="O412">
            <v>3</v>
          </cell>
          <cell r="P412">
            <v>3</v>
          </cell>
        </row>
        <row r="413">
          <cell r="J413">
            <v>0.22</v>
          </cell>
          <cell r="K413">
            <v>0.2273</v>
          </cell>
          <cell r="L413">
            <v>0.93</v>
          </cell>
          <cell r="M413">
            <v>0.1343</v>
          </cell>
          <cell r="N413">
            <v>1</v>
          </cell>
          <cell r="O413">
            <v>1</v>
          </cell>
          <cell r="P413">
            <v>2</v>
          </cell>
        </row>
        <row r="414">
          <cell r="J414">
            <v>0.22</v>
          </cell>
          <cell r="K414">
            <v>0.2576</v>
          </cell>
          <cell r="L414">
            <v>0.93</v>
          </cell>
          <cell r="M414">
            <v>8.9599999999999999E-2</v>
          </cell>
          <cell r="N414">
            <v>0</v>
          </cell>
          <cell r="O414">
            <v>7</v>
          </cell>
          <cell r="P414">
            <v>7</v>
          </cell>
        </row>
        <row r="415">
          <cell r="J415">
            <v>0.22</v>
          </cell>
          <cell r="K415">
            <v>0.2576</v>
          </cell>
          <cell r="L415">
            <v>0.93</v>
          </cell>
          <cell r="M415">
            <v>8.9599999999999999E-2</v>
          </cell>
          <cell r="N415">
            <v>0</v>
          </cell>
          <cell r="O415">
            <v>32</v>
          </cell>
          <cell r="P415">
            <v>32</v>
          </cell>
        </row>
        <row r="416">
          <cell r="J416">
            <v>0.24</v>
          </cell>
          <cell r="K416">
            <v>0.2576</v>
          </cell>
          <cell r="L416">
            <v>0.92</v>
          </cell>
          <cell r="M416">
            <v>0.1045</v>
          </cell>
          <cell r="N416">
            <v>1</v>
          </cell>
          <cell r="O416">
            <v>89</v>
          </cell>
          <cell r="P416">
            <v>90</v>
          </cell>
        </row>
        <row r="417">
          <cell r="J417">
            <v>0.24</v>
          </cell>
          <cell r="K417">
            <v>0.2576</v>
          </cell>
          <cell r="L417">
            <v>0.93</v>
          </cell>
          <cell r="M417">
            <v>0.1045</v>
          </cell>
          <cell r="N417">
            <v>1</v>
          </cell>
          <cell r="O417">
            <v>196</v>
          </cell>
          <cell r="P417">
            <v>197</v>
          </cell>
        </row>
        <row r="418">
          <cell r="J418">
            <v>0.24</v>
          </cell>
          <cell r="K418">
            <v>0.2576</v>
          </cell>
          <cell r="L418">
            <v>0.93</v>
          </cell>
          <cell r="M418">
            <v>0.1045</v>
          </cell>
          <cell r="N418">
            <v>2</v>
          </cell>
          <cell r="O418">
            <v>107</v>
          </cell>
          <cell r="P418">
            <v>109</v>
          </cell>
        </row>
        <row r="419">
          <cell r="J419">
            <v>0.26</v>
          </cell>
          <cell r="K419">
            <v>0.2727</v>
          </cell>
          <cell r="L419">
            <v>0.93</v>
          </cell>
          <cell r="M419">
            <v>0.1343</v>
          </cell>
          <cell r="N419">
            <v>1</v>
          </cell>
          <cell r="O419">
            <v>46</v>
          </cell>
          <cell r="P419">
            <v>47</v>
          </cell>
        </row>
        <row r="420">
          <cell r="J420">
            <v>0.28000000000000003</v>
          </cell>
          <cell r="K420">
            <v>0.30299999999999999</v>
          </cell>
          <cell r="L420">
            <v>0.87</v>
          </cell>
          <cell r="M420">
            <v>8.9599999999999999E-2</v>
          </cell>
          <cell r="N420">
            <v>5</v>
          </cell>
          <cell r="O420">
            <v>47</v>
          </cell>
          <cell r="P420">
            <v>52</v>
          </cell>
        </row>
        <row r="421">
          <cell r="J421">
            <v>0.3</v>
          </cell>
          <cell r="K421">
            <v>0.31819999999999998</v>
          </cell>
          <cell r="L421">
            <v>0.81</v>
          </cell>
          <cell r="M421">
            <v>8.9599999999999999E-2</v>
          </cell>
          <cell r="N421">
            <v>5</v>
          </cell>
          <cell r="O421">
            <v>65</v>
          </cell>
          <cell r="P421">
            <v>70</v>
          </cell>
        </row>
        <row r="422">
          <cell r="J422">
            <v>0.4</v>
          </cell>
          <cell r="K422">
            <v>0.40910000000000002</v>
          </cell>
          <cell r="L422">
            <v>0.62</v>
          </cell>
          <cell r="M422">
            <v>0.28360000000000002</v>
          </cell>
          <cell r="N422">
            <v>11</v>
          </cell>
          <cell r="O422">
            <v>67</v>
          </cell>
          <cell r="P422">
            <v>78</v>
          </cell>
        </row>
        <row r="423">
          <cell r="J423">
            <v>0.4</v>
          </cell>
          <cell r="K423">
            <v>0.40910000000000002</v>
          </cell>
          <cell r="L423">
            <v>0.57999999999999996</v>
          </cell>
          <cell r="M423">
            <v>0.25369999999999998</v>
          </cell>
          <cell r="N423">
            <v>7</v>
          </cell>
          <cell r="O423">
            <v>68</v>
          </cell>
          <cell r="P423">
            <v>75</v>
          </cell>
        </row>
        <row r="424">
          <cell r="J424">
            <v>0.4</v>
          </cell>
          <cell r="K424">
            <v>0.40910000000000002</v>
          </cell>
          <cell r="L424">
            <v>0.54</v>
          </cell>
          <cell r="M424">
            <v>0.28360000000000002</v>
          </cell>
          <cell r="N424">
            <v>4</v>
          </cell>
          <cell r="O424">
            <v>78</v>
          </cell>
          <cell r="P424">
            <v>82</v>
          </cell>
        </row>
        <row r="425">
          <cell r="J425">
            <v>0.38</v>
          </cell>
          <cell r="K425">
            <v>0.39389999999999997</v>
          </cell>
          <cell r="L425">
            <v>0.57999999999999996</v>
          </cell>
          <cell r="M425">
            <v>0.3881</v>
          </cell>
          <cell r="N425">
            <v>10</v>
          </cell>
          <cell r="O425">
            <v>94</v>
          </cell>
          <cell r="P425">
            <v>104</v>
          </cell>
        </row>
        <row r="426">
          <cell r="J426">
            <v>0.36</v>
          </cell>
          <cell r="K426">
            <v>0.33329999999999999</v>
          </cell>
          <cell r="L426">
            <v>0.56999999999999995</v>
          </cell>
          <cell r="M426">
            <v>0.32840000000000003</v>
          </cell>
          <cell r="N426">
            <v>7</v>
          </cell>
          <cell r="O426">
            <v>190</v>
          </cell>
          <cell r="P426">
            <v>197</v>
          </cell>
        </row>
        <row r="427">
          <cell r="J427">
            <v>0.34</v>
          </cell>
          <cell r="K427">
            <v>0.31819999999999998</v>
          </cell>
          <cell r="L427">
            <v>0.61</v>
          </cell>
          <cell r="M427">
            <v>0.28360000000000002</v>
          </cell>
          <cell r="N427">
            <v>5</v>
          </cell>
          <cell r="O427">
            <v>156</v>
          </cell>
          <cell r="P427">
            <v>161</v>
          </cell>
        </row>
        <row r="428">
          <cell r="J428">
            <v>0.32</v>
          </cell>
          <cell r="K428">
            <v>0.28789999999999999</v>
          </cell>
          <cell r="L428">
            <v>0.56999999999999995</v>
          </cell>
          <cell r="M428">
            <v>0.41789999999999999</v>
          </cell>
          <cell r="N428">
            <v>4</v>
          </cell>
          <cell r="O428">
            <v>108</v>
          </cell>
          <cell r="P428">
            <v>112</v>
          </cell>
        </row>
        <row r="429">
          <cell r="J429">
            <v>0.32</v>
          </cell>
          <cell r="K429">
            <v>0.30299999999999999</v>
          </cell>
          <cell r="L429">
            <v>0.49</v>
          </cell>
          <cell r="M429">
            <v>0.29849999999999999</v>
          </cell>
          <cell r="N429">
            <v>2</v>
          </cell>
          <cell r="O429">
            <v>74</v>
          </cell>
          <cell r="P429">
            <v>76</v>
          </cell>
        </row>
        <row r="430">
          <cell r="J430">
            <v>0.32</v>
          </cell>
          <cell r="K430">
            <v>0.28789999999999999</v>
          </cell>
          <cell r="L430">
            <v>0.49</v>
          </cell>
          <cell r="M430">
            <v>0.41789999999999999</v>
          </cell>
          <cell r="N430">
            <v>4</v>
          </cell>
          <cell r="O430">
            <v>55</v>
          </cell>
          <cell r="P430">
            <v>59</v>
          </cell>
        </row>
        <row r="431">
          <cell r="J431">
            <v>0.3</v>
          </cell>
          <cell r="K431">
            <v>0.30299999999999999</v>
          </cell>
          <cell r="L431">
            <v>0.52</v>
          </cell>
          <cell r="M431">
            <v>0.16420000000000001</v>
          </cell>
          <cell r="N431">
            <v>6</v>
          </cell>
          <cell r="O431">
            <v>53</v>
          </cell>
          <cell r="P431">
            <v>59</v>
          </cell>
        </row>
        <row r="432">
          <cell r="J432">
            <v>0.3</v>
          </cell>
          <cell r="K432">
            <v>0.2727</v>
          </cell>
          <cell r="L432">
            <v>0.52</v>
          </cell>
          <cell r="M432">
            <v>0.4627</v>
          </cell>
          <cell r="N432">
            <v>1</v>
          </cell>
          <cell r="O432">
            <v>27</v>
          </cell>
          <cell r="P432">
            <v>28</v>
          </cell>
        </row>
        <row r="433">
          <cell r="J433">
            <v>0.26</v>
          </cell>
          <cell r="K433">
            <v>0.2273</v>
          </cell>
          <cell r="L433">
            <v>0.56000000000000005</v>
          </cell>
          <cell r="M433">
            <v>0.3881</v>
          </cell>
          <cell r="N433">
            <v>5</v>
          </cell>
          <cell r="O433">
            <v>8</v>
          </cell>
          <cell r="P433">
            <v>13</v>
          </cell>
        </row>
        <row r="434">
          <cell r="J434">
            <v>0.26</v>
          </cell>
          <cell r="K434">
            <v>0.2727</v>
          </cell>
          <cell r="L434">
            <v>0.56000000000000005</v>
          </cell>
          <cell r="M434">
            <v>0</v>
          </cell>
          <cell r="N434">
            <v>2</v>
          </cell>
          <cell r="O434">
            <v>3</v>
          </cell>
          <cell r="P434">
            <v>5</v>
          </cell>
        </row>
        <row r="435">
          <cell r="J435">
            <v>0.26</v>
          </cell>
          <cell r="K435">
            <v>0.2727</v>
          </cell>
          <cell r="L435">
            <v>0.56000000000000005</v>
          </cell>
          <cell r="M435">
            <v>0</v>
          </cell>
          <cell r="N435">
            <v>0</v>
          </cell>
          <cell r="O435">
            <v>2</v>
          </cell>
          <cell r="P435">
            <v>2</v>
          </cell>
        </row>
        <row r="436">
          <cell r="J436">
            <v>0.26</v>
          </cell>
          <cell r="K436">
            <v>0.2576</v>
          </cell>
          <cell r="L436">
            <v>0.56000000000000005</v>
          </cell>
          <cell r="M436">
            <v>0.16420000000000001</v>
          </cell>
          <cell r="N436">
            <v>0</v>
          </cell>
          <cell r="O436">
            <v>1</v>
          </cell>
          <cell r="P436">
            <v>1</v>
          </cell>
        </row>
        <row r="437">
          <cell r="J437">
            <v>0.26</v>
          </cell>
          <cell r="K437">
            <v>0.2576</v>
          </cell>
          <cell r="L437">
            <v>0.56000000000000005</v>
          </cell>
          <cell r="M437">
            <v>0.16420000000000001</v>
          </cell>
          <cell r="N437">
            <v>0</v>
          </cell>
          <cell r="O437">
            <v>1</v>
          </cell>
          <cell r="P437">
            <v>1</v>
          </cell>
        </row>
        <row r="438">
          <cell r="J438">
            <v>0.24</v>
          </cell>
          <cell r="K438">
            <v>0.2273</v>
          </cell>
          <cell r="L438">
            <v>0.6</v>
          </cell>
          <cell r="M438">
            <v>0.22389999999999999</v>
          </cell>
          <cell r="N438">
            <v>0</v>
          </cell>
          <cell r="O438">
            <v>6</v>
          </cell>
          <cell r="P438">
            <v>6</v>
          </cell>
        </row>
        <row r="439">
          <cell r="J439">
            <v>0.22</v>
          </cell>
          <cell r="K439">
            <v>0.21210000000000001</v>
          </cell>
          <cell r="L439">
            <v>0.6</v>
          </cell>
          <cell r="M439">
            <v>0.22389999999999999</v>
          </cell>
          <cell r="N439">
            <v>0</v>
          </cell>
          <cell r="O439">
            <v>35</v>
          </cell>
          <cell r="P439">
            <v>35</v>
          </cell>
        </row>
        <row r="440">
          <cell r="J440">
            <v>0.22</v>
          </cell>
          <cell r="K440">
            <v>0.21210000000000001</v>
          </cell>
          <cell r="L440">
            <v>0.55000000000000004</v>
          </cell>
          <cell r="M440">
            <v>0.22389999999999999</v>
          </cell>
          <cell r="N440">
            <v>1</v>
          </cell>
          <cell r="O440">
            <v>100</v>
          </cell>
          <cell r="P440">
            <v>101</v>
          </cell>
        </row>
        <row r="441">
          <cell r="J441">
            <v>0.22</v>
          </cell>
          <cell r="K441">
            <v>0.21210000000000001</v>
          </cell>
          <cell r="L441">
            <v>0.55000000000000004</v>
          </cell>
          <cell r="M441">
            <v>0.28360000000000002</v>
          </cell>
          <cell r="N441">
            <v>2</v>
          </cell>
          <cell r="O441">
            <v>247</v>
          </cell>
          <cell r="P441">
            <v>249</v>
          </cell>
        </row>
        <row r="442">
          <cell r="J442">
            <v>0.24</v>
          </cell>
          <cell r="K442">
            <v>0.2273</v>
          </cell>
          <cell r="L442">
            <v>0.52</v>
          </cell>
          <cell r="M442">
            <v>0.22389999999999999</v>
          </cell>
          <cell r="N442">
            <v>3</v>
          </cell>
          <cell r="O442">
            <v>140</v>
          </cell>
          <cell r="P442">
            <v>143</v>
          </cell>
        </row>
        <row r="443">
          <cell r="J443">
            <v>0.26</v>
          </cell>
          <cell r="K443">
            <v>0.2273</v>
          </cell>
          <cell r="L443">
            <v>0.48</v>
          </cell>
          <cell r="M443">
            <v>0.29849999999999999</v>
          </cell>
          <cell r="N443">
            <v>1</v>
          </cell>
          <cell r="O443">
            <v>56</v>
          </cell>
          <cell r="P443">
            <v>57</v>
          </cell>
        </row>
        <row r="444">
          <cell r="J444">
            <v>0.28000000000000003</v>
          </cell>
          <cell r="K444">
            <v>0.2727</v>
          </cell>
          <cell r="L444">
            <v>0.45</v>
          </cell>
          <cell r="M444">
            <v>0.16420000000000001</v>
          </cell>
          <cell r="N444">
            <v>5</v>
          </cell>
          <cell r="O444">
            <v>63</v>
          </cell>
          <cell r="P444">
            <v>68</v>
          </cell>
        </row>
        <row r="445">
          <cell r="J445">
            <v>0.3</v>
          </cell>
          <cell r="K445">
            <v>0.33329999999999999</v>
          </cell>
          <cell r="L445">
            <v>0.42</v>
          </cell>
          <cell r="M445">
            <v>0</v>
          </cell>
          <cell r="N445">
            <v>7</v>
          </cell>
          <cell r="O445">
            <v>77</v>
          </cell>
          <cell r="P445">
            <v>84</v>
          </cell>
        </row>
        <row r="446">
          <cell r="J446">
            <v>0.28000000000000003</v>
          </cell>
          <cell r="K446">
            <v>0.28789999999999999</v>
          </cell>
          <cell r="L446">
            <v>0.45</v>
          </cell>
          <cell r="M446">
            <v>0.1045</v>
          </cell>
          <cell r="N446">
            <v>12</v>
          </cell>
          <cell r="O446">
            <v>86</v>
          </cell>
          <cell r="P446">
            <v>98</v>
          </cell>
        </row>
        <row r="447">
          <cell r="J447">
            <v>0.3</v>
          </cell>
          <cell r="K447">
            <v>0.30299999999999999</v>
          </cell>
          <cell r="L447">
            <v>0.45</v>
          </cell>
          <cell r="M447">
            <v>0.1343</v>
          </cell>
          <cell r="N447">
            <v>6</v>
          </cell>
          <cell r="O447">
            <v>75</v>
          </cell>
          <cell r="P447">
            <v>81</v>
          </cell>
        </row>
        <row r="448">
          <cell r="J448">
            <v>0.32</v>
          </cell>
          <cell r="K448">
            <v>0.31819999999999998</v>
          </cell>
          <cell r="L448">
            <v>0.45</v>
          </cell>
          <cell r="M448">
            <v>0.19400000000000001</v>
          </cell>
          <cell r="N448">
            <v>8</v>
          </cell>
          <cell r="O448">
            <v>62</v>
          </cell>
          <cell r="P448">
            <v>70</v>
          </cell>
        </row>
        <row r="449">
          <cell r="J449">
            <v>0.3</v>
          </cell>
          <cell r="K449">
            <v>0.30299999999999999</v>
          </cell>
          <cell r="L449">
            <v>0.49</v>
          </cell>
          <cell r="M449">
            <v>0.1343</v>
          </cell>
          <cell r="N449">
            <v>8</v>
          </cell>
          <cell r="O449">
            <v>83</v>
          </cell>
          <cell r="P449">
            <v>91</v>
          </cell>
        </row>
        <row r="450">
          <cell r="J450">
            <v>0.3</v>
          </cell>
          <cell r="K450">
            <v>0.31819999999999998</v>
          </cell>
          <cell r="L450">
            <v>0.49</v>
          </cell>
          <cell r="M450">
            <v>0.1045</v>
          </cell>
          <cell r="N450">
            <v>8</v>
          </cell>
          <cell r="O450">
            <v>207</v>
          </cell>
          <cell r="P450">
            <v>215</v>
          </cell>
        </row>
        <row r="451">
          <cell r="J451">
            <v>0.26</v>
          </cell>
          <cell r="K451">
            <v>0.2576</v>
          </cell>
          <cell r="L451">
            <v>0.56000000000000005</v>
          </cell>
          <cell r="M451">
            <v>0.19400000000000001</v>
          </cell>
          <cell r="N451">
            <v>1</v>
          </cell>
          <cell r="O451">
            <v>184</v>
          </cell>
          <cell r="P451">
            <v>185</v>
          </cell>
        </row>
        <row r="452">
          <cell r="J452">
            <v>0.26</v>
          </cell>
          <cell r="K452">
            <v>0.2273</v>
          </cell>
          <cell r="L452">
            <v>0.56000000000000005</v>
          </cell>
          <cell r="M452">
            <v>0.32840000000000003</v>
          </cell>
          <cell r="N452">
            <v>6</v>
          </cell>
          <cell r="O452">
            <v>146</v>
          </cell>
          <cell r="P452">
            <v>152</v>
          </cell>
        </row>
        <row r="453">
          <cell r="J453">
            <v>0.26</v>
          </cell>
          <cell r="K453">
            <v>0.2424</v>
          </cell>
          <cell r="L453">
            <v>0.6</v>
          </cell>
          <cell r="M453">
            <v>0.28360000000000002</v>
          </cell>
          <cell r="N453">
            <v>2</v>
          </cell>
          <cell r="O453">
            <v>124</v>
          </cell>
          <cell r="P453">
            <v>126</v>
          </cell>
        </row>
        <row r="454">
          <cell r="J454">
            <v>0.24</v>
          </cell>
          <cell r="K454">
            <v>0.2273</v>
          </cell>
          <cell r="L454">
            <v>0.6</v>
          </cell>
          <cell r="M454">
            <v>0.25369999999999998</v>
          </cell>
          <cell r="N454">
            <v>3</v>
          </cell>
          <cell r="O454">
            <v>54</v>
          </cell>
          <cell r="P454">
            <v>57</v>
          </cell>
        </row>
        <row r="455">
          <cell r="J455">
            <v>0.24</v>
          </cell>
          <cell r="K455">
            <v>0.21210000000000001</v>
          </cell>
          <cell r="L455">
            <v>0.65</v>
          </cell>
          <cell r="M455">
            <v>0.28360000000000002</v>
          </cell>
          <cell r="N455">
            <v>0</v>
          </cell>
          <cell r="O455">
            <v>56</v>
          </cell>
          <cell r="P455">
            <v>56</v>
          </cell>
        </row>
        <row r="456">
          <cell r="J456">
            <v>0.24</v>
          </cell>
          <cell r="K456">
            <v>0.21210000000000001</v>
          </cell>
          <cell r="L456">
            <v>0.65</v>
          </cell>
          <cell r="M456">
            <v>0.32840000000000003</v>
          </cell>
          <cell r="N456">
            <v>3</v>
          </cell>
          <cell r="O456">
            <v>28</v>
          </cell>
          <cell r="P456">
            <v>31</v>
          </cell>
        </row>
        <row r="457">
          <cell r="J457">
            <v>0.24</v>
          </cell>
          <cell r="K457">
            <v>0.2273</v>
          </cell>
          <cell r="L457">
            <v>0.7</v>
          </cell>
          <cell r="M457">
            <v>0.25369999999999998</v>
          </cell>
          <cell r="N457">
            <v>1</v>
          </cell>
          <cell r="O457">
            <v>20</v>
          </cell>
          <cell r="P457">
            <v>21</v>
          </cell>
        </row>
        <row r="458">
          <cell r="J458">
            <v>0.24</v>
          </cell>
          <cell r="K458">
            <v>0.2273</v>
          </cell>
          <cell r="L458">
            <v>0.7</v>
          </cell>
          <cell r="M458">
            <v>0.25369999999999998</v>
          </cell>
          <cell r="N458">
            <v>0</v>
          </cell>
          <cell r="O458">
            <v>6</v>
          </cell>
          <cell r="P458">
            <v>6</v>
          </cell>
        </row>
        <row r="459">
          <cell r="J459">
            <v>0.24</v>
          </cell>
          <cell r="K459">
            <v>0.2424</v>
          </cell>
          <cell r="L459">
            <v>0.75</v>
          </cell>
          <cell r="M459">
            <v>0.16420000000000001</v>
          </cell>
          <cell r="N459">
            <v>0</v>
          </cell>
          <cell r="O459">
            <v>2</v>
          </cell>
          <cell r="P459">
            <v>2</v>
          </cell>
        </row>
        <row r="460">
          <cell r="J460">
            <v>0.22</v>
          </cell>
          <cell r="K460">
            <v>0.21210000000000001</v>
          </cell>
          <cell r="L460">
            <v>0.8</v>
          </cell>
          <cell r="M460">
            <v>0.29849999999999999</v>
          </cell>
          <cell r="N460">
            <v>0</v>
          </cell>
          <cell r="O460">
            <v>1</v>
          </cell>
          <cell r="P460">
            <v>1</v>
          </cell>
        </row>
        <row r="461">
          <cell r="J461">
            <v>0.22</v>
          </cell>
          <cell r="K461">
            <v>0.2576</v>
          </cell>
          <cell r="L461">
            <v>0.87</v>
          </cell>
          <cell r="M461">
            <v>8.9599999999999999E-2</v>
          </cell>
          <cell r="N461">
            <v>0</v>
          </cell>
          <cell r="O461">
            <v>1</v>
          </cell>
          <cell r="P461">
            <v>1</v>
          </cell>
        </row>
        <row r="462">
          <cell r="J462">
            <v>0.24</v>
          </cell>
          <cell r="K462">
            <v>0.19700000000000001</v>
          </cell>
          <cell r="L462">
            <v>0.6</v>
          </cell>
          <cell r="M462">
            <v>0.41789999999999999</v>
          </cell>
          <cell r="N462">
            <v>1</v>
          </cell>
          <cell r="O462">
            <v>4</v>
          </cell>
          <cell r="P462">
            <v>5</v>
          </cell>
        </row>
        <row r="463">
          <cell r="J463">
            <v>0.22</v>
          </cell>
          <cell r="K463">
            <v>0.21210000000000001</v>
          </cell>
          <cell r="L463">
            <v>0.55000000000000004</v>
          </cell>
          <cell r="M463">
            <v>0.25369999999999998</v>
          </cell>
          <cell r="N463">
            <v>0</v>
          </cell>
          <cell r="O463">
            <v>27</v>
          </cell>
          <cell r="P463">
            <v>27</v>
          </cell>
        </row>
        <row r="464">
          <cell r="J464">
            <v>0.2</v>
          </cell>
          <cell r="K464">
            <v>0.18179999999999999</v>
          </cell>
          <cell r="L464">
            <v>0.51</v>
          </cell>
          <cell r="M464">
            <v>0.28360000000000002</v>
          </cell>
          <cell r="N464">
            <v>2</v>
          </cell>
          <cell r="O464">
            <v>66</v>
          </cell>
          <cell r="P464">
            <v>68</v>
          </cell>
        </row>
        <row r="465">
          <cell r="J465">
            <v>0.2</v>
          </cell>
          <cell r="K465">
            <v>0.18179999999999999</v>
          </cell>
          <cell r="L465">
            <v>0.47</v>
          </cell>
          <cell r="M465">
            <v>0.32840000000000003</v>
          </cell>
          <cell r="N465">
            <v>7</v>
          </cell>
          <cell r="O465">
            <v>210</v>
          </cell>
          <cell r="P465">
            <v>217</v>
          </cell>
        </row>
        <row r="466">
          <cell r="J466">
            <v>0.2</v>
          </cell>
          <cell r="K466">
            <v>0.18179999999999999</v>
          </cell>
          <cell r="L466">
            <v>0.51</v>
          </cell>
          <cell r="M466">
            <v>0.35820000000000002</v>
          </cell>
          <cell r="N466">
            <v>7</v>
          </cell>
          <cell r="O466">
            <v>159</v>
          </cell>
          <cell r="P466">
            <v>166</v>
          </cell>
        </row>
        <row r="467">
          <cell r="J467">
            <v>0.2</v>
          </cell>
          <cell r="K467">
            <v>0.16669999999999999</v>
          </cell>
          <cell r="L467">
            <v>0.47</v>
          </cell>
          <cell r="M467">
            <v>0.4627</v>
          </cell>
          <cell r="N467">
            <v>6</v>
          </cell>
          <cell r="O467">
            <v>57</v>
          </cell>
          <cell r="P467">
            <v>63</v>
          </cell>
        </row>
        <row r="468">
          <cell r="J468">
            <v>0.22</v>
          </cell>
          <cell r="K468">
            <v>0.18179999999999999</v>
          </cell>
          <cell r="L468">
            <v>0.41</v>
          </cell>
          <cell r="M468">
            <v>0.4627</v>
          </cell>
          <cell r="N468">
            <v>6</v>
          </cell>
          <cell r="O468">
            <v>53</v>
          </cell>
          <cell r="P468">
            <v>59</v>
          </cell>
        </row>
        <row r="469">
          <cell r="J469">
            <v>0.22</v>
          </cell>
          <cell r="K469">
            <v>0.18179999999999999</v>
          </cell>
          <cell r="L469">
            <v>0.27</v>
          </cell>
          <cell r="M469">
            <v>0.58209999999999995</v>
          </cell>
          <cell r="N469">
            <v>11</v>
          </cell>
          <cell r="O469">
            <v>67</v>
          </cell>
          <cell r="P469">
            <v>78</v>
          </cell>
        </row>
        <row r="470">
          <cell r="J470">
            <v>0.2</v>
          </cell>
          <cell r="K470">
            <v>0.1515</v>
          </cell>
          <cell r="L470">
            <v>0.21</v>
          </cell>
          <cell r="M470">
            <v>0.58209999999999995</v>
          </cell>
          <cell r="N470">
            <v>8</v>
          </cell>
          <cell r="O470">
            <v>65</v>
          </cell>
          <cell r="P470">
            <v>73</v>
          </cell>
        </row>
        <row r="471">
          <cell r="J471">
            <v>0.2</v>
          </cell>
          <cell r="K471">
            <v>0.1515</v>
          </cell>
          <cell r="L471">
            <v>0.25</v>
          </cell>
          <cell r="M471">
            <v>0.52239999999999998</v>
          </cell>
          <cell r="N471">
            <v>6</v>
          </cell>
          <cell r="O471">
            <v>56</v>
          </cell>
          <cell r="P471">
            <v>62</v>
          </cell>
        </row>
        <row r="472">
          <cell r="J472">
            <v>0.16</v>
          </cell>
          <cell r="K472">
            <v>0.1212</v>
          </cell>
          <cell r="L472">
            <v>0.26</v>
          </cell>
          <cell r="M472">
            <v>0.44779999999999998</v>
          </cell>
          <cell r="N472">
            <v>4</v>
          </cell>
          <cell r="O472">
            <v>61</v>
          </cell>
          <cell r="P472">
            <v>65</v>
          </cell>
        </row>
        <row r="473">
          <cell r="J473">
            <v>0.16</v>
          </cell>
          <cell r="K473">
            <v>0.13639999999999999</v>
          </cell>
          <cell r="L473">
            <v>0.26</v>
          </cell>
          <cell r="M473">
            <v>0.35820000000000002</v>
          </cell>
          <cell r="N473">
            <v>0</v>
          </cell>
          <cell r="O473">
            <v>97</v>
          </cell>
          <cell r="P473">
            <v>97</v>
          </cell>
        </row>
        <row r="474">
          <cell r="J474">
            <v>0.14000000000000001</v>
          </cell>
          <cell r="K474">
            <v>0.1212</v>
          </cell>
          <cell r="L474">
            <v>0.28000000000000003</v>
          </cell>
          <cell r="M474">
            <v>0.35820000000000002</v>
          </cell>
          <cell r="N474">
            <v>10</v>
          </cell>
          <cell r="O474">
            <v>151</v>
          </cell>
          <cell r="P474">
            <v>161</v>
          </cell>
        </row>
        <row r="475">
          <cell r="J475">
            <v>0.12</v>
          </cell>
          <cell r="K475">
            <v>0.1212</v>
          </cell>
          <cell r="L475">
            <v>0.3</v>
          </cell>
          <cell r="M475">
            <v>0.25369999999999998</v>
          </cell>
          <cell r="N475">
            <v>1</v>
          </cell>
          <cell r="O475">
            <v>119</v>
          </cell>
          <cell r="P475">
            <v>120</v>
          </cell>
        </row>
        <row r="476">
          <cell r="J476">
            <v>0.12</v>
          </cell>
          <cell r="K476">
            <v>0.1061</v>
          </cell>
          <cell r="L476">
            <v>0.3</v>
          </cell>
          <cell r="M476">
            <v>0.32840000000000003</v>
          </cell>
          <cell r="N476">
            <v>3</v>
          </cell>
          <cell r="O476">
            <v>93</v>
          </cell>
          <cell r="P476">
            <v>96</v>
          </cell>
        </row>
        <row r="477">
          <cell r="J477">
            <v>0.1</v>
          </cell>
          <cell r="K477">
            <v>7.5800000000000006E-2</v>
          </cell>
          <cell r="L477">
            <v>0.33</v>
          </cell>
          <cell r="M477">
            <v>0.41789999999999999</v>
          </cell>
          <cell r="N477">
            <v>1</v>
          </cell>
          <cell r="O477">
            <v>52</v>
          </cell>
          <cell r="P477">
            <v>53</v>
          </cell>
        </row>
        <row r="478">
          <cell r="J478">
            <v>0.08</v>
          </cell>
          <cell r="K478">
            <v>7.5800000000000006E-2</v>
          </cell>
          <cell r="L478">
            <v>0.38</v>
          </cell>
          <cell r="M478">
            <v>0.28360000000000002</v>
          </cell>
          <cell r="N478">
            <v>0</v>
          </cell>
          <cell r="O478">
            <v>41</v>
          </cell>
          <cell r="P478">
            <v>41</v>
          </cell>
        </row>
        <row r="479">
          <cell r="J479">
            <v>0.06</v>
          </cell>
          <cell r="K479">
            <v>3.0300000000000001E-2</v>
          </cell>
          <cell r="L479">
            <v>0.41</v>
          </cell>
          <cell r="M479">
            <v>0.3881</v>
          </cell>
          <cell r="N479">
            <v>1</v>
          </cell>
          <cell r="O479">
            <v>33</v>
          </cell>
          <cell r="P479">
            <v>34</v>
          </cell>
        </row>
        <row r="480">
          <cell r="J480">
            <v>0.06</v>
          </cell>
          <cell r="K480">
            <v>4.5499999999999999E-2</v>
          </cell>
          <cell r="L480">
            <v>0.38</v>
          </cell>
          <cell r="M480">
            <v>0.32840000000000003</v>
          </cell>
          <cell r="N480">
            <v>0</v>
          </cell>
          <cell r="O480">
            <v>27</v>
          </cell>
          <cell r="P480">
            <v>27</v>
          </cell>
        </row>
        <row r="481">
          <cell r="J481">
            <v>0.04</v>
          </cell>
          <cell r="K481">
            <v>3.0300000000000001E-2</v>
          </cell>
          <cell r="L481">
            <v>0.45</v>
          </cell>
          <cell r="M481">
            <v>0.25369999999999998</v>
          </cell>
          <cell r="N481">
            <v>0</v>
          </cell>
          <cell r="O481">
            <v>13</v>
          </cell>
          <cell r="P481">
            <v>13</v>
          </cell>
        </row>
        <row r="482">
          <cell r="J482">
            <v>0.04</v>
          </cell>
          <cell r="K482">
            <v>0</v>
          </cell>
          <cell r="L482">
            <v>0.41</v>
          </cell>
          <cell r="M482">
            <v>0.3881</v>
          </cell>
          <cell r="N482">
            <v>3</v>
          </cell>
          <cell r="O482">
            <v>9</v>
          </cell>
          <cell r="P482">
            <v>12</v>
          </cell>
        </row>
        <row r="483">
          <cell r="J483">
            <v>0.04</v>
          </cell>
          <cell r="K483">
            <v>3.0300000000000001E-2</v>
          </cell>
          <cell r="L483">
            <v>0.41</v>
          </cell>
          <cell r="M483">
            <v>0.25369999999999998</v>
          </cell>
          <cell r="N483">
            <v>0</v>
          </cell>
          <cell r="O483">
            <v>11</v>
          </cell>
          <cell r="P483">
            <v>11</v>
          </cell>
        </row>
        <row r="484">
          <cell r="J484">
            <v>0.04</v>
          </cell>
          <cell r="K484">
            <v>3.0300000000000001E-2</v>
          </cell>
          <cell r="L484">
            <v>0.41</v>
          </cell>
          <cell r="M484">
            <v>0.28360000000000002</v>
          </cell>
          <cell r="N484">
            <v>1</v>
          </cell>
          <cell r="O484">
            <v>6</v>
          </cell>
          <cell r="P484">
            <v>7</v>
          </cell>
        </row>
        <row r="485">
          <cell r="J485">
            <v>0.02</v>
          </cell>
          <cell r="K485">
            <v>1.52E-2</v>
          </cell>
          <cell r="L485">
            <v>0.48</v>
          </cell>
          <cell r="M485">
            <v>0.29849999999999999</v>
          </cell>
          <cell r="N485">
            <v>0</v>
          </cell>
          <cell r="O485">
            <v>3</v>
          </cell>
          <cell r="P485">
            <v>3</v>
          </cell>
        </row>
        <row r="486">
          <cell r="J486">
            <v>0.02</v>
          </cell>
          <cell r="K486">
            <v>3.0300000000000001E-2</v>
          </cell>
          <cell r="L486">
            <v>0.44</v>
          </cell>
          <cell r="M486">
            <v>0.22389999999999999</v>
          </cell>
          <cell r="N486">
            <v>0</v>
          </cell>
          <cell r="O486">
            <v>2</v>
          </cell>
          <cell r="P486">
            <v>2</v>
          </cell>
        </row>
        <row r="487">
          <cell r="J487">
            <v>0.02</v>
          </cell>
          <cell r="K487">
            <v>1.52E-2</v>
          </cell>
          <cell r="L487">
            <v>0.44</v>
          </cell>
          <cell r="M487">
            <v>0.28360000000000002</v>
          </cell>
          <cell r="N487">
            <v>0</v>
          </cell>
          <cell r="O487">
            <v>8</v>
          </cell>
          <cell r="P487">
            <v>8</v>
          </cell>
        </row>
        <row r="488">
          <cell r="J488">
            <v>0.02</v>
          </cell>
          <cell r="K488">
            <v>0</v>
          </cell>
          <cell r="L488">
            <v>0.44</v>
          </cell>
          <cell r="M488">
            <v>0.32840000000000003</v>
          </cell>
          <cell r="N488">
            <v>1</v>
          </cell>
          <cell r="O488">
            <v>26</v>
          </cell>
          <cell r="P488">
            <v>27</v>
          </cell>
        </row>
        <row r="489">
          <cell r="J489">
            <v>0.04</v>
          </cell>
          <cell r="K489">
            <v>3.0300000000000001E-2</v>
          </cell>
          <cell r="L489">
            <v>0.41</v>
          </cell>
          <cell r="M489">
            <v>0.25369999999999998</v>
          </cell>
          <cell r="N489">
            <v>3</v>
          </cell>
          <cell r="O489">
            <v>37</v>
          </cell>
          <cell r="P489">
            <v>40</v>
          </cell>
        </row>
        <row r="490">
          <cell r="J490">
            <v>0.04</v>
          </cell>
          <cell r="K490">
            <v>6.0600000000000001E-2</v>
          </cell>
          <cell r="L490">
            <v>0.41</v>
          </cell>
          <cell r="M490">
            <v>0.16420000000000001</v>
          </cell>
          <cell r="N490">
            <v>3</v>
          </cell>
          <cell r="O490">
            <v>50</v>
          </cell>
          <cell r="P490">
            <v>53</v>
          </cell>
        </row>
        <row r="491">
          <cell r="J491">
            <v>0.06</v>
          </cell>
          <cell r="K491">
            <v>7.5800000000000006E-2</v>
          </cell>
          <cell r="L491">
            <v>0.38</v>
          </cell>
          <cell r="M491">
            <v>0.1343</v>
          </cell>
          <cell r="N491">
            <v>4</v>
          </cell>
          <cell r="O491">
            <v>59</v>
          </cell>
          <cell r="P491">
            <v>63</v>
          </cell>
        </row>
        <row r="492">
          <cell r="J492">
            <v>0.06</v>
          </cell>
          <cell r="K492">
            <v>0.1061</v>
          </cell>
          <cell r="L492">
            <v>0.38</v>
          </cell>
          <cell r="M492">
            <v>0.1045</v>
          </cell>
          <cell r="N492">
            <v>10</v>
          </cell>
          <cell r="O492">
            <v>60</v>
          </cell>
          <cell r="P492">
            <v>70</v>
          </cell>
        </row>
        <row r="493">
          <cell r="J493">
            <v>0.08</v>
          </cell>
          <cell r="K493">
            <v>0.16669999999999999</v>
          </cell>
          <cell r="L493">
            <v>0.35</v>
          </cell>
          <cell r="M493">
            <v>0</v>
          </cell>
          <cell r="N493">
            <v>12</v>
          </cell>
          <cell r="O493">
            <v>72</v>
          </cell>
          <cell r="P493">
            <v>84</v>
          </cell>
        </row>
        <row r="494">
          <cell r="J494">
            <v>0.1</v>
          </cell>
          <cell r="K494">
            <v>0.13639999999999999</v>
          </cell>
          <cell r="L494">
            <v>0.33</v>
          </cell>
          <cell r="M494">
            <v>0.1045</v>
          </cell>
          <cell r="N494">
            <v>11</v>
          </cell>
          <cell r="O494">
            <v>64</v>
          </cell>
          <cell r="P494">
            <v>75</v>
          </cell>
        </row>
        <row r="495">
          <cell r="J495">
            <v>0.12</v>
          </cell>
          <cell r="K495">
            <v>0.1515</v>
          </cell>
          <cell r="L495">
            <v>0.28000000000000003</v>
          </cell>
          <cell r="M495">
            <v>0</v>
          </cell>
          <cell r="N495">
            <v>10</v>
          </cell>
          <cell r="O495">
            <v>93</v>
          </cell>
          <cell r="P495">
            <v>103</v>
          </cell>
        </row>
        <row r="496">
          <cell r="J496">
            <v>0.12</v>
          </cell>
          <cell r="K496">
            <v>0.13639999999999999</v>
          </cell>
          <cell r="L496">
            <v>0.28000000000000003</v>
          </cell>
          <cell r="M496">
            <v>0.19400000000000001</v>
          </cell>
          <cell r="N496">
            <v>11</v>
          </cell>
          <cell r="O496">
            <v>72</v>
          </cell>
          <cell r="P496">
            <v>83</v>
          </cell>
        </row>
        <row r="497">
          <cell r="J497">
            <v>0.12</v>
          </cell>
          <cell r="K497">
            <v>0.19700000000000001</v>
          </cell>
          <cell r="L497">
            <v>0.28000000000000003</v>
          </cell>
          <cell r="M497">
            <v>0</v>
          </cell>
          <cell r="N497">
            <v>8</v>
          </cell>
          <cell r="O497">
            <v>59</v>
          </cell>
          <cell r="P497">
            <v>67</v>
          </cell>
        </row>
        <row r="498">
          <cell r="J498">
            <v>0.08</v>
          </cell>
          <cell r="K498">
            <v>9.0899999999999995E-2</v>
          </cell>
          <cell r="L498">
            <v>0.35</v>
          </cell>
          <cell r="M498">
            <v>0.19400000000000001</v>
          </cell>
          <cell r="N498">
            <v>0</v>
          </cell>
          <cell r="O498">
            <v>54</v>
          </cell>
          <cell r="P498">
            <v>54</v>
          </cell>
        </row>
        <row r="499">
          <cell r="J499">
            <v>0.08</v>
          </cell>
          <cell r="K499">
            <v>0.1061</v>
          </cell>
          <cell r="L499">
            <v>0.35</v>
          </cell>
          <cell r="M499">
            <v>0.1343</v>
          </cell>
          <cell r="N499">
            <v>6</v>
          </cell>
          <cell r="O499">
            <v>53</v>
          </cell>
          <cell r="P499">
            <v>59</v>
          </cell>
        </row>
        <row r="500">
          <cell r="J500">
            <v>0.06</v>
          </cell>
          <cell r="K500">
            <v>7.5800000000000006E-2</v>
          </cell>
          <cell r="L500">
            <v>0.45</v>
          </cell>
          <cell r="M500">
            <v>0.16420000000000001</v>
          </cell>
          <cell r="N500">
            <v>1</v>
          </cell>
          <cell r="O500">
            <v>44</v>
          </cell>
          <cell r="P500">
            <v>45</v>
          </cell>
        </row>
        <row r="501">
          <cell r="J501">
            <v>0.06</v>
          </cell>
          <cell r="K501">
            <v>0.1061</v>
          </cell>
          <cell r="L501">
            <v>0.41</v>
          </cell>
          <cell r="M501">
            <v>8.9599999999999999E-2</v>
          </cell>
          <cell r="N501">
            <v>0</v>
          </cell>
          <cell r="O501">
            <v>39</v>
          </cell>
          <cell r="P501">
            <v>39</v>
          </cell>
        </row>
        <row r="502">
          <cell r="J502">
            <v>0.06</v>
          </cell>
          <cell r="K502">
            <v>0.1515</v>
          </cell>
          <cell r="L502">
            <v>0.49</v>
          </cell>
          <cell r="M502">
            <v>0</v>
          </cell>
          <cell r="N502">
            <v>7</v>
          </cell>
          <cell r="O502">
            <v>23</v>
          </cell>
          <cell r="P502">
            <v>30</v>
          </cell>
        </row>
        <row r="503">
          <cell r="J503">
            <v>0.04</v>
          </cell>
          <cell r="K503">
            <v>7.5800000000000006E-2</v>
          </cell>
          <cell r="L503">
            <v>0.56999999999999995</v>
          </cell>
          <cell r="M503">
            <v>0.1045</v>
          </cell>
          <cell r="N503">
            <v>2</v>
          </cell>
          <cell r="O503">
            <v>31</v>
          </cell>
          <cell r="P503">
            <v>33</v>
          </cell>
        </row>
        <row r="504">
          <cell r="J504">
            <v>0.04</v>
          </cell>
          <cell r="K504">
            <v>7.5800000000000006E-2</v>
          </cell>
          <cell r="L504">
            <v>0.56999999999999995</v>
          </cell>
          <cell r="M504">
            <v>0.1045</v>
          </cell>
          <cell r="N504">
            <v>2</v>
          </cell>
          <cell r="O504">
            <v>20</v>
          </cell>
          <cell r="P504">
            <v>22</v>
          </cell>
        </row>
        <row r="505">
          <cell r="J505">
            <v>0.04</v>
          </cell>
          <cell r="K505">
            <v>7.5800000000000006E-2</v>
          </cell>
          <cell r="L505">
            <v>0.56999999999999995</v>
          </cell>
          <cell r="M505">
            <v>0.1045</v>
          </cell>
          <cell r="N505">
            <v>1</v>
          </cell>
          <cell r="O505">
            <v>12</v>
          </cell>
          <cell r="P505">
            <v>13</v>
          </cell>
        </row>
        <row r="506">
          <cell r="J506">
            <v>0.02</v>
          </cell>
          <cell r="K506">
            <v>6.0600000000000001E-2</v>
          </cell>
          <cell r="L506">
            <v>0.62</v>
          </cell>
          <cell r="M506">
            <v>0.1343</v>
          </cell>
          <cell r="N506">
            <v>3</v>
          </cell>
          <cell r="O506">
            <v>15</v>
          </cell>
          <cell r="P506">
            <v>18</v>
          </cell>
        </row>
        <row r="507">
          <cell r="J507">
            <v>0.02</v>
          </cell>
          <cell r="K507">
            <v>6.0600000000000001E-2</v>
          </cell>
          <cell r="L507">
            <v>0.62</v>
          </cell>
          <cell r="M507">
            <v>0.1343</v>
          </cell>
          <cell r="N507">
            <v>1</v>
          </cell>
          <cell r="O507">
            <v>4</v>
          </cell>
          <cell r="P507">
            <v>5</v>
          </cell>
        </row>
        <row r="508">
          <cell r="J508">
            <v>0.04</v>
          </cell>
          <cell r="K508">
            <v>7.5800000000000006E-2</v>
          </cell>
          <cell r="L508">
            <v>0.56999999999999995</v>
          </cell>
          <cell r="M508">
            <v>0.1045</v>
          </cell>
          <cell r="N508">
            <v>0</v>
          </cell>
          <cell r="O508">
            <v>3</v>
          </cell>
          <cell r="P508">
            <v>3</v>
          </cell>
        </row>
        <row r="509">
          <cell r="J509">
            <v>0.04</v>
          </cell>
          <cell r="K509">
            <v>7.5800000000000006E-2</v>
          </cell>
          <cell r="L509">
            <v>0.56999999999999995</v>
          </cell>
          <cell r="M509">
            <v>0.1045</v>
          </cell>
          <cell r="N509">
            <v>0</v>
          </cell>
          <cell r="O509">
            <v>1</v>
          </cell>
          <cell r="P509">
            <v>1</v>
          </cell>
        </row>
        <row r="510">
          <cell r="J510">
            <v>0.08</v>
          </cell>
          <cell r="K510">
            <v>0.1061</v>
          </cell>
          <cell r="L510">
            <v>0.57999999999999996</v>
          </cell>
          <cell r="M510">
            <v>0.16420000000000001</v>
          </cell>
          <cell r="N510">
            <v>1</v>
          </cell>
          <cell r="O510">
            <v>1</v>
          </cell>
          <cell r="P510">
            <v>2</v>
          </cell>
        </row>
        <row r="511">
          <cell r="J511">
            <v>0.06</v>
          </cell>
          <cell r="K511">
            <v>7.5800000000000006E-2</v>
          </cell>
          <cell r="L511">
            <v>0.62</v>
          </cell>
          <cell r="M511">
            <v>0.16420000000000001</v>
          </cell>
          <cell r="N511">
            <v>2</v>
          </cell>
          <cell r="O511">
            <v>17</v>
          </cell>
          <cell r="P511">
            <v>19</v>
          </cell>
        </row>
        <row r="512">
          <cell r="J512">
            <v>0.1</v>
          </cell>
          <cell r="K512">
            <v>7.5800000000000006E-2</v>
          </cell>
          <cell r="L512">
            <v>0.54</v>
          </cell>
          <cell r="M512">
            <v>0.35820000000000002</v>
          </cell>
          <cell r="N512">
            <v>3</v>
          </cell>
          <cell r="O512">
            <v>25</v>
          </cell>
          <cell r="P512">
            <v>28</v>
          </cell>
        </row>
        <row r="513">
          <cell r="J513">
            <v>0.14000000000000001</v>
          </cell>
          <cell r="K513">
            <v>0.1061</v>
          </cell>
          <cell r="L513">
            <v>0.46</v>
          </cell>
          <cell r="M513">
            <v>0.3881</v>
          </cell>
          <cell r="N513">
            <v>7</v>
          </cell>
          <cell r="O513">
            <v>51</v>
          </cell>
          <cell r="P513">
            <v>58</v>
          </cell>
        </row>
        <row r="514">
          <cell r="J514">
            <v>0.14000000000000001</v>
          </cell>
          <cell r="K514">
            <v>0.13639999999999999</v>
          </cell>
          <cell r="L514">
            <v>0.43</v>
          </cell>
          <cell r="M514">
            <v>0.22389999999999999</v>
          </cell>
          <cell r="N514">
            <v>22</v>
          </cell>
          <cell r="O514">
            <v>77</v>
          </cell>
          <cell r="P514">
            <v>99</v>
          </cell>
        </row>
        <row r="515">
          <cell r="J515">
            <v>0.16</v>
          </cell>
          <cell r="K515">
            <v>0.1212</v>
          </cell>
          <cell r="L515">
            <v>0.37</v>
          </cell>
          <cell r="M515">
            <v>0.4627</v>
          </cell>
          <cell r="N515">
            <v>24</v>
          </cell>
          <cell r="O515">
            <v>92</v>
          </cell>
          <cell r="P515">
            <v>116</v>
          </cell>
        </row>
        <row r="516">
          <cell r="J516">
            <v>0.14000000000000001</v>
          </cell>
          <cell r="K516">
            <v>0.1061</v>
          </cell>
          <cell r="L516">
            <v>0.33</v>
          </cell>
          <cell r="M516">
            <v>0.3881</v>
          </cell>
          <cell r="N516">
            <v>12</v>
          </cell>
          <cell r="O516">
            <v>75</v>
          </cell>
          <cell r="P516">
            <v>87</v>
          </cell>
        </row>
        <row r="517">
          <cell r="J517">
            <v>0.16</v>
          </cell>
          <cell r="K517">
            <v>0.13639999999999999</v>
          </cell>
          <cell r="L517">
            <v>0.28000000000000003</v>
          </cell>
          <cell r="M517">
            <v>0.35820000000000002</v>
          </cell>
          <cell r="N517">
            <v>17</v>
          </cell>
          <cell r="O517">
            <v>93</v>
          </cell>
          <cell r="P517">
            <v>110</v>
          </cell>
        </row>
        <row r="518">
          <cell r="J518">
            <v>0.16</v>
          </cell>
          <cell r="K518">
            <v>0.13639999999999999</v>
          </cell>
          <cell r="L518">
            <v>0.28000000000000003</v>
          </cell>
          <cell r="M518">
            <v>0.35820000000000002</v>
          </cell>
          <cell r="N518">
            <v>13</v>
          </cell>
          <cell r="O518">
            <v>64</v>
          </cell>
          <cell r="P518">
            <v>77</v>
          </cell>
        </row>
        <row r="519">
          <cell r="J519">
            <v>0.16</v>
          </cell>
          <cell r="K519">
            <v>0.13639999999999999</v>
          </cell>
          <cell r="L519">
            <v>0.26</v>
          </cell>
          <cell r="M519">
            <v>0.32840000000000003</v>
          </cell>
          <cell r="N519">
            <v>9</v>
          </cell>
          <cell r="O519">
            <v>56</v>
          </cell>
          <cell r="P519">
            <v>65</v>
          </cell>
        </row>
        <row r="520">
          <cell r="J520">
            <v>0.14000000000000001</v>
          </cell>
          <cell r="K520">
            <v>0.1061</v>
          </cell>
          <cell r="L520">
            <v>0.26</v>
          </cell>
          <cell r="M520">
            <v>0.3881</v>
          </cell>
          <cell r="N520">
            <v>5</v>
          </cell>
          <cell r="O520">
            <v>50</v>
          </cell>
          <cell r="P520">
            <v>55</v>
          </cell>
        </row>
        <row r="521">
          <cell r="J521">
            <v>0.12</v>
          </cell>
          <cell r="K521">
            <v>0.1212</v>
          </cell>
          <cell r="L521">
            <v>0.3</v>
          </cell>
          <cell r="M521">
            <v>0.25369999999999998</v>
          </cell>
          <cell r="N521">
            <v>5</v>
          </cell>
          <cell r="O521">
            <v>44</v>
          </cell>
          <cell r="P521">
            <v>49</v>
          </cell>
        </row>
        <row r="522">
          <cell r="J522">
            <v>0.12</v>
          </cell>
          <cell r="K522">
            <v>0.1212</v>
          </cell>
          <cell r="L522">
            <v>0.3</v>
          </cell>
          <cell r="M522">
            <v>0.28360000000000002</v>
          </cell>
          <cell r="N522">
            <v>5</v>
          </cell>
          <cell r="O522">
            <v>45</v>
          </cell>
          <cell r="P522">
            <v>50</v>
          </cell>
        </row>
        <row r="523">
          <cell r="J523">
            <v>0.1</v>
          </cell>
          <cell r="K523">
            <v>0.1061</v>
          </cell>
          <cell r="L523">
            <v>0.36</v>
          </cell>
          <cell r="M523">
            <v>0.25369999999999998</v>
          </cell>
          <cell r="N523">
            <v>4</v>
          </cell>
          <cell r="O523">
            <v>31</v>
          </cell>
          <cell r="P523">
            <v>35</v>
          </cell>
        </row>
        <row r="524">
          <cell r="J524">
            <v>0.1</v>
          </cell>
          <cell r="K524">
            <v>0.1061</v>
          </cell>
          <cell r="L524">
            <v>0.36</v>
          </cell>
          <cell r="M524">
            <v>0.19400000000000001</v>
          </cell>
          <cell r="N524">
            <v>5</v>
          </cell>
          <cell r="O524">
            <v>20</v>
          </cell>
          <cell r="P524">
            <v>25</v>
          </cell>
        </row>
        <row r="525">
          <cell r="J525">
            <v>0.08</v>
          </cell>
          <cell r="K525">
            <v>9.0899999999999995E-2</v>
          </cell>
          <cell r="L525">
            <v>0.38</v>
          </cell>
          <cell r="M525">
            <v>0.19400000000000001</v>
          </cell>
          <cell r="N525">
            <v>5</v>
          </cell>
          <cell r="O525">
            <v>23</v>
          </cell>
          <cell r="P525">
            <v>28</v>
          </cell>
        </row>
        <row r="526">
          <cell r="J526">
            <v>0.06</v>
          </cell>
          <cell r="K526">
            <v>6.0600000000000001E-2</v>
          </cell>
          <cell r="L526">
            <v>0.41</v>
          </cell>
          <cell r="M526">
            <v>0.22389999999999999</v>
          </cell>
          <cell r="N526">
            <v>4</v>
          </cell>
          <cell r="O526">
            <v>17</v>
          </cell>
          <cell r="P526">
            <v>21</v>
          </cell>
        </row>
        <row r="527">
          <cell r="J527">
            <v>0.06</v>
          </cell>
          <cell r="K527">
            <v>6.0600000000000001E-2</v>
          </cell>
          <cell r="L527">
            <v>0.41</v>
          </cell>
          <cell r="M527">
            <v>0.19400000000000001</v>
          </cell>
          <cell r="N527">
            <v>0</v>
          </cell>
          <cell r="O527">
            <v>7</v>
          </cell>
          <cell r="P527">
            <v>7</v>
          </cell>
        </row>
        <row r="528">
          <cell r="J528">
            <v>0.04</v>
          </cell>
          <cell r="K528">
            <v>4.5499999999999999E-2</v>
          </cell>
          <cell r="L528">
            <v>0.45</v>
          </cell>
          <cell r="M528">
            <v>0.19400000000000001</v>
          </cell>
          <cell r="N528">
            <v>0</v>
          </cell>
          <cell r="O528">
            <v>1</v>
          </cell>
          <cell r="P528">
            <v>1</v>
          </cell>
        </row>
        <row r="529">
          <cell r="J529">
            <v>0.04</v>
          </cell>
          <cell r="K529">
            <v>3.0300000000000001E-2</v>
          </cell>
          <cell r="L529">
            <v>0.45</v>
          </cell>
          <cell r="M529">
            <v>0.25369999999999998</v>
          </cell>
          <cell r="N529">
            <v>0</v>
          </cell>
          <cell r="O529">
            <v>1</v>
          </cell>
          <cell r="P529">
            <v>1</v>
          </cell>
        </row>
        <row r="530">
          <cell r="J530">
            <v>0.02</v>
          </cell>
          <cell r="K530">
            <v>6.0600000000000001E-2</v>
          </cell>
          <cell r="L530">
            <v>0.48</v>
          </cell>
          <cell r="M530">
            <v>0.1343</v>
          </cell>
          <cell r="N530">
            <v>0</v>
          </cell>
          <cell r="O530">
            <v>1</v>
          </cell>
          <cell r="P530">
            <v>1</v>
          </cell>
        </row>
        <row r="531">
          <cell r="J531">
            <v>0.02</v>
          </cell>
          <cell r="K531">
            <v>6.0600000000000001E-2</v>
          </cell>
          <cell r="L531">
            <v>0.48</v>
          </cell>
          <cell r="M531">
            <v>0.1343</v>
          </cell>
          <cell r="N531">
            <v>0</v>
          </cell>
          <cell r="O531">
            <v>5</v>
          </cell>
          <cell r="P531">
            <v>5</v>
          </cell>
        </row>
        <row r="532">
          <cell r="J532">
            <v>0.02</v>
          </cell>
          <cell r="K532">
            <v>7.5800000000000006E-2</v>
          </cell>
          <cell r="L532">
            <v>0.48</v>
          </cell>
          <cell r="M532">
            <v>8.9599999999999999E-2</v>
          </cell>
          <cell r="N532">
            <v>0</v>
          </cell>
          <cell r="O532">
            <v>15</v>
          </cell>
          <cell r="P532">
            <v>15</v>
          </cell>
        </row>
        <row r="533">
          <cell r="J533">
            <v>0.02</v>
          </cell>
          <cell r="K533">
            <v>0.1212</v>
          </cell>
          <cell r="L533">
            <v>0.48</v>
          </cell>
          <cell r="M533">
            <v>0</v>
          </cell>
          <cell r="N533">
            <v>5</v>
          </cell>
          <cell r="O533">
            <v>79</v>
          </cell>
          <cell r="P533">
            <v>84</v>
          </cell>
        </row>
        <row r="534">
          <cell r="J534">
            <v>0.04</v>
          </cell>
          <cell r="K534">
            <v>0.13639999999999999</v>
          </cell>
          <cell r="L534">
            <v>0.49</v>
          </cell>
          <cell r="M534">
            <v>0</v>
          </cell>
          <cell r="N534">
            <v>6</v>
          </cell>
          <cell r="O534">
            <v>171</v>
          </cell>
          <cell r="P534">
            <v>177</v>
          </cell>
        </row>
        <row r="535">
          <cell r="J535">
            <v>0.06</v>
          </cell>
          <cell r="K535">
            <v>0.1515</v>
          </cell>
          <cell r="L535">
            <v>0.41</v>
          </cell>
          <cell r="M535">
            <v>0</v>
          </cell>
          <cell r="N535">
            <v>4</v>
          </cell>
          <cell r="O535">
            <v>98</v>
          </cell>
          <cell r="P535">
            <v>102</v>
          </cell>
        </row>
        <row r="536">
          <cell r="J536">
            <v>0.1</v>
          </cell>
          <cell r="K536">
            <v>0.13639999999999999</v>
          </cell>
          <cell r="L536">
            <v>0.42</v>
          </cell>
          <cell r="M536">
            <v>0</v>
          </cell>
          <cell r="N536">
            <v>6</v>
          </cell>
          <cell r="O536">
            <v>34</v>
          </cell>
          <cell r="P536">
            <v>40</v>
          </cell>
        </row>
        <row r="537">
          <cell r="J537">
            <v>0.1</v>
          </cell>
          <cell r="K537">
            <v>0.1212</v>
          </cell>
          <cell r="L537">
            <v>0.46</v>
          </cell>
          <cell r="M537">
            <v>0.1343</v>
          </cell>
          <cell r="N537">
            <v>3</v>
          </cell>
          <cell r="O537">
            <v>43</v>
          </cell>
          <cell r="P537">
            <v>46</v>
          </cell>
        </row>
        <row r="538">
          <cell r="J538">
            <v>0.12</v>
          </cell>
          <cell r="K538">
            <v>0.13639999999999999</v>
          </cell>
          <cell r="L538">
            <v>0.42</v>
          </cell>
          <cell r="M538">
            <v>0.19400000000000001</v>
          </cell>
          <cell r="N538">
            <v>11</v>
          </cell>
          <cell r="O538">
            <v>52</v>
          </cell>
          <cell r="P538">
            <v>63</v>
          </cell>
        </row>
        <row r="539">
          <cell r="J539">
            <v>0.14000000000000001</v>
          </cell>
          <cell r="K539">
            <v>0.13639999999999999</v>
          </cell>
          <cell r="L539">
            <v>0.43</v>
          </cell>
          <cell r="M539">
            <v>0.22389999999999999</v>
          </cell>
          <cell r="N539">
            <v>6</v>
          </cell>
          <cell r="O539">
            <v>54</v>
          </cell>
          <cell r="P539">
            <v>60</v>
          </cell>
        </row>
        <row r="540">
          <cell r="J540">
            <v>0.14000000000000001</v>
          </cell>
          <cell r="K540">
            <v>0.13639999999999999</v>
          </cell>
          <cell r="L540">
            <v>0.46</v>
          </cell>
          <cell r="M540">
            <v>0.22389999999999999</v>
          </cell>
          <cell r="N540">
            <v>2</v>
          </cell>
          <cell r="O540">
            <v>43</v>
          </cell>
          <cell r="P540">
            <v>45</v>
          </cell>
        </row>
        <row r="541">
          <cell r="J541">
            <v>0.16</v>
          </cell>
          <cell r="K541">
            <v>0.16669999999999999</v>
          </cell>
          <cell r="L541">
            <v>0.4</v>
          </cell>
          <cell r="M541">
            <v>0.16420000000000001</v>
          </cell>
          <cell r="N541">
            <v>7</v>
          </cell>
          <cell r="O541">
            <v>50</v>
          </cell>
          <cell r="P541">
            <v>57</v>
          </cell>
        </row>
        <row r="542">
          <cell r="J542">
            <v>0.16</v>
          </cell>
          <cell r="K542">
            <v>0.1515</v>
          </cell>
          <cell r="L542">
            <v>0.47</v>
          </cell>
          <cell r="M542">
            <v>0.25369999999999998</v>
          </cell>
          <cell r="N542">
            <v>4</v>
          </cell>
          <cell r="O542">
            <v>66</v>
          </cell>
          <cell r="P542">
            <v>70</v>
          </cell>
        </row>
        <row r="543">
          <cell r="J543">
            <v>0.14000000000000001</v>
          </cell>
          <cell r="K543">
            <v>0.1212</v>
          </cell>
          <cell r="L543">
            <v>0.5</v>
          </cell>
          <cell r="M543">
            <v>0.25369999999999998</v>
          </cell>
          <cell r="N543">
            <v>6</v>
          </cell>
          <cell r="O543">
            <v>178</v>
          </cell>
          <cell r="P543">
            <v>184</v>
          </cell>
        </row>
        <row r="544">
          <cell r="J544">
            <v>0.14000000000000001</v>
          </cell>
          <cell r="K544">
            <v>0.13639999999999999</v>
          </cell>
          <cell r="L544">
            <v>0.59</v>
          </cell>
          <cell r="M544">
            <v>0.19400000000000001</v>
          </cell>
          <cell r="N544">
            <v>8</v>
          </cell>
          <cell r="O544">
            <v>145</v>
          </cell>
          <cell r="P544">
            <v>153</v>
          </cell>
        </row>
        <row r="545">
          <cell r="J545">
            <v>0.14000000000000001</v>
          </cell>
          <cell r="K545">
            <v>0.1515</v>
          </cell>
          <cell r="L545">
            <v>0.54</v>
          </cell>
          <cell r="M545">
            <v>0.16420000000000001</v>
          </cell>
          <cell r="N545">
            <v>5</v>
          </cell>
          <cell r="O545">
            <v>101</v>
          </cell>
          <cell r="P545">
            <v>106</v>
          </cell>
        </row>
        <row r="546">
          <cell r="J546">
            <v>0.14000000000000001</v>
          </cell>
          <cell r="K546">
            <v>0.13639999999999999</v>
          </cell>
          <cell r="L546">
            <v>0.59</v>
          </cell>
          <cell r="M546">
            <v>0.19400000000000001</v>
          </cell>
          <cell r="N546">
            <v>1</v>
          </cell>
          <cell r="O546">
            <v>80</v>
          </cell>
          <cell r="P546">
            <v>81</v>
          </cell>
        </row>
        <row r="547">
          <cell r="J547">
            <v>0.14000000000000001</v>
          </cell>
          <cell r="K547">
            <v>0.1515</v>
          </cell>
          <cell r="L547">
            <v>0.63</v>
          </cell>
          <cell r="M547">
            <v>0.16420000000000001</v>
          </cell>
          <cell r="N547">
            <v>6</v>
          </cell>
          <cell r="O547">
            <v>53</v>
          </cell>
          <cell r="P547">
            <v>59</v>
          </cell>
        </row>
        <row r="548">
          <cell r="J548">
            <v>0.14000000000000001</v>
          </cell>
          <cell r="K548">
            <v>0.13639999999999999</v>
          </cell>
          <cell r="L548">
            <v>0.63</v>
          </cell>
          <cell r="M548">
            <v>0.22389999999999999</v>
          </cell>
          <cell r="N548">
            <v>3</v>
          </cell>
          <cell r="O548">
            <v>32</v>
          </cell>
          <cell r="P548">
            <v>35</v>
          </cell>
        </row>
        <row r="549">
          <cell r="J549">
            <v>0.16</v>
          </cell>
          <cell r="K549">
            <v>0.1515</v>
          </cell>
          <cell r="L549">
            <v>0.64</v>
          </cell>
          <cell r="M549">
            <v>0.25369999999999998</v>
          </cell>
          <cell r="N549">
            <v>3</v>
          </cell>
          <cell r="O549">
            <v>21</v>
          </cell>
          <cell r="P549">
            <v>24</v>
          </cell>
        </row>
        <row r="550">
          <cell r="J550">
            <v>0.16</v>
          </cell>
          <cell r="K550">
            <v>0.13639999999999999</v>
          </cell>
          <cell r="L550">
            <v>0.69</v>
          </cell>
          <cell r="M550">
            <v>0.28360000000000002</v>
          </cell>
          <cell r="N550">
            <v>3</v>
          </cell>
          <cell r="O550">
            <v>6</v>
          </cell>
          <cell r="P550">
            <v>9</v>
          </cell>
        </row>
        <row r="551">
          <cell r="J551">
            <v>0.16</v>
          </cell>
          <cell r="K551">
            <v>0.16669999999999999</v>
          </cell>
          <cell r="L551">
            <v>0.69</v>
          </cell>
          <cell r="M551">
            <v>0.16420000000000001</v>
          </cell>
          <cell r="N551">
            <v>0</v>
          </cell>
          <cell r="O551">
            <v>5</v>
          </cell>
          <cell r="P551">
            <v>5</v>
          </cell>
        </row>
        <row r="552">
          <cell r="J552">
            <v>0.16</v>
          </cell>
          <cell r="K552">
            <v>0.1515</v>
          </cell>
          <cell r="L552">
            <v>0.69</v>
          </cell>
          <cell r="M552">
            <v>0.22389999999999999</v>
          </cell>
          <cell r="N552">
            <v>0</v>
          </cell>
          <cell r="O552">
            <v>2</v>
          </cell>
          <cell r="P552">
            <v>2</v>
          </cell>
        </row>
        <row r="553">
          <cell r="J553">
            <v>0.14000000000000001</v>
          </cell>
          <cell r="K553">
            <v>0.16669999999999999</v>
          </cell>
          <cell r="L553">
            <v>0.74</v>
          </cell>
          <cell r="M553">
            <v>0.1045</v>
          </cell>
          <cell r="N553">
            <v>0</v>
          </cell>
          <cell r="O553">
            <v>1</v>
          </cell>
          <cell r="P553">
            <v>1</v>
          </cell>
        </row>
        <row r="554">
          <cell r="J554">
            <v>0.14000000000000001</v>
          </cell>
          <cell r="K554">
            <v>0.13639999999999999</v>
          </cell>
          <cell r="L554">
            <v>0.74</v>
          </cell>
          <cell r="M554">
            <v>0.22389999999999999</v>
          </cell>
          <cell r="N554">
            <v>0</v>
          </cell>
          <cell r="O554">
            <v>9</v>
          </cell>
          <cell r="P554">
            <v>9</v>
          </cell>
        </row>
        <row r="555">
          <cell r="J555">
            <v>0.16</v>
          </cell>
          <cell r="K555">
            <v>0.18179999999999999</v>
          </cell>
          <cell r="L555">
            <v>0.74</v>
          </cell>
          <cell r="M555">
            <v>0.1045</v>
          </cell>
          <cell r="N555">
            <v>1</v>
          </cell>
          <cell r="O555">
            <v>35</v>
          </cell>
          <cell r="P555">
            <v>36</v>
          </cell>
        </row>
        <row r="556">
          <cell r="J556">
            <v>0.16</v>
          </cell>
          <cell r="K556">
            <v>0.1515</v>
          </cell>
          <cell r="L556">
            <v>0.74</v>
          </cell>
          <cell r="M556">
            <v>0.22389999999999999</v>
          </cell>
          <cell r="N556">
            <v>5</v>
          </cell>
          <cell r="O556">
            <v>103</v>
          </cell>
          <cell r="P556">
            <v>108</v>
          </cell>
        </row>
        <row r="557">
          <cell r="J557">
            <v>0.16</v>
          </cell>
          <cell r="K557">
            <v>0.18179999999999999</v>
          </cell>
          <cell r="L557">
            <v>0.74</v>
          </cell>
          <cell r="M557">
            <v>0.1343</v>
          </cell>
          <cell r="N557">
            <v>5</v>
          </cell>
          <cell r="O557">
            <v>233</v>
          </cell>
          <cell r="P557">
            <v>238</v>
          </cell>
        </row>
        <row r="558">
          <cell r="J558">
            <v>0.2</v>
          </cell>
          <cell r="K558">
            <v>0.2273</v>
          </cell>
          <cell r="L558">
            <v>0.64</v>
          </cell>
          <cell r="M558">
            <v>8.9599999999999999E-2</v>
          </cell>
          <cell r="N558">
            <v>10</v>
          </cell>
          <cell r="O558">
            <v>134</v>
          </cell>
          <cell r="P558">
            <v>144</v>
          </cell>
        </row>
        <row r="559">
          <cell r="J559">
            <v>0.22</v>
          </cell>
          <cell r="K559">
            <v>0.2424</v>
          </cell>
          <cell r="L559">
            <v>0.6</v>
          </cell>
          <cell r="M559">
            <v>0.1045</v>
          </cell>
          <cell r="N559">
            <v>6</v>
          </cell>
          <cell r="O559">
            <v>49</v>
          </cell>
          <cell r="P559">
            <v>55</v>
          </cell>
        </row>
        <row r="560">
          <cell r="J560">
            <v>0.24</v>
          </cell>
          <cell r="K560">
            <v>0.2424</v>
          </cell>
          <cell r="L560">
            <v>0.6</v>
          </cell>
          <cell r="M560">
            <v>0.1343</v>
          </cell>
          <cell r="N560">
            <v>6</v>
          </cell>
          <cell r="O560">
            <v>55</v>
          </cell>
          <cell r="P560">
            <v>61</v>
          </cell>
        </row>
        <row r="561">
          <cell r="J561">
            <v>0.26</v>
          </cell>
          <cell r="K561">
            <v>0.28789999999999999</v>
          </cell>
          <cell r="L561">
            <v>0.56000000000000005</v>
          </cell>
          <cell r="M561">
            <v>8.9599999999999999E-2</v>
          </cell>
          <cell r="N561">
            <v>21</v>
          </cell>
          <cell r="O561">
            <v>85</v>
          </cell>
          <cell r="P561">
            <v>106</v>
          </cell>
        </row>
        <row r="562">
          <cell r="J562">
            <v>0.26</v>
          </cell>
          <cell r="K562">
            <v>0.2727</v>
          </cell>
          <cell r="L562">
            <v>0.56000000000000005</v>
          </cell>
          <cell r="M562">
            <v>0.1343</v>
          </cell>
          <cell r="N562">
            <v>21</v>
          </cell>
          <cell r="O562">
            <v>72</v>
          </cell>
          <cell r="P562">
            <v>93</v>
          </cell>
        </row>
        <row r="563">
          <cell r="J563">
            <v>0.3</v>
          </cell>
          <cell r="K563">
            <v>0.33329999999999999</v>
          </cell>
          <cell r="L563">
            <v>0.45</v>
          </cell>
          <cell r="M563">
            <v>0</v>
          </cell>
          <cell r="N563">
            <v>11</v>
          </cell>
          <cell r="O563">
            <v>57</v>
          </cell>
          <cell r="P563">
            <v>68</v>
          </cell>
        </row>
        <row r="564">
          <cell r="J564">
            <v>0.32</v>
          </cell>
          <cell r="K564">
            <v>0.34849999999999998</v>
          </cell>
          <cell r="L564">
            <v>0.42</v>
          </cell>
          <cell r="M564">
            <v>0</v>
          </cell>
          <cell r="N564">
            <v>21</v>
          </cell>
          <cell r="O564">
            <v>63</v>
          </cell>
          <cell r="P564">
            <v>84</v>
          </cell>
        </row>
        <row r="565">
          <cell r="J565">
            <v>0.32</v>
          </cell>
          <cell r="K565">
            <v>0.34849999999999998</v>
          </cell>
          <cell r="L565">
            <v>0.42</v>
          </cell>
          <cell r="M565">
            <v>0</v>
          </cell>
          <cell r="N565">
            <v>14</v>
          </cell>
          <cell r="O565">
            <v>102</v>
          </cell>
          <cell r="P565">
            <v>116</v>
          </cell>
        </row>
        <row r="566">
          <cell r="J566">
            <v>0.3</v>
          </cell>
          <cell r="K566">
            <v>0.33329999999999999</v>
          </cell>
          <cell r="L566">
            <v>0.45</v>
          </cell>
          <cell r="M566">
            <v>0</v>
          </cell>
          <cell r="N566">
            <v>14</v>
          </cell>
          <cell r="O566">
            <v>208</v>
          </cell>
          <cell r="P566">
            <v>222</v>
          </cell>
        </row>
        <row r="567">
          <cell r="J567">
            <v>0.3</v>
          </cell>
          <cell r="K567">
            <v>0.31819999999999998</v>
          </cell>
          <cell r="L567">
            <v>0.49</v>
          </cell>
          <cell r="M567">
            <v>8.9599999999999999E-2</v>
          </cell>
          <cell r="N567">
            <v>7</v>
          </cell>
          <cell r="O567">
            <v>218</v>
          </cell>
          <cell r="P567">
            <v>225</v>
          </cell>
        </row>
        <row r="568">
          <cell r="J568">
            <v>0.26</v>
          </cell>
          <cell r="K568">
            <v>0.2576</v>
          </cell>
          <cell r="L568">
            <v>0.65</v>
          </cell>
          <cell r="M568">
            <v>0.16420000000000001</v>
          </cell>
          <cell r="N568">
            <v>13</v>
          </cell>
          <cell r="O568">
            <v>133</v>
          </cell>
          <cell r="P568">
            <v>146</v>
          </cell>
        </row>
        <row r="569">
          <cell r="J569">
            <v>0.24</v>
          </cell>
          <cell r="K569">
            <v>0.2273</v>
          </cell>
          <cell r="L569">
            <v>0.65</v>
          </cell>
          <cell r="M569">
            <v>0.19400000000000001</v>
          </cell>
          <cell r="N569">
            <v>16</v>
          </cell>
          <cell r="O569">
            <v>103</v>
          </cell>
          <cell r="P569">
            <v>119</v>
          </cell>
        </row>
        <row r="570">
          <cell r="J570">
            <v>0.24</v>
          </cell>
          <cell r="K570">
            <v>0.2273</v>
          </cell>
          <cell r="L570">
            <v>0.65</v>
          </cell>
          <cell r="M570">
            <v>0.19400000000000001</v>
          </cell>
          <cell r="N570">
            <v>5</v>
          </cell>
          <cell r="O570">
            <v>40</v>
          </cell>
          <cell r="P570">
            <v>45</v>
          </cell>
        </row>
        <row r="571">
          <cell r="J571">
            <v>0.22</v>
          </cell>
          <cell r="K571">
            <v>0.2273</v>
          </cell>
          <cell r="L571">
            <v>0.64</v>
          </cell>
          <cell r="M571">
            <v>0.16420000000000001</v>
          </cell>
          <cell r="N571">
            <v>4</v>
          </cell>
          <cell r="O571">
            <v>49</v>
          </cell>
          <cell r="P571">
            <v>53</v>
          </cell>
        </row>
        <row r="572">
          <cell r="J572">
            <v>0.22</v>
          </cell>
          <cell r="K572">
            <v>0.2273</v>
          </cell>
          <cell r="L572">
            <v>0.64</v>
          </cell>
          <cell r="M572">
            <v>0.16420000000000001</v>
          </cell>
          <cell r="N572">
            <v>3</v>
          </cell>
          <cell r="O572">
            <v>37</v>
          </cell>
          <cell r="P572">
            <v>40</v>
          </cell>
        </row>
        <row r="573">
          <cell r="J573">
            <v>0.22</v>
          </cell>
          <cell r="K573">
            <v>0.2273</v>
          </cell>
          <cell r="L573">
            <v>0.69</v>
          </cell>
          <cell r="M573">
            <v>0.1343</v>
          </cell>
          <cell r="N573">
            <v>3</v>
          </cell>
          <cell r="O573">
            <v>14</v>
          </cell>
          <cell r="P573">
            <v>17</v>
          </cell>
        </row>
        <row r="574">
          <cell r="J574">
            <v>0.24</v>
          </cell>
          <cell r="K574">
            <v>0.2424</v>
          </cell>
          <cell r="L574">
            <v>0.65</v>
          </cell>
          <cell r="M574">
            <v>0.1343</v>
          </cell>
          <cell r="N574">
            <v>0</v>
          </cell>
          <cell r="O574">
            <v>5</v>
          </cell>
          <cell r="P574">
            <v>5</v>
          </cell>
        </row>
        <row r="575">
          <cell r="J575">
            <v>0.22</v>
          </cell>
          <cell r="K575">
            <v>0.2273</v>
          </cell>
          <cell r="L575">
            <v>0.69</v>
          </cell>
          <cell r="M575">
            <v>0.19400000000000001</v>
          </cell>
          <cell r="N575">
            <v>3</v>
          </cell>
          <cell r="O575">
            <v>7</v>
          </cell>
          <cell r="P575">
            <v>10</v>
          </cell>
        </row>
        <row r="576">
          <cell r="J576">
            <v>0.2</v>
          </cell>
          <cell r="K576">
            <v>0.18179999999999999</v>
          </cell>
          <cell r="L576">
            <v>0.86</v>
          </cell>
          <cell r="M576">
            <v>0.28360000000000002</v>
          </cell>
          <cell r="N576">
            <v>0</v>
          </cell>
          <cell r="O576">
            <v>1</v>
          </cell>
          <cell r="P576">
            <v>1</v>
          </cell>
        </row>
        <row r="577">
          <cell r="J577">
            <v>0.2</v>
          </cell>
          <cell r="K577">
            <v>0.18179999999999999</v>
          </cell>
          <cell r="L577">
            <v>0.86</v>
          </cell>
          <cell r="M577">
            <v>0.28360000000000002</v>
          </cell>
          <cell r="N577">
            <v>0</v>
          </cell>
          <cell r="O577">
            <v>8</v>
          </cell>
          <cell r="P577">
            <v>8</v>
          </cell>
        </row>
        <row r="578">
          <cell r="J578">
            <v>0.22</v>
          </cell>
          <cell r="K578">
            <v>0.21210000000000001</v>
          </cell>
          <cell r="L578">
            <v>0.87</v>
          </cell>
          <cell r="M578">
            <v>0.29849999999999999</v>
          </cell>
          <cell r="N578">
            <v>1</v>
          </cell>
          <cell r="O578">
            <v>29</v>
          </cell>
          <cell r="P578">
            <v>30</v>
          </cell>
        </row>
        <row r="579">
          <cell r="J579">
            <v>0.22</v>
          </cell>
          <cell r="K579">
            <v>0.21210000000000001</v>
          </cell>
          <cell r="L579">
            <v>0.87</v>
          </cell>
          <cell r="M579">
            <v>0.29849999999999999</v>
          </cell>
          <cell r="N579">
            <v>3</v>
          </cell>
          <cell r="O579">
            <v>69</v>
          </cell>
          <cell r="P579">
            <v>72</v>
          </cell>
        </row>
        <row r="580">
          <cell r="J580">
            <v>0.22</v>
          </cell>
          <cell r="K580">
            <v>0.21210000000000001</v>
          </cell>
          <cell r="L580">
            <v>0.87</v>
          </cell>
          <cell r="M580">
            <v>0.29849999999999999</v>
          </cell>
          <cell r="N580">
            <v>3</v>
          </cell>
          <cell r="O580">
            <v>55</v>
          </cell>
          <cell r="P580">
            <v>58</v>
          </cell>
        </row>
        <row r="581">
          <cell r="J581">
            <v>0.22</v>
          </cell>
          <cell r="K581">
            <v>0.21210000000000001</v>
          </cell>
          <cell r="L581">
            <v>0.93</v>
          </cell>
          <cell r="M581">
            <v>0.28360000000000002</v>
          </cell>
          <cell r="N581">
            <v>2</v>
          </cell>
          <cell r="O581">
            <v>26</v>
          </cell>
          <cell r="P581">
            <v>28</v>
          </cell>
        </row>
        <row r="582">
          <cell r="J582">
            <v>0.22</v>
          </cell>
          <cell r="K582">
            <v>0.19700000000000001</v>
          </cell>
          <cell r="L582">
            <v>0.93</v>
          </cell>
          <cell r="M582">
            <v>0.32840000000000003</v>
          </cell>
          <cell r="N582">
            <v>6</v>
          </cell>
          <cell r="O582">
            <v>35</v>
          </cell>
          <cell r="P582">
            <v>41</v>
          </cell>
        </row>
        <row r="583">
          <cell r="J583">
            <v>0.22</v>
          </cell>
          <cell r="K583">
            <v>0.19700000000000001</v>
          </cell>
          <cell r="L583">
            <v>0.93</v>
          </cell>
          <cell r="M583">
            <v>0.32840000000000003</v>
          </cell>
          <cell r="N583">
            <v>7</v>
          </cell>
          <cell r="O583">
            <v>41</v>
          </cell>
          <cell r="P583">
            <v>48</v>
          </cell>
        </row>
        <row r="584">
          <cell r="J584">
            <v>0.22</v>
          </cell>
          <cell r="K584">
            <v>0.19700000000000001</v>
          </cell>
          <cell r="L584">
            <v>0.93</v>
          </cell>
          <cell r="M584">
            <v>0.32840000000000003</v>
          </cell>
          <cell r="N584">
            <v>4</v>
          </cell>
          <cell r="O584">
            <v>43</v>
          </cell>
          <cell r="P584">
            <v>47</v>
          </cell>
        </row>
        <row r="585">
          <cell r="J585">
            <v>0.22</v>
          </cell>
          <cell r="K585">
            <v>0.19700000000000001</v>
          </cell>
          <cell r="L585">
            <v>0.93</v>
          </cell>
          <cell r="M585">
            <v>0.35820000000000002</v>
          </cell>
          <cell r="N585">
            <v>0</v>
          </cell>
          <cell r="O585">
            <v>36</v>
          </cell>
          <cell r="P585">
            <v>36</v>
          </cell>
        </row>
        <row r="586">
          <cell r="J586">
            <v>0.22</v>
          </cell>
          <cell r="K586">
            <v>0.18179999999999999</v>
          </cell>
          <cell r="L586">
            <v>0.93</v>
          </cell>
          <cell r="M586">
            <v>0.4627</v>
          </cell>
          <cell r="N586">
            <v>1</v>
          </cell>
          <cell r="O586">
            <v>42</v>
          </cell>
          <cell r="P586">
            <v>43</v>
          </cell>
        </row>
        <row r="587">
          <cell r="J587">
            <v>0.22</v>
          </cell>
          <cell r="K587">
            <v>0.19700000000000001</v>
          </cell>
          <cell r="L587">
            <v>0.93</v>
          </cell>
          <cell r="M587">
            <v>0.32840000000000003</v>
          </cell>
          <cell r="N587">
            <v>1</v>
          </cell>
          <cell r="O587">
            <v>35</v>
          </cell>
          <cell r="P587">
            <v>36</v>
          </cell>
        </row>
        <row r="588">
          <cell r="J588">
            <v>0.2</v>
          </cell>
          <cell r="K588">
            <v>0.18179999999999999</v>
          </cell>
          <cell r="L588">
            <v>0.93</v>
          </cell>
          <cell r="M588">
            <v>0.35820000000000002</v>
          </cell>
          <cell r="N588">
            <v>0</v>
          </cell>
          <cell r="O588">
            <v>26</v>
          </cell>
          <cell r="P588">
            <v>26</v>
          </cell>
        </row>
        <row r="589">
          <cell r="J589">
            <v>0.22</v>
          </cell>
          <cell r="K589">
            <v>0.2273</v>
          </cell>
          <cell r="L589">
            <v>0.55000000000000004</v>
          </cell>
          <cell r="M589">
            <v>0.19400000000000001</v>
          </cell>
          <cell r="N589">
            <v>1</v>
          </cell>
          <cell r="O589">
            <v>23</v>
          </cell>
          <cell r="P589">
            <v>24</v>
          </cell>
        </row>
        <row r="590">
          <cell r="J590">
            <v>0.22</v>
          </cell>
          <cell r="K590">
            <v>0.2424</v>
          </cell>
          <cell r="L590">
            <v>0.55000000000000004</v>
          </cell>
          <cell r="M590">
            <v>0.1045</v>
          </cell>
          <cell r="N590">
            <v>2</v>
          </cell>
          <cell r="O590">
            <v>82</v>
          </cell>
          <cell r="P590">
            <v>84</v>
          </cell>
        </row>
        <row r="591">
          <cell r="J591">
            <v>0.2</v>
          </cell>
          <cell r="K591">
            <v>0.2273</v>
          </cell>
          <cell r="L591">
            <v>0.69</v>
          </cell>
          <cell r="M591">
            <v>8.9599999999999999E-2</v>
          </cell>
          <cell r="N591">
            <v>3</v>
          </cell>
          <cell r="O591">
            <v>101</v>
          </cell>
          <cell r="P591">
            <v>104</v>
          </cell>
        </row>
        <row r="592">
          <cell r="J592">
            <v>0.2</v>
          </cell>
          <cell r="K592">
            <v>0.2273</v>
          </cell>
          <cell r="L592">
            <v>0.69</v>
          </cell>
          <cell r="M592">
            <v>8.9599999999999999E-2</v>
          </cell>
          <cell r="N592">
            <v>3</v>
          </cell>
          <cell r="O592">
            <v>76</v>
          </cell>
          <cell r="P592">
            <v>79</v>
          </cell>
        </row>
        <row r="593">
          <cell r="J593">
            <v>0.18</v>
          </cell>
          <cell r="K593">
            <v>0.21210000000000001</v>
          </cell>
          <cell r="L593">
            <v>0.74</v>
          </cell>
          <cell r="M593">
            <v>8.9599999999999999E-2</v>
          </cell>
          <cell r="N593">
            <v>4</v>
          </cell>
          <cell r="O593">
            <v>55</v>
          </cell>
          <cell r="P593">
            <v>59</v>
          </cell>
        </row>
        <row r="594">
          <cell r="J594">
            <v>0.18</v>
          </cell>
          <cell r="K594">
            <v>0.21210000000000001</v>
          </cell>
          <cell r="L594">
            <v>0.74</v>
          </cell>
          <cell r="M594">
            <v>8.9599999999999999E-2</v>
          </cell>
          <cell r="N594">
            <v>2</v>
          </cell>
          <cell r="O594">
            <v>36</v>
          </cell>
          <cell r="P594">
            <v>38</v>
          </cell>
        </row>
        <row r="595">
          <cell r="J595">
            <v>0.18</v>
          </cell>
          <cell r="K595">
            <v>0.21210000000000001</v>
          </cell>
          <cell r="L595">
            <v>0.74</v>
          </cell>
          <cell r="M595">
            <v>8.9599999999999999E-2</v>
          </cell>
          <cell r="N595">
            <v>0</v>
          </cell>
          <cell r="O595">
            <v>27</v>
          </cell>
          <cell r="P595">
            <v>27</v>
          </cell>
        </row>
        <row r="596">
          <cell r="J596">
            <v>0.18</v>
          </cell>
          <cell r="K596">
            <v>0.19700000000000001</v>
          </cell>
          <cell r="L596">
            <v>0.8</v>
          </cell>
          <cell r="M596">
            <v>0.16420000000000001</v>
          </cell>
          <cell r="N596">
            <v>0</v>
          </cell>
          <cell r="O596">
            <v>16</v>
          </cell>
          <cell r="P596">
            <v>16</v>
          </cell>
        </row>
        <row r="597">
          <cell r="J597">
            <v>0.2</v>
          </cell>
          <cell r="K597">
            <v>0.21210000000000001</v>
          </cell>
          <cell r="L597">
            <v>0.75</v>
          </cell>
          <cell r="M597">
            <v>0.1343</v>
          </cell>
          <cell r="N597">
            <v>0</v>
          </cell>
          <cell r="O597">
            <v>9</v>
          </cell>
          <cell r="P597">
            <v>9</v>
          </cell>
        </row>
        <row r="598">
          <cell r="J598">
            <v>0.2</v>
          </cell>
          <cell r="K598">
            <v>0.21210000000000001</v>
          </cell>
          <cell r="L598">
            <v>0.75</v>
          </cell>
          <cell r="M598">
            <v>0.1343</v>
          </cell>
          <cell r="N598">
            <v>1</v>
          </cell>
          <cell r="O598">
            <v>2</v>
          </cell>
          <cell r="P598">
            <v>3</v>
          </cell>
        </row>
        <row r="599">
          <cell r="J599">
            <v>0.2</v>
          </cell>
          <cell r="K599">
            <v>0.21210000000000001</v>
          </cell>
          <cell r="L599">
            <v>0.75</v>
          </cell>
          <cell r="M599">
            <v>0.16420000000000001</v>
          </cell>
          <cell r="N599">
            <v>0</v>
          </cell>
          <cell r="O599">
            <v>2</v>
          </cell>
          <cell r="P599">
            <v>2</v>
          </cell>
        </row>
        <row r="600">
          <cell r="J600">
            <v>0.2</v>
          </cell>
          <cell r="K600">
            <v>0.2273</v>
          </cell>
          <cell r="L600">
            <v>0.75</v>
          </cell>
          <cell r="M600">
            <v>0.1045</v>
          </cell>
          <cell r="N600">
            <v>1</v>
          </cell>
          <cell r="O600">
            <v>0</v>
          </cell>
          <cell r="P600">
            <v>1</v>
          </cell>
        </row>
        <row r="601">
          <cell r="J601">
            <v>0.18</v>
          </cell>
          <cell r="K601">
            <v>0.21210000000000001</v>
          </cell>
          <cell r="L601">
            <v>0.8</v>
          </cell>
          <cell r="M601">
            <v>0.1045</v>
          </cell>
          <cell r="N601">
            <v>0</v>
          </cell>
          <cell r="O601">
            <v>4</v>
          </cell>
          <cell r="P601">
            <v>4</v>
          </cell>
        </row>
        <row r="602">
          <cell r="J602">
            <v>0.18</v>
          </cell>
          <cell r="K602">
            <v>0.19700000000000001</v>
          </cell>
          <cell r="L602">
            <v>0.8</v>
          </cell>
          <cell r="M602">
            <v>0.1343</v>
          </cell>
          <cell r="N602">
            <v>0</v>
          </cell>
          <cell r="O602">
            <v>16</v>
          </cell>
          <cell r="P602">
            <v>16</v>
          </cell>
        </row>
        <row r="603">
          <cell r="J603">
            <v>0.16</v>
          </cell>
          <cell r="K603">
            <v>0.19700000000000001</v>
          </cell>
          <cell r="L603">
            <v>0.86</v>
          </cell>
          <cell r="M603">
            <v>8.9599999999999999E-2</v>
          </cell>
          <cell r="N603">
            <v>2</v>
          </cell>
          <cell r="O603">
            <v>58</v>
          </cell>
          <cell r="P603">
            <v>60</v>
          </cell>
        </row>
        <row r="604">
          <cell r="J604">
            <v>0.16</v>
          </cell>
          <cell r="K604">
            <v>0.19700000000000001</v>
          </cell>
          <cell r="L604">
            <v>0.86</v>
          </cell>
          <cell r="M604">
            <v>8.9599999999999999E-2</v>
          </cell>
          <cell r="N604">
            <v>2</v>
          </cell>
          <cell r="O604">
            <v>155</v>
          </cell>
          <cell r="P604">
            <v>157</v>
          </cell>
        </row>
        <row r="605">
          <cell r="J605">
            <v>0.18</v>
          </cell>
          <cell r="K605">
            <v>0.21210000000000001</v>
          </cell>
          <cell r="L605">
            <v>0.86</v>
          </cell>
          <cell r="M605">
            <v>8.9599999999999999E-2</v>
          </cell>
          <cell r="N605">
            <v>6</v>
          </cell>
          <cell r="O605">
            <v>95</v>
          </cell>
          <cell r="P605">
            <v>101</v>
          </cell>
        </row>
        <row r="606">
          <cell r="J606">
            <v>0.18</v>
          </cell>
          <cell r="K606">
            <v>0.21210000000000001</v>
          </cell>
          <cell r="L606">
            <v>0.86</v>
          </cell>
          <cell r="M606">
            <v>0.1045</v>
          </cell>
          <cell r="N606">
            <v>0</v>
          </cell>
          <cell r="O606">
            <v>49</v>
          </cell>
          <cell r="P606">
            <v>49</v>
          </cell>
        </row>
        <row r="607">
          <cell r="J607">
            <v>0.18</v>
          </cell>
          <cell r="K607">
            <v>0.21210000000000001</v>
          </cell>
          <cell r="L607">
            <v>0.93</v>
          </cell>
          <cell r="M607">
            <v>0.1045</v>
          </cell>
          <cell r="N607">
            <v>0</v>
          </cell>
          <cell r="O607">
            <v>30</v>
          </cell>
          <cell r="P607">
            <v>30</v>
          </cell>
        </row>
        <row r="608">
          <cell r="J608">
            <v>0.18</v>
          </cell>
          <cell r="K608">
            <v>0.21210000000000001</v>
          </cell>
          <cell r="L608">
            <v>0.93</v>
          </cell>
          <cell r="M608">
            <v>0.1045</v>
          </cell>
          <cell r="N608">
            <v>1</v>
          </cell>
          <cell r="O608">
            <v>28</v>
          </cell>
          <cell r="P608">
            <v>29</v>
          </cell>
        </row>
        <row r="609">
          <cell r="J609">
            <v>0.18</v>
          </cell>
          <cell r="K609">
            <v>0.21210000000000001</v>
          </cell>
          <cell r="L609">
            <v>0.93</v>
          </cell>
          <cell r="M609">
            <v>0.1045</v>
          </cell>
          <cell r="N609">
            <v>0</v>
          </cell>
          <cell r="O609">
            <v>31</v>
          </cell>
          <cell r="P609">
            <v>31</v>
          </cell>
        </row>
        <row r="610">
          <cell r="J610">
            <v>0.22</v>
          </cell>
          <cell r="K610">
            <v>0.2727</v>
          </cell>
          <cell r="L610">
            <v>0.8</v>
          </cell>
          <cell r="M610">
            <v>0</v>
          </cell>
          <cell r="N610">
            <v>2</v>
          </cell>
          <cell r="O610">
            <v>36</v>
          </cell>
          <cell r="P610">
            <v>38</v>
          </cell>
        </row>
        <row r="611">
          <cell r="J611">
            <v>0.2</v>
          </cell>
          <cell r="K611">
            <v>0.2576</v>
          </cell>
          <cell r="L611">
            <v>0.86</v>
          </cell>
          <cell r="M611">
            <v>0</v>
          </cell>
          <cell r="N611">
            <v>1</v>
          </cell>
          <cell r="O611">
            <v>40</v>
          </cell>
          <cell r="P611">
            <v>41</v>
          </cell>
        </row>
        <row r="612">
          <cell r="J612">
            <v>0.22</v>
          </cell>
          <cell r="K612">
            <v>0.2727</v>
          </cell>
          <cell r="L612">
            <v>0.8</v>
          </cell>
          <cell r="M612">
            <v>0</v>
          </cell>
          <cell r="N612">
            <v>10</v>
          </cell>
          <cell r="O612">
            <v>70</v>
          </cell>
          <cell r="P612">
            <v>80</v>
          </cell>
        </row>
        <row r="613">
          <cell r="J613">
            <v>0.24</v>
          </cell>
          <cell r="K613">
            <v>0.2424</v>
          </cell>
          <cell r="L613">
            <v>0.75</v>
          </cell>
          <cell r="M613">
            <v>0.1343</v>
          </cell>
          <cell r="N613">
            <v>2</v>
          </cell>
          <cell r="O613">
            <v>147</v>
          </cell>
          <cell r="P613">
            <v>149</v>
          </cell>
        </row>
        <row r="614">
          <cell r="J614">
            <v>0.24</v>
          </cell>
          <cell r="K614">
            <v>0.2273</v>
          </cell>
          <cell r="L614">
            <v>0.75</v>
          </cell>
          <cell r="M614">
            <v>0.19400000000000001</v>
          </cell>
          <cell r="N614">
            <v>2</v>
          </cell>
          <cell r="O614">
            <v>107</v>
          </cell>
          <cell r="P614">
            <v>109</v>
          </cell>
        </row>
        <row r="615">
          <cell r="J615">
            <v>0.24</v>
          </cell>
          <cell r="K615">
            <v>0.2424</v>
          </cell>
          <cell r="L615">
            <v>0.75</v>
          </cell>
          <cell r="M615">
            <v>0.1343</v>
          </cell>
          <cell r="N615">
            <v>5</v>
          </cell>
          <cell r="O615">
            <v>84</v>
          </cell>
          <cell r="P615">
            <v>89</v>
          </cell>
        </row>
        <row r="616">
          <cell r="J616">
            <v>0.24</v>
          </cell>
          <cell r="K616">
            <v>0.2273</v>
          </cell>
          <cell r="L616">
            <v>0.7</v>
          </cell>
          <cell r="M616">
            <v>0.19400000000000001</v>
          </cell>
          <cell r="N616">
            <v>1</v>
          </cell>
          <cell r="O616">
            <v>61</v>
          </cell>
          <cell r="P616">
            <v>62</v>
          </cell>
        </row>
        <row r="617">
          <cell r="J617">
            <v>0.22</v>
          </cell>
          <cell r="K617">
            <v>0.2273</v>
          </cell>
          <cell r="L617">
            <v>0.75</v>
          </cell>
          <cell r="M617">
            <v>0.1343</v>
          </cell>
          <cell r="N617">
            <v>1</v>
          </cell>
          <cell r="O617">
            <v>57</v>
          </cell>
          <cell r="P617">
            <v>58</v>
          </cell>
        </row>
        <row r="618">
          <cell r="J618">
            <v>0.24</v>
          </cell>
          <cell r="K618">
            <v>0.21210000000000001</v>
          </cell>
          <cell r="L618">
            <v>0.65</v>
          </cell>
          <cell r="M618">
            <v>0.35820000000000002</v>
          </cell>
          <cell r="N618">
            <v>0</v>
          </cell>
          <cell r="O618">
            <v>26</v>
          </cell>
          <cell r="P618">
            <v>26</v>
          </cell>
        </row>
        <row r="619">
          <cell r="J619">
            <v>0.24</v>
          </cell>
          <cell r="K619">
            <v>0.2273</v>
          </cell>
          <cell r="L619">
            <v>0.6</v>
          </cell>
          <cell r="M619">
            <v>0.22389999999999999</v>
          </cell>
          <cell r="N619">
            <v>1</v>
          </cell>
          <cell r="O619">
            <v>22</v>
          </cell>
          <cell r="P619">
            <v>23</v>
          </cell>
        </row>
        <row r="620">
          <cell r="J620">
            <v>0.22</v>
          </cell>
          <cell r="K620">
            <v>0.19700000000000001</v>
          </cell>
          <cell r="L620">
            <v>0.64</v>
          </cell>
          <cell r="M620">
            <v>0.35820000000000002</v>
          </cell>
          <cell r="N620">
            <v>2</v>
          </cell>
          <cell r="O620">
            <v>26</v>
          </cell>
          <cell r="P620">
            <v>28</v>
          </cell>
        </row>
        <row r="621">
          <cell r="J621">
            <v>0.22</v>
          </cell>
          <cell r="K621">
            <v>0.2273</v>
          </cell>
          <cell r="L621">
            <v>0.64</v>
          </cell>
          <cell r="M621">
            <v>0.19400000000000001</v>
          </cell>
          <cell r="N621">
            <v>0</v>
          </cell>
          <cell r="O621">
            <v>20</v>
          </cell>
          <cell r="P621">
            <v>20</v>
          </cell>
        </row>
        <row r="622">
          <cell r="J622">
            <v>0.22</v>
          </cell>
          <cell r="K622">
            <v>0.2273</v>
          </cell>
          <cell r="L622">
            <v>0.64</v>
          </cell>
          <cell r="M622">
            <v>0.16420000000000001</v>
          </cell>
          <cell r="N622">
            <v>0</v>
          </cell>
          <cell r="O622">
            <v>15</v>
          </cell>
          <cell r="P622">
            <v>15</v>
          </cell>
        </row>
        <row r="623">
          <cell r="J623">
            <v>0.2</v>
          </cell>
          <cell r="K623">
            <v>0.21210000000000001</v>
          </cell>
          <cell r="L623">
            <v>0.64</v>
          </cell>
          <cell r="M623">
            <v>0.1343</v>
          </cell>
          <cell r="N623">
            <v>3</v>
          </cell>
          <cell r="O623">
            <v>5</v>
          </cell>
          <cell r="P623">
            <v>8</v>
          </cell>
        </row>
        <row r="624">
          <cell r="J624">
            <v>0.16</v>
          </cell>
          <cell r="K624">
            <v>0.18179999999999999</v>
          </cell>
          <cell r="L624">
            <v>0.69</v>
          </cell>
          <cell r="M624">
            <v>0.1045</v>
          </cell>
          <cell r="N624">
            <v>1</v>
          </cell>
          <cell r="O624">
            <v>2</v>
          </cell>
          <cell r="P624">
            <v>3</v>
          </cell>
        </row>
        <row r="625">
          <cell r="J625">
            <v>0.16</v>
          </cell>
          <cell r="K625">
            <v>0.18179999999999999</v>
          </cell>
          <cell r="L625">
            <v>0.64</v>
          </cell>
          <cell r="M625">
            <v>0.1343</v>
          </cell>
          <cell r="N625">
            <v>0</v>
          </cell>
          <cell r="O625">
            <v>2</v>
          </cell>
          <cell r="P625">
            <v>2</v>
          </cell>
        </row>
        <row r="626">
          <cell r="J626">
            <v>0.16</v>
          </cell>
          <cell r="K626">
            <v>0.18179999999999999</v>
          </cell>
          <cell r="L626">
            <v>0.59</v>
          </cell>
          <cell r="M626">
            <v>0.1045</v>
          </cell>
          <cell r="N626">
            <v>1</v>
          </cell>
          <cell r="O626">
            <v>4</v>
          </cell>
          <cell r="P626">
            <v>5</v>
          </cell>
        </row>
        <row r="627">
          <cell r="J627">
            <v>0.18</v>
          </cell>
          <cell r="K627">
            <v>0.19700000000000001</v>
          </cell>
          <cell r="L627">
            <v>0.55000000000000004</v>
          </cell>
          <cell r="M627">
            <v>0.16420000000000001</v>
          </cell>
          <cell r="N627">
            <v>3</v>
          </cell>
          <cell r="O627">
            <v>31</v>
          </cell>
          <cell r="P627">
            <v>34</v>
          </cell>
        </row>
        <row r="628">
          <cell r="J628">
            <v>0.18</v>
          </cell>
          <cell r="K628">
            <v>0.21210000000000001</v>
          </cell>
          <cell r="L628">
            <v>0.59</v>
          </cell>
          <cell r="M628">
            <v>8.9599999999999999E-2</v>
          </cell>
          <cell r="N628">
            <v>0</v>
          </cell>
          <cell r="O628">
            <v>34</v>
          </cell>
          <cell r="P628">
            <v>34</v>
          </cell>
        </row>
        <row r="629">
          <cell r="J629">
            <v>0.18</v>
          </cell>
          <cell r="K629">
            <v>0.21210000000000001</v>
          </cell>
          <cell r="L629">
            <v>0.64</v>
          </cell>
          <cell r="M629">
            <v>0.1045</v>
          </cell>
          <cell r="N629">
            <v>4</v>
          </cell>
          <cell r="O629">
            <v>51</v>
          </cell>
          <cell r="P629">
            <v>55</v>
          </cell>
        </row>
        <row r="630">
          <cell r="J630">
            <v>0.18</v>
          </cell>
          <cell r="K630">
            <v>0.19700000000000001</v>
          </cell>
          <cell r="L630">
            <v>0.64</v>
          </cell>
          <cell r="M630">
            <v>0.1343</v>
          </cell>
          <cell r="N630">
            <v>4</v>
          </cell>
          <cell r="O630">
            <v>60</v>
          </cell>
          <cell r="P630">
            <v>64</v>
          </cell>
        </row>
        <row r="631">
          <cell r="J631">
            <v>0.2</v>
          </cell>
          <cell r="K631">
            <v>0.19700000000000001</v>
          </cell>
          <cell r="L631">
            <v>0.59</v>
          </cell>
          <cell r="M631">
            <v>0.19400000000000001</v>
          </cell>
          <cell r="N631">
            <v>12</v>
          </cell>
          <cell r="O631">
            <v>66</v>
          </cell>
          <cell r="P631">
            <v>78</v>
          </cell>
        </row>
        <row r="632">
          <cell r="J632">
            <v>0.22</v>
          </cell>
          <cell r="K632">
            <v>0.2273</v>
          </cell>
          <cell r="L632">
            <v>0.55000000000000004</v>
          </cell>
          <cell r="M632">
            <v>0.16420000000000001</v>
          </cell>
          <cell r="N632">
            <v>9</v>
          </cell>
          <cell r="O632">
            <v>56</v>
          </cell>
          <cell r="P632">
            <v>65</v>
          </cell>
        </row>
        <row r="633">
          <cell r="J633">
            <v>0.22</v>
          </cell>
          <cell r="K633">
            <v>0.2273</v>
          </cell>
          <cell r="L633">
            <v>0.6</v>
          </cell>
          <cell r="M633">
            <v>0.1343</v>
          </cell>
          <cell r="N633">
            <v>10</v>
          </cell>
          <cell r="O633">
            <v>89</v>
          </cell>
          <cell r="P633">
            <v>99</v>
          </cell>
        </row>
        <row r="634">
          <cell r="J634">
            <v>0.22</v>
          </cell>
          <cell r="K634">
            <v>0.21210000000000001</v>
          </cell>
          <cell r="L634">
            <v>0.69</v>
          </cell>
          <cell r="M634">
            <v>0.25369999999999998</v>
          </cell>
          <cell r="N634">
            <v>22</v>
          </cell>
          <cell r="O634">
            <v>98</v>
          </cell>
          <cell r="P634">
            <v>120</v>
          </cell>
        </row>
        <row r="635">
          <cell r="J635">
            <v>0.24</v>
          </cell>
          <cell r="K635">
            <v>0.2424</v>
          </cell>
          <cell r="L635">
            <v>0.6</v>
          </cell>
          <cell r="M635">
            <v>0.16420000000000001</v>
          </cell>
          <cell r="N635">
            <v>19</v>
          </cell>
          <cell r="O635">
            <v>88</v>
          </cell>
          <cell r="P635">
            <v>107</v>
          </cell>
        </row>
        <row r="636">
          <cell r="J636">
            <v>0.24</v>
          </cell>
          <cell r="K636">
            <v>0.28789999999999999</v>
          </cell>
          <cell r="L636">
            <v>0.6</v>
          </cell>
          <cell r="M636">
            <v>0</v>
          </cell>
          <cell r="N636">
            <v>9</v>
          </cell>
          <cell r="O636">
            <v>82</v>
          </cell>
          <cell r="P636">
            <v>91</v>
          </cell>
        </row>
        <row r="637">
          <cell r="J637">
            <v>0.22</v>
          </cell>
          <cell r="K637">
            <v>0.2273</v>
          </cell>
          <cell r="L637">
            <v>0.69</v>
          </cell>
          <cell r="M637">
            <v>0.1343</v>
          </cell>
          <cell r="N637">
            <v>9</v>
          </cell>
          <cell r="O637">
            <v>59</v>
          </cell>
          <cell r="P637">
            <v>68</v>
          </cell>
        </row>
        <row r="638">
          <cell r="J638">
            <v>0.22</v>
          </cell>
          <cell r="K638">
            <v>0.21210000000000001</v>
          </cell>
          <cell r="L638">
            <v>0.69</v>
          </cell>
          <cell r="M638">
            <v>0.25369999999999998</v>
          </cell>
          <cell r="N638">
            <v>6</v>
          </cell>
          <cell r="O638">
            <v>52</v>
          </cell>
          <cell r="P638">
            <v>58</v>
          </cell>
        </row>
        <row r="639">
          <cell r="J639">
            <v>0.18</v>
          </cell>
          <cell r="K639">
            <v>0.21210000000000001</v>
          </cell>
          <cell r="L639">
            <v>0.74</v>
          </cell>
          <cell r="M639">
            <v>8.9599999999999999E-2</v>
          </cell>
          <cell r="N639">
            <v>1</v>
          </cell>
          <cell r="O639">
            <v>42</v>
          </cell>
          <cell r="P639">
            <v>43</v>
          </cell>
        </row>
        <row r="640">
          <cell r="J640">
            <v>0.18</v>
          </cell>
          <cell r="K640">
            <v>0.21210000000000001</v>
          </cell>
          <cell r="L640">
            <v>0.74</v>
          </cell>
          <cell r="M640">
            <v>8.9599999999999999E-2</v>
          </cell>
          <cell r="N640">
            <v>1</v>
          </cell>
          <cell r="O640">
            <v>35</v>
          </cell>
          <cell r="P640">
            <v>36</v>
          </cell>
        </row>
        <row r="641">
          <cell r="J641">
            <v>0.16</v>
          </cell>
          <cell r="K641">
            <v>0.19700000000000001</v>
          </cell>
          <cell r="L641">
            <v>0.8</v>
          </cell>
          <cell r="M641">
            <v>8.9599999999999999E-2</v>
          </cell>
          <cell r="N641">
            <v>4</v>
          </cell>
          <cell r="O641">
            <v>28</v>
          </cell>
          <cell r="P641">
            <v>32</v>
          </cell>
        </row>
        <row r="642">
          <cell r="J642">
            <v>0.16</v>
          </cell>
          <cell r="K642">
            <v>0.19700000000000001</v>
          </cell>
          <cell r="L642">
            <v>0.8</v>
          </cell>
          <cell r="M642">
            <v>8.9599999999999999E-2</v>
          </cell>
          <cell r="N642">
            <v>3</v>
          </cell>
          <cell r="O642">
            <v>30</v>
          </cell>
          <cell r="P642">
            <v>33</v>
          </cell>
        </row>
        <row r="643">
          <cell r="J643">
            <v>0.16</v>
          </cell>
          <cell r="K643">
            <v>0.18179999999999999</v>
          </cell>
          <cell r="L643">
            <v>0.8</v>
          </cell>
          <cell r="M643">
            <v>0.1045</v>
          </cell>
          <cell r="N643">
            <v>0</v>
          </cell>
          <cell r="O643">
            <v>33</v>
          </cell>
          <cell r="P643">
            <v>33</v>
          </cell>
        </row>
        <row r="644">
          <cell r="J644">
            <v>0.14000000000000001</v>
          </cell>
          <cell r="K644">
            <v>0.21210000000000001</v>
          </cell>
          <cell r="L644">
            <v>0.8</v>
          </cell>
          <cell r="M644">
            <v>0</v>
          </cell>
          <cell r="N644">
            <v>7</v>
          </cell>
          <cell r="O644">
            <v>22</v>
          </cell>
          <cell r="P644">
            <v>29</v>
          </cell>
        </row>
        <row r="645">
          <cell r="J645">
            <v>0.16</v>
          </cell>
          <cell r="K645">
            <v>0.2273</v>
          </cell>
          <cell r="L645">
            <v>0.8</v>
          </cell>
          <cell r="M645">
            <v>0</v>
          </cell>
          <cell r="N645">
            <v>1</v>
          </cell>
          <cell r="O645">
            <v>10</v>
          </cell>
          <cell r="P645">
            <v>11</v>
          </cell>
        </row>
        <row r="646">
          <cell r="J646">
            <v>0.14000000000000001</v>
          </cell>
          <cell r="K646">
            <v>0.21210000000000001</v>
          </cell>
          <cell r="L646">
            <v>0.93</v>
          </cell>
          <cell r="M646">
            <v>0</v>
          </cell>
          <cell r="N646">
            <v>1</v>
          </cell>
          <cell r="O646">
            <v>7</v>
          </cell>
          <cell r="P646">
            <v>8</v>
          </cell>
        </row>
        <row r="647">
          <cell r="J647">
            <v>0.14000000000000001</v>
          </cell>
          <cell r="K647">
            <v>0.21210000000000001</v>
          </cell>
          <cell r="L647">
            <v>0.93</v>
          </cell>
          <cell r="M647">
            <v>0</v>
          </cell>
          <cell r="N647">
            <v>0</v>
          </cell>
          <cell r="O647">
            <v>1</v>
          </cell>
          <cell r="P647">
            <v>1</v>
          </cell>
        </row>
        <row r="648">
          <cell r="J648">
            <v>0.14000000000000001</v>
          </cell>
          <cell r="K648">
            <v>0.21210000000000001</v>
          </cell>
          <cell r="L648">
            <v>0.86</v>
          </cell>
          <cell r="M648">
            <v>0</v>
          </cell>
          <cell r="N648">
            <v>0</v>
          </cell>
          <cell r="O648">
            <v>3</v>
          </cell>
          <cell r="P648">
            <v>3</v>
          </cell>
        </row>
        <row r="649">
          <cell r="J649">
            <v>0.14000000000000001</v>
          </cell>
          <cell r="K649">
            <v>0.21210000000000001</v>
          </cell>
          <cell r="L649">
            <v>0.86</v>
          </cell>
          <cell r="M649">
            <v>0</v>
          </cell>
          <cell r="N649">
            <v>0</v>
          </cell>
          <cell r="O649">
            <v>3</v>
          </cell>
          <cell r="P649">
            <v>3</v>
          </cell>
        </row>
        <row r="650">
          <cell r="J650">
            <v>0.14000000000000001</v>
          </cell>
          <cell r="K650">
            <v>0.21210000000000001</v>
          </cell>
          <cell r="L650">
            <v>0.86</v>
          </cell>
          <cell r="M650">
            <v>0</v>
          </cell>
          <cell r="N650">
            <v>1</v>
          </cell>
          <cell r="O650">
            <v>11</v>
          </cell>
          <cell r="P650">
            <v>12</v>
          </cell>
        </row>
        <row r="651">
          <cell r="J651">
            <v>0.16</v>
          </cell>
          <cell r="K651">
            <v>0.2273</v>
          </cell>
          <cell r="L651">
            <v>0.8</v>
          </cell>
          <cell r="M651">
            <v>0</v>
          </cell>
          <cell r="N651">
            <v>4</v>
          </cell>
          <cell r="O651">
            <v>34</v>
          </cell>
          <cell r="P651">
            <v>38</v>
          </cell>
        </row>
        <row r="652">
          <cell r="J652">
            <v>0.18</v>
          </cell>
          <cell r="K652">
            <v>0.2424</v>
          </cell>
          <cell r="L652">
            <v>0.8</v>
          </cell>
          <cell r="M652">
            <v>0</v>
          </cell>
          <cell r="N652">
            <v>7</v>
          </cell>
          <cell r="O652">
            <v>57</v>
          </cell>
          <cell r="P652">
            <v>64</v>
          </cell>
        </row>
        <row r="653">
          <cell r="J653">
            <v>0.22</v>
          </cell>
          <cell r="K653">
            <v>0.2727</v>
          </cell>
          <cell r="L653">
            <v>0.75</v>
          </cell>
          <cell r="M653">
            <v>0</v>
          </cell>
          <cell r="N653">
            <v>9</v>
          </cell>
          <cell r="O653">
            <v>50</v>
          </cell>
          <cell r="P653">
            <v>59</v>
          </cell>
        </row>
        <row r="654">
          <cell r="J654">
            <v>0.3</v>
          </cell>
          <cell r="K654">
            <v>0.31819999999999998</v>
          </cell>
          <cell r="L654">
            <v>0.52</v>
          </cell>
          <cell r="M654">
            <v>0.1045</v>
          </cell>
          <cell r="N654">
            <v>10</v>
          </cell>
          <cell r="O654">
            <v>87</v>
          </cell>
          <cell r="P654">
            <v>97</v>
          </cell>
        </row>
        <row r="655">
          <cell r="J655">
            <v>0.28000000000000003</v>
          </cell>
          <cell r="K655">
            <v>0.28789999999999999</v>
          </cell>
          <cell r="L655">
            <v>0.61</v>
          </cell>
          <cell r="M655">
            <v>0.1045</v>
          </cell>
          <cell r="N655">
            <v>13</v>
          </cell>
          <cell r="O655">
            <v>71</v>
          </cell>
          <cell r="P655">
            <v>84</v>
          </cell>
        </row>
        <row r="656">
          <cell r="J656">
            <v>0.28000000000000003</v>
          </cell>
          <cell r="K656">
            <v>0.30299999999999999</v>
          </cell>
          <cell r="L656">
            <v>0.61</v>
          </cell>
          <cell r="M656">
            <v>8.9599999999999999E-2</v>
          </cell>
          <cell r="N656">
            <v>18</v>
          </cell>
          <cell r="O656">
            <v>104</v>
          </cell>
          <cell r="P656">
            <v>122</v>
          </cell>
        </row>
        <row r="657">
          <cell r="J657">
            <v>0.3</v>
          </cell>
          <cell r="K657">
            <v>0.33329999999999999</v>
          </cell>
          <cell r="L657">
            <v>0.56000000000000005</v>
          </cell>
          <cell r="M657">
            <v>0</v>
          </cell>
          <cell r="N657">
            <v>14</v>
          </cell>
          <cell r="O657">
            <v>95</v>
          </cell>
          <cell r="P657">
            <v>109</v>
          </cell>
        </row>
        <row r="658">
          <cell r="J658">
            <v>0.3</v>
          </cell>
          <cell r="K658">
            <v>0.33329999999999999</v>
          </cell>
          <cell r="L658">
            <v>0.56000000000000005</v>
          </cell>
          <cell r="M658">
            <v>0</v>
          </cell>
          <cell r="N658">
            <v>19</v>
          </cell>
          <cell r="O658">
            <v>104</v>
          </cell>
          <cell r="P658">
            <v>123</v>
          </cell>
        </row>
        <row r="659">
          <cell r="J659">
            <v>0.3</v>
          </cell>
          <cell r="K659">
            <v>0.28789999999999999</v>
          </cell>
          <cell r="L659">
            <v>0.56000000000000005</v>
          </cell>
          <cell r="M659">
            <v>0.19400000000000001</v>
          </cell>
          <cell r="N659">
            <v>6</v>
          </cell>
          <cell r="O659">
            <v>71</v>
          </cell>
          <cell r="P659">
            <v>77</v>
          </cell>
        </row>
        <row r="660">
          <cell r="J660">
            <v>0.26</v>
          </cell>
          <cell r="K660">
            <v>0.2576</v>
          </cell>
          <cell r="L660">
            <v>0.65</v>
          </cell>
          <cell r="M660">
            <v>0.16420000000000001</v>
          </cell>
          <cell r="N660">
            <v>8</v>
          </cell>
          <cell r="O660">
            <v>57</v>
          </cell>
          <cell r="P660">
            <v>65</v>
          </cell>
        </row>
        <row r="661">
          <cell r="J661">
            <v>0.26</v>
          </cell>
          <cell r="K661">
            <v>0.2576</v>
          </cell>
          <cell r="L661">
            <v>0.65</v>
          </cell>
          <cell r="M661">
            <v>0.19400000000000001</v>
          </cell>
          <cell r="N661">
            <v>9</v>
          </cell>
          <cell r="O661">
            <v>46</v>
          </cell>
          <cell r="P661">
            <v>55</v>
          </cell>
        </row>
        <row r="662">
          <cell r="J662">
            <v>0.26</v>
          </cell>
          <cell r="K662">
            <v>0.2727</v>
          </cell>
          <cell r="L662">
            <v>0.65</v>
          </cell>
          <cell r="M662">
            <v>0.1045</v>
          </cell>
          <cell r="N662">
            <v>3</v>
          </cell>
          <cell r="O662">
            <v>30</v>
          </cell>
          <cell r="P662">
            <v>33</v>
          </cell>
        </row>
        <row r="663">
          <cell r="J663">
            <v>0.24</v>
          </cell>
          <cell r="K663">
            <v>0.2424</v>
          </cell>
          <cell r="L663">
            <v>0.7</v>
          </cell>
          <cell r="M663">
            <v>0.16420000000000001</v>
          </cell>
          <cell r="N663">
            <v>3</v>
          </cell>
          <cell r="O663">
            <v>25</v>
          </cell>
          <cell r="P663">
            <v>28</v>
          </cell>
        </row>
        <row r="664">
          <cell r="J664">
            <v>0.24</v>
          </cell>
          <cell r="K664">
            <v>0.2273</v>
          </cell>
          <cell r="L664">
            <v>0.7</v>
          </cell>
          <cell r="M664">
            <v>0.19400000000000001</v>
          </cell>
          <cell r="N664">
            <v>2</v>
          </cell>
          <cell r="O664">
            <v>19</v>
          </cell>
          <cell r="P664">
            <v>21</v>
          </cell>
        </row>
        <row r="665">
          <cell r="J665">
            <v>0.24</v>
          </cell>
          <cell r="K665">
            <v>0.21210000000000001</v>
          </cell>
          <cell r="L665">
            <v>0.65</v>
          </cell>
          <cell r="M665">
            <v>0.28360000000000002</v>
          </cell>
          <cell r="N665">
            <v>5</v>
          </cell>
          <cell r="O665">
            <v>16</v>
          </cell>
          <cell r="P665">
            <v>21</v>
          </cell>
        </row>
        <row r="666">
          <cell r="J666">
            <v>0.24</v>
          </cell>
          <cell r="K666">
            <v>0.2273</v>
          </cell>
          <cell r="L666">
            <v>0.65</v>
          </cell>
          <cell r="M666">
            <v>0.22389999999999999</v>
          </cell>
          <cell r="N666">
            <v>1</v>
          </cell>
          <cell r="O666">
            <v>6</v>
          </cell>
          <cell r="P666">
            <v>7</v>
          </cell>
        </row>
        <row r="667">
          <cell r="J667">
            <v>0.22</v>
          </cell>
          <cell r="K667">
            <v>0.21210000000000001</v>
          </cell>
          <cell r="L667">
            <v>0.64</v>
          </cell>
          <cell r="M667">
            <v>0.25369999999999998</v>
          </cell>
          <cell r="N667">
            <v>2</v>
          </cell>
          <cell r="O667">
            <v>5</v>
          </cell>
          <cell r="P667">
            <v>7</v>
          </cell>
        </row>
        <row r="668">
          <cell r="J668">
            <v>0.22</v>
          </cell>
          <cell r="K668">
            <v>0.2273</v>
          </cell>
          <cell r="L668">
            <v>0.64</v>
          </cell>
          <cell r="M668">
            <v>0.19400000000000001</v>
          </cell>
          <cell r="N668">
            <v>0</v>
          </cell>
          <cell r="O668">
            <v>1</v>
          </cell>
          <cell r="P668">
            <v>1</v>
          </cell>
        </row>
        <row r="669">
          <cell r="J669">
            <v>0.22</v>
          </cell>
          <cell r="K669">
            <v>0.2273</v>
          </cell>
          <cell r="L669">
            <v>0.64</v>
          </cell>
          <cell r="M669">
            <v>0.19400000000000001</v>
          </cell>
          <cell r="N669">
            <v>0</v>
          </cell>
          <cell r="O669">
            <v>2</v>
          </cell>
          <cell r="P669">
            <v>2</v>
          </cell>
        </row>
        <row r="670">
          <cell r="J670">
            <v>0.2</v>
          </cell>
          <cell r="K670">
            <v>0.19700000000000001</v>
          </cell>
          <cell r="L670">
            <v>0.59</v>
          </cell>
          <cell r="M670">
            <v>0.22389999999999999</v>
          </cell>
          <cell r="N670">
            <v>0</v>
          </cell>
          <cell r="O670">
            <v>2</v>
          </cell>
          <cell r="P670">
            <v>2</v>
          </cell>
        </row>
        <row r="671">
          <cell r="J671">
            <v>0.18</v>
          </cell>
          <cell r="K671">
            <v>0.16669999999999999</v>
          </cell>
          <cell r="L671">
            <v>0.64</v>
          </cell>
          <cell r="M671">
            <v>0.28360000000000002</v>
          </cell>
          <cell r="N671">
            <v>0</v>
          </cell>
          <cell r="O671">
            <v>8</v>
          </cell>
          <cell r="P671">
            <v>8</v>
          </cell>
        </row>
        <row r="672">
          <cell r="J672">
            <v>0.16</v>
          </cell>
          <cell r="K672">
            <v>0.13639999999999999</v>
          </cell>
          <cell r="L672">
            <v>0.69</v>
          </cell>
          <cell r="M672">
            <v>0.32840000000000003</v>
          </cell>
          <cell r="N672">
            <v>0</v>
          </cell>
          <cell r="O672">
            <v>37</v>
          </cell>
          <cell r="P672">
            <v>37</v>
          </cell>
        </row>
        <row r="673">
          <cell r="J673">
            <v>0.16</v>
          </cell>
          <cell r="K673">
            <v>0.13639999999999999</v>
          </cell>
          <cell r="L673">
            <v>0.64</v>
          </cell>
          <cell r="M673">
            <v>0.28360000000000002</v>
          </cell>
          <cell r="N673">
            <v>1</v>
          </cell>
          <cell r="O673">
            <v>71</v>
          </cell>
          <cell r="P673">
            <v>72</v>
          </cell>
        </row>
        <row r="674">
          <cell r="J674">
            <v>0.16</v>
          </cell>
          <cell r="K674">
            <v>0.13639999999999999</v>
          </cell>
          <cell r="L674">
            <v>0.59</v>
          </cell>
          <cell r="M674">
            <v>0.28360000000000002</v>
          </cell>
          <cell r="N674">
            <v>3</v>
          </cell>
          <cell r="O674">
            <v>182</v>
          </cell>
          <cell r="P674">
            <v>185</v>
          </cell>
        </row>
        <row r="675">
          <cell r="J675">
            <v>0.16</v>
          </cell>
          <cell r="K675">
            <v>0.13639999999999999</v>
          </cell>
          <cell r="L675">
            <v>0.59</v>
          </cell>
          <cell r="M675">
            <v>0.29849999999999999</v>
          </cell>
          <cell r="N675">
            <v>0</v>
          </cell>
          <cell r="O675">
            <v>112</v>
          </cell>
          <cell r="P675">
            <v>112</v>
          </cell>
        </row>
        <row r="676">
          <cell r="J676">
            <v>0.16</v>
          </cell>
          <cell r="K676">
            <v>0.1515</v>
          </cell>
          <cell r="L676">
            <v>0.59</v>
          </cell>
          <cell r="M676">
            <v>0.19400000000000001</v>
          </cell>
          <cell r="N676">
            <v>1</v>
          </cell>
          <cell r="O676">
            <v>68</v>
          </cell>
          <cell r="P676">
            <v>69</v>
          </cell>
        </row>
        <row r="677">
          <cell r="J677">
            <v>0.16</v>
          </cell>
          <cell r="K677">
            <v>0.1515</v>
          </cell>
          <cell r="L677">
            <v>0.59</v>
          </cell>
          <cell r="M677">
            <v>0.19400000000000001</v>
          </cell>
          <cell r="N677">
            <v>2</v>
          </cell>
          <cell r="O677">
            <v>46</v>
          </cell>
          <cell r="P677">
            <v>48</v>
          </cell>
        </row>
        <row r="678">
          <cell r="J678">
            <v>0.18</v>
          </cell>
          <cell r="K678">
            <v>0.21210000000000001</v>
          </cell>
          <cell r="L678">
            <v>0.55000000000000004</v>
          </cell>
          <cell r="M678">
            <v>0.1045</v>
          </cell>
          <cell r="N678">
            <v>6</v>
          </cell>
          <cell r="O678">
            <v>62</v>
          </cell>
          <cell r="P678">
            <v>68</v>
          </cell>
        </row>
        <row r="679">
          <cell r="J679">
            <v>0.16</v>
          </cell>
          <cell r="K679">
            <v>0.2273</v>
          </cell>
          <cell r="L679">
            <v>0.59</v>
          </cell>
          <cell r="M679">
            <v>0</v>
          </cell>
          <cell r="N679">
            <v>2</v>
          </cell>
          <cell r="O679">
            <v>52</v>
          </cell>
          <cell r="P679">
            <v>54</v>
          </cell>
        </row>
        <row r="680">
          <cell r="J680">
            <v>0.18</v>
          </cell>
          <cell r="K680">
            <v>0.19700000000000001</v>
          </cell>
          <cell r="L680">
            <v>0.55000000000000004</v>
          </cell>
          <cell r="M680">
            <v>0.1343</v>
          </cell>
          <cell r="N680">
            <v>1</v>
          </cell>
          <cell r="O680">
            <v>85</v>
          </cell>
          <cell r="P680">
            <v>86</v>
          </cell>
        </row>
        <row r="681">
          <cell r="J681">
            <v>0.16</v>
          </cell>
          <cell r="K681">
            <v>0.18179999999999999</v>
          </cell>
          <cell r="L681">
            <v>0.59</v>
          </cell>
          <cell r="M681">
            <v>0.1343</v>
          </cell>
          <cell r="N681">
            <v>3</v>
          </cell>
          <cell r="O681">
            <v>41</v>
          </cell>
          <cell r="P681">
            <v>44</v>
          </cell>
        </row>
        <row r="682">
          <cell r="J682">
            <v>0.16</v>
          </cell>
          <cell r="K682">
            <v>0.18179999999999999</v>
          </cell>
          <cell r="L682">
            <v>0.56000000000000005</v>
          </cell>
          <cell r="M682">
            <v>0.19400000000000001</v>
          </cell>
          <cell r="N682">
            <v>3</v>
          </cell>
          <cell r="O682">
            <v>83</v>
          </cell>
          <cell r="P682">
            <v>86</v>
          </cell>
        </row>
        <row r="683">
          <cell r="J683">
            <v>0.16</v>
          </cell>
          <cell r="K683">
            <v>0.1515</v>
          </cell>
          <cell r="L683">
            <v>0.59</v>
          </cell>
          <cell r="M683">
            <v>0.19400000000000001</v>
          </cell>
          <cell r="N683">
            <v>6</v>
          </cell>
          <cell r="O683">
            <v>155</v>
          </cell>
          <cell r="P683">
            <v>161</v>
          </cell>
        </row>
        <row r="684">
          <cell r="J684">
            <v>0.16</v>
          </cell>
          <cell r="K684">
            <v>0.1515</v>
          </cell>
          <cell r="L684">
            <v>0.55000000000000004</v>
          </cell>
          <cell r="M684">
            <v>0.22389999999999999</v>
          </cell>
          <cell r="N684">
            <v>3</v>
          </cell>
          <cell r="O684">
            <v>153</v>
          </cell>
          <cell r="P684">
            <v>156</v>
          </cell>
        </row>
        <row r="685">
          <cell r="J685">
            <v>0.3</v>
          </cell>
          <cell r="K685">
            <v>0.31819999999999998</v>
          </cell>
          <cell r="L685">
            <v>0.61</v>
          </cell>
          <cell r="M685">
            <v>0.1045</v>
          </cell>
          <cell r="N685">
            <v>3</v>
          </cell>
          <cell r="O685">
            <v>108</v>
          </cell>
          <cell r="P685">
            <v>111</v>
          </cell>
        </row>
        <row r="686">
          <cell r="J686">
            <v>0.16</v>
          </cell>
          <cell r="K686">
            <v>0.16669999999999999</v>
          </cell>
          <cell r="L686">
            <v>0.59</v>
          </cell>
          <cell r="M686">
            <v>0.16420000000000001</v>
          </cell>
          <cell r="N686">
            <v>0</v>
          </cell>
          <cell r="O686">
            <v>78</v>
          </cell>
          <cell r="P686">
            <v>78</v>
          </cell>
        </row>
        <row r="687">
          <cell r="J687">
            <v>0.16</v>
          </cell>
          <cell r="K687">
            <v>0.19700000000000001</v>
          </cell>
          <cell r="L687">
            <v>0.59</v>
          </cell>
          <cell r="M687">
            <v>8.9599999999999999E-2</v>
          </cell>
          <cell r="N687">
            <v>3</v>
          </cell>
          <cell r="O687">
            <v>53</v>
          </cell>
          <cell r="P687">
            <v>56</v>
          </cell>
        </row>
        <row r="688">
          <cell r="J688">
            <v>0.16</v>
          </cell>
          <cell r="K688">
            <v>0.18179999999999999</v>
          </cell>
          <cell r="L688">
            <v>0.59</v>
          </cell>
          <cell r="M688">
            <v>0.1045</v>
          </cell>
          <cell r="N688">
            <v>0</v>
          </cell>
          <cell r="O688">
            <v>34</v>
          </cell>
          <cell r="P688">
            <v>34</v>
          </cell>
        </row>
        <row r="689">
          <cell r="J689">
            <v>0.16</v>
          </cell>
          <cell r="K689">
            <v>0.19700000000000001</v>
          </cell>
          <cell r="L689">
            <v>0.64</v>
          </cell>
          <cell r="M689">
            <v>8.9599999999999999E-2</v>
          </cell>
          <cell r="N689">
            <v>2</v>
          </cell>
          <cell r="O689">
            <v>15</v>
          </cell>
          <cell r="P689">
            <v>17</v>
          </cell>
        </row>
        <row r="690">
          <cell r="J690">
            <v>0.16</v>
          </cell>
          <cell r="K690">
            <v>0.18179999999999999</v>
          </cell>
          <cell r="L690">
            <v>0.64</v>
          </cell>
          <cell r="M690">
            <v>0.1045</v>
          </cell>
          <cell r="N690">
            <v>2</v>
          </cell>
          <cell r="O690">
            <v>6</v>
          </cell>
          <cell r="P690">
            <v>8</v>
          </cell>
        </row>
        <row r="691">
          <cell r="J691">
            <v>0.16</v>
          </cell>
          <cell r="K691">
            <v>0.18179999999999999</v>
          </cell>
          <cell r="L691">
            <v>0.69</v>
          </cell>
          <cell r="M691">
            <v>0.1045</v>
          </cell>
          <cell r="N691">
            <v>0</v>
          </cell>
          <cell r="O691">
            <v>3</v>
          </cell>
          <cell r="P691">
            <v>3</v>
          </cell>
        </row>
        <row r="692">
          <cell r="J692">
            <v>0.16</v>
          </cell>
          <cell r="K692">
            <v>0.2273</v>
          </cell>
          <cell r="L692">
            <v>0.69</v>
          </cell>
          <cell r="M692">
            <v>0</v>
          </cell>
          <cell r="N692">
            <v>0</v>
          </cell>
          <cell r="O692">
            <v>2</v>
          </cell>
          <cell r="P692">
            <v>2</v>
          </cell>
        </row>
        <row r="693">
          <cell r="J693">
            <v>0.16</v>
          </cell>
          <cell r="K693">
            <v>0.2273</v>
          </cell>
          <cell r="L693">
            <v>0.69</v>
          </cell>
          <cell r="M693">
            <v>0</v>
          </cell>
          <cell r="N693">
            <v>0</v>
          </cell>
          <cell r="O693">
            <v>2</v>
          </cell>
          <cell r="P693">
            <v>2</v>
          </cell>
        </row>
        <row r="694">
          <cell r="J694">
            <v>0.14000000000000001</v>
          </cell>
          <cell r="K694">
            <v>0.21210000000000001</v>
          </cell>
          <cell r="L694">
            <v>0.93</v>
          </cell>
          <cell r="M694">
            <v>0</v>
          </cell>
          <cell r="N694">
            <v>0</v>
          </cell>
          <cell r="O694">
            <v>3</v>
          </cell>
          <cell r="P694">
            <v>3</v>
          </cell>
        </row>
        <row r="695">
          <cell r="J695">
            <v>0.14000000000000001</v>
          </cell>
          <cell r="K695">
            <v>0.21210000000000001</v>
          </cell>
          <cell r="L695">
            <v>0.93</v>
          </cell>
          <cell r="M695">
            <v>0</v>
          </cell>
          <cell r="N695">
            <v>0</v>
          </cell>
          <cell r="O695">
            <v>22</v>
          </cell>
          <cell r="P695">
            <v>22</v>
          </cell>
        </row>
        <row r="696">
          <cell r="J696">
            <v>0.16</v>
          </cell>
          <cell r="K696">
            <v>0.2273</v>
          </cell>
          <cell r="L696">
            <v>0.93</v>
          </cell>
          <cell r="M696">
            <v>0</v>
          </cell>
          <cell r="N696">
            <v>0</v>
          </cell>
          <cell r="O696">
            <v>52</v>
          </cell>
          <cell r="P696">
            <v>52</v>
          </cell>
        </row>
        <row r="697">
          <cell r="J697">
            <v>0.16</v>
          </cell>
          <cell r="K697">
            <v>0.2273</v>
          </cell>
          <cell r="L697">
            <v>0.93</v>
          </cell>
          <cell r="M697">
            <v>0</v>
          </cell>
          <cell r="N697">
            <v>3</v>
          </cell>
          <cell r="O697">
            <v>132</v>
          </cell>
          <cell r="P697">
            <v>135</v>
          </cell>
        </row>
        <row r="698">
          <cell r="J698">
            <v>0.16</v>
          </cell>
          <cell r="K698">
            <v>0.2273</v>
          </cell>
          <cell r="L698">
            <v>0.93</v>
          </cell>
          <cell r="M698">
            <v>0</v>
          </cell>
          <cell r="N698">
            <v>2</v>
          </cell>
          <cell r="O698">
            <v>114</v>
          </cell>
          <cell r="P698">
            <v>116</v>
          </cell>
        </row>
        <row r="699">
          <cell r="J699">
            <v>0.16</v>
          </cell>
          <cell r="K699">
            <v>0.2273</v>
          </cell>
          <cell r="L699">
            <v>0.93</v>
          </cell>
          <cell r="M699">
            <v>0</v>
          </cell>
          <cell r="N699">
            <v>0</v>
          </cell>
          <cell r="O699">
            <v>47</v>
          </cell>
          <cell r="P699">
            <v>47</v>
          </cell>
        </row>
        <row r="700">
          <cell r="J700">
            <v>0.18</v>
          </cell>
          <cell r="K700">
            <v>0.2424</v>
          </cell>
          <cell r="L700">
            <v>0.86</v>
          </cell>
          <cell r="M700">
            <v>0</v>
          </cell>
          <cell r="N700">
            <v>2</v>
          </cell>
          <cell r="O700">
            <v>49</v>
          </cell>
          <cell r="P700">
            <v>51</v>
          </cell>
        </row>
        <row r="701">
          <cell r="J701">
            <v>0.2</v>
          </cell>
          <cell r="K701">
            <v>0.2576</v>
          </cell>
          <cell r="L701">
            <v>0.86</v>
          </cell>
          <cell r="M701">
            <v>0</v>
          </cell>
          <cell r="N701">
            <v>2</v>
          </cell>
          <cell r="O701">
            <v>53</v>
          </cell>
          <cell r="P701">
            <v>55</v>
          </cell>
        </row>
        <row r="702">
          <cell r="J702">
            <v>0.2</v>
          </cell>
          <cell r="K702">
            <v>0.2576</v>
          </cell>
          <cell r="L702">
            <v>0.86</v>
          </cell>
          <cell r="M702">
            <v>0</v>
          </cell>
          <cell r="N702">
            <v>3</v>
          </cell>
          <cell r="O702">
            <v>49</v>
          </cell>
          <cell r="P702">
            <v>52</v>
          </cell>
        </row>
        <row r="703">
          <cell r="J703">
            <v>0.22</v>
          </cell>
          <cell r="K703">
            <v>0.2576</v>
          </cell>
          <cell r="L703">
            <v>0.8</v>
          </cell>
          <cell r="M703">
            <v>8.9599999999999999E-2</v>
          </cell>
          <cell r="N703">
            <v>5</v>
          </cell>
          <cell r="O703">
            <v>49</v>
          </cell>
          <cell r="P703">
            <v>54</v>
          </cell>
        </row>
        <row r="704">
          <cell r="J704">
            <v>0.24</v>
          </cell>
          <cell r="K704">
            <v>0.28789999999999999</v>
          </cell>
          <cell r="L704">
            <v>0.75</v>
          </cell>
          <cell r="M704">
            <v>0</v>
          </cell>
          <cell r="N704">
            <v>7</v>
          </cell>
          <cell r="O704">
            <v>45</v>
          </cell>
          <cell r="P704">
            <v>52</v>
          </cell>
        </row>
        <row r="705">
          <cell r="J705">
            <v>0.24</v>
          </cell>
          <cell r="K705">
            <v>0.2424</v>
          </cell>
          <cell r="L705">
            <v>0.75</v>
          </cell>
          <cell r="M705">
            <v>0.1343</v>
          </cell>
          <cell r="N705">
            <v>3</v>
          </cell>
          <cell r="O705">
            <v>61</v>
          </cell>
          <cell r="P705">
            <v>64</v>
          </cell>
        </row>
        <row r="706">
          <cell r="J706">
            <v>0.24</v>
          </cell>
          <cell r="K706">
            <v>0.28789999999999999</v>
          </cell>
          <cell r="L706">
            <v>0.75</v>
          </cell>
          <cell r="M706">
            <v>0</v>
          </cell>
          <cell r="N706">
            <v>4</v>
          </cell>
          <cell r="O706">
            <v>172</v>
          </cell>
          <cell r="P706">
            <v>176</v>
          </cell>
        </row>
        <row r="707">
          <cell r="J707">
            <v>0.24</v>
          </cell>
          <cell r="K707">
            <v>0.2576</v>
          </cell>
          <cell r="L707">
            <v>0.81</v>
          </cell>
          <cell r="M707">
            <v>0.1045</v>
          </cell>
          <cell r="N707">
            <v>3</v>
          </cell>
          <cell r="O707">
            <v>165</v>
          </cell>
          <cell r="P707">
            <v>168</v>
          </cell>
        </row>
        <row r="708">
          <cell r="J708">
            <v>0.24</v>
          </cell>
          <cell r="K708">
            <v>0.2424</v>
          </cell>
          <cell r="L708">
            <v>0.81</v>
          </cell>
          <cell r="M708">
            <v>0.1343</v>
          </cell>
          <cell r="N708">
            <v>3</v>
          </cell>
          <cell r="O708">
            <v>105</v>
          </cell>
          <cell r="P708">
            <v>108</v>
          </cell>
        </row>
        <row r="709">
          <cell r="J709">
            <v>0.22</v>
          </cell>
          <cell r="K709">
            <v>0.2273</v>
          </cell>
          <cell r="L709">
            <v>0.87</v>
          </cell>
          <cell r="M709">
            <v>0.1343</v>
          </cell>
          <cell r="N709">
            <v>5</v>
          </cell>
          <cell r="O709">
            <v>69</v>
          </cell>
          <cell r="P709">
            <v>74</v>
          </cell>
        </row>
        <row r="710">
          <cell r="J710">
            <v>0.22</v>
          </cell>
          <cell r="K710">
            <v>0.2273</v>
          </cell>
          <cell r="L710">
            <v>0.87</v>
          </cell>
          <cell r="M710">
            <v>0.1343</v>
          </cell>
          <cell r="N710">
            <v>0</v>
          </cell>
          <cell r="O710">
            <v>64</v>
          </cell>
          <cell r="P710">
            <v>64</v>
          </cell>
        </row>
        <row r="711">
          <cell r="J711">
            <v>0.22</v>
          </cell>
          <cell r="K711">
            <v>0.2576</v>
          </cell>
          <cell r="L711">
            <v>0.87</v>
          </cell>
          <cell r="M711">
            <v>8.9599999999999999E-2</v>
          </cell>
          <cell r="N711">
            <v>2</v>
          </cell>
          <cell r="O711">
            <v>34</v>
          </cell>
          <cell r="P711">
            <v>36</v>
          </cell>
        </row>
        <row r="712">
          <cell r="J712">
            <v>0.2</v>
          </cell>
          <cell r="K712">
            <v>0.19700000000000001</v>
          </cell>
          <cell r="L712">
            <v>0.93</v>
          </cell>
          <cell r="M712">
            <v>0.19400000000000001</v>
          </cell>
          <cell r="N712">
            <v>1</v>
          </cell>
          <cell r="O712">
            <v>15</v>
          </cell>
          <cell r="P712">
            <v>16</v>
          </cell>
        </row>
        <row r="713">
          <cell r="J713">
            <v>0.22</v>
          </cell>
          <cell r="K713">
            <v>0.2424</v>
          </cell>
          <cell r="L713">
            <v>0.93</v>
          </cell>
          <cell r="M713">
            <v>0.1045</v>
          </cell>
          <cell r="N713">
            <v>0</v>
          </cell>
          <cell r="O713">
            <v>2</v>
          </cell>
          <cell r="P713">
            <v>2</v>
          </cell>
        </row>
        <row r="714">
          <cell r="J714">
            <v>0.22</v>
          </cell>
          <cell r="K714">
            <v>0.2273</v>
          </cell>
          <cell r="L714">
            <v>0.93</v>
          </cell>
          <cell r="M714">
            <v>0.19400000000000001</v>
          </cell>
          <cell r="N714">
            <v>0</v>
          </cell>
          <cell r="O714">
            <v>3</v>
          </cell>
          <cell r="P714">
            <v>3</v>
          </cell>
        </row>
        <row r="715">
          <cell r="J715">
            <v>0.22</v>
          </cell>
          <cell r="K715">
            <v>0.2273</v>
          </cell>
          <cell r="L715">
            <v>0.93</v>
          </cell>
          <cell r="M715">
            <v>0.1343</v>
          </cell>
          <cell r="N715">
            <v>4</v>
          </cell>
          <cell r="O715">
            <v>0</v>
          </cell>
          <cell r="P715">
            <v>4</v>
          </cell>
        </row>
        <row r="716">
          <cell r="J716">
            <v>0.22</v>
          </cell>
          <cell r="K716">
            <v>0.2273</v>
          </cell>
          <cell r="L716">
            <v>0.93</v>
          </cell>
          <cell r="M716">
            <v>0.1343</v>
          </cell>
          <cell r="N716">
            <v>0</v>
          </cell>
          <cell r="O716">
            <v>1</v>
          </cell>
          <cell r="P716">
            <v>1</v>
          </cell>
        </row>
        <row r="717">
          <cell r="J717">
            <v>0.22</v>
          </cell>
          <cell r="K717">
            <v>0.21210000000000001</v>
          </cell>
          <cell r="L717">
            <v>0.93</v>
          </cell>
          <cell r="M717">
            <v>0.28360000000000002</v>
          </cell>
          <cell r="N717">
            <v>0</v>
          </cell>
          <cell r="O717">
            <v>1</v>
          </cell>
          <cell r="P717">
            <v>1</v>
          </cell>
        </row>
        <row r="718">
          <cell r="J718">
            <v>0.22</v>
          </cell>
          <cell r="K718">
            <v>0.2424</v>
          </cell>
          <cell r="L718">
            <v>0.93</v>
          </cell>
          <cell r="M718">
            <v>0.1045</v>
          </cell>
          <cell r="N718">
            <v>0</v>
          </cell>
          <cell r="O718">
            <v>3</v>
          </cell>
          <cell r="P718">
            <v>3</v>
          </cell>
        </row>
        <row r="719">
          <cell r="J719">
            <v>0.22</v>
          </cell>
          <cell r="K719">
            <v>0.2424</v>
          </cell>
          <cell r="L719">
            <v>0.93</v>
          </cell>
          <cell r="M719">
            <v>0.1045</v>
          </cell>
          <cell r="N719">
            <v>1</v>
          </cell>
          <cell r="O719">
            <v>17</v>
          </cell>
          <cell r="P719">
            <v>18</v>
          </cell>
        </row>
        <row r="720">
          <cell r="J720">
            <v>0.22</v>
          </cell>
          <cell r="K720">
            <v>0.21210000000000001</v>
          </cell>
          <cell r="L720">
            <v>0.93</v>
          </cell>
          <cell r="M720">
            <v>0.22389999999999999</v>
          </cell>
          <cell r="N720">
            <v>1</v>
          </cell>
          <cell r="O720">
            <v>48</v>
          </cell>
          <cell r="P720">
            <v>49</v>
          </cell>
        </row>
        <row r="721">
          <cell r="J721">
            <v>0.22</v>
          </cell>
          <cell r="K721">
            <v>0.21210000000000001</v>
          </cell>
          <cell r="L721">
            <v>0.93</v>
          </cell>
          <cell r="M721">
            <v>0.22389999999999999</v>
          </cell>
          <cell r="N721">
            <v>1</v>
          </cell>
          <cell r="O721">
            <v>154</v>
          </cell>
          <cell r="P721">
            <v>155</v>
          </cell>
        </row>
        <row r="722">
          <cell r="J722">
            <v>0.24</v>
          </cell>
          <cell r="K722">
            <v>0.2576</v>
          </cell>
          <cell r="L722">
            <v>0.93</v>
          </cell>
          <cell r="M722">
            <v>8.9599999999999999E-2</v>
          </cell>
          <cell r="N722">
            <v>4</v>
          </cell>
          <cell r="O722">
            <v>119</v>
          </cell>
          <cell r="P722">
            <v>123</v>
          </cell>
        </row>
        <row r="723">
          <cell r="J723">
            <v>0.22</v>
          </cell>
          <cell r="K723">
            <v>0.2727</v>
          </cell>
          <cell r="L723">
            <v>1</v>
          </cell>
          <cell r="M723">
            <v>0</v>
          </cell>
          <cell r="N723">
            <v>2</v>
          </cell>
          <cell r="O723">
            <v>59</v>
          </cell>
          <cell r="P723">
            <v>61</v>
          </cell>
        </row>
        <row r="724">
          <cell r="J724">
            <v>0.24</v>
          </cell>
          <cell r="K724">
            <v>0.2273</v>
          </cell>
          <cell r="L724">
            <v>0.93</v>
          </cell>
          <cell r="M724">
            <v>0.19400000000000001</v>
          </cell>
          <cell r="N724">
            <v>5</v>
          </cell>
          <cell r="O724">
            <v>47</v>
          </cell>
          <cell r="P724">
            <v>52</v>
          </cell>
        </row>
        <row r="725">
          <cell r="J725">
            <v>0.24</v>
          </cell>
          <cell r="K725">
            <v>0.2273</v>
          </cell>
          <cell r="L725">
            <v>0.93</v>
          </cell>
          <cell r="M725">
            <v>0.22389999999999999</v>
          </cell>
          <cell r="N725">
            <v>3</v>
          </cell>
          <cell r="O725">
            <v>61</v>
          </cell>
          <cell r="P725">
            <v>64</v>
          </cell>
        </row>
        <row r="726">
          <cell r="J726">
            <v>0.34</v>
          </cell>
          <cell r="K726">
            <v>0.33329999999999999</v>
          </cell>
          <cell r="L726">
            <v>0.93</v>
          </cell>
          <cell r="M726">
            <v>0.16420000000000001</v>
          </cell>
          <cell r="N726">
            <v>1</v>
          </cell>
          <cell r="O726">
            <v>74</v>
          </cell>
          <cell r="P726">
            <v>75</v>
          </cell>
        </row>
        <row r="727">
          <cell r="J727">
            <v>0.38</v>
          </cell>
          <cell r="K727">
            <v>0.39389999999999997</v>
          </cell>
          <cell r="L727">
            <v>0.82</v>
          </cell>
          <cell r="M727">
            <v>0.3881</v>
          </cell>
          <cell r="N727">
            <v>2</v>
          </cell>
          <cell r="O727">
            <v>61</v>
          </cell>
          <cell r="P727">
            <v>63</v>
          </cell>
        </row>
        <row r="728">
          <cell r="J728">
            <v>0.38</v>
          </cell>
          <cell r="K728">
            <v>0.39389999999999997</v>
          </cell>
          <cell r="L728">
            <v>0.76</v>
          </cell>
          <cell r="M728">
            <v>0.32840000000000003</v>
          </cell>
          <cell r="N728">
            <v>10</v>
          </cell>
          <cell r="O728">
            <v>66</v>
          </cell>
          <cell r="P728">
            <v>76</v>
          </cell>
        </row>
        <row r="729">
          <cell r="J729">
            <v>0.36</v>
          </cell>
          <cell r="K729">
            <v>0.33329999999999999</v>
          </cell>
          <cell r="L729">
            <v>0.71</v>
          </cell>
          <cell r="M729">
            <v>0.29849999999999999</v>
          </cell>
          <cell r="N729">
            <v>8</v>
          </cell>
          <cell r="O729">
            <v>95</v>
          </cell>
          <cell r="P729">
            <v>103</v>
          </cell>
        </row>
        <row r="730">
          <cell r="J730">
            <v>0.36</v>
          </cell>
          <cell r="K730">
            <v>0.31819999999999998</v>
          </cell>
          <cell r="L730">
            <v>0.53</v>
          </cell>
          <cell r="M730">
            <v>0.52239999999999998</v>
          </cell>
          <cell r="N730">
            <v>7</v>
          </cell>
          <cell r="O730">
            <v>183</v>
          </cell>
          <cell r="P730">
            <v>190</v>
          </cell>
        </row>
        <row r="731">
          <cell r="J731">
            <v>0.34</v>
          </cell>
          <cell r="K731">
            <v>0.28789999999999999</v>
          </cell>
          <cell r="L731">
            <v>0.42</v>
          </cell>
          <cell r="M731">
            <v>0.55220000000000002</v>
          </cell>
          <cell r="N731">
            <v>7</v>
          </cell>
          <cell r="O731">
            <v>175</v>
          </cell>
          <cell r="P731">
            <v>182</v>
          </cell>
        </row>
        <row r="732">
          <cell r="J732">
            <v>0.28000000000000003</v>
          </cell>
          <cell r="K732">
            <v>0.2424</v>
          </cell>
          <cell r="L732">
            <v>0.45</v>
          </cell>
          <cell r="M732">
            <v>0.49249999999999999</v>
          </cell>
          <cell r="N732">
            <v>3</v>
          </cell>
          <cell r="O732">
            <v>88</v>
          </cell>
          <cell r="P732">
            <v>91</v>
          </cell>
        </row>
        <row r="733">
          <cell r="J733">
            <v>0.24</v>
          </cell>
          <cell r="K733">
            <v>0.19700000000000001</v>
          </cell>
          <cell r="L733">
            <v>0.48</v>
          </cell>
          <cell r="M733">
            <v>0.55220000000000002</v>
          </cell>
          <cell r="N733">
            <v>4</v>
          </cell>
          <cell r="O733">
            <v>71</v>
          </cell>
          <cell r="P733">
            <v>75</v>
          </cell>
        </row>
        <row r="734">
          <cell r="J734">
            <v>0.22</v>
          </cell>
          <cell r="K734">
            <v>0.19700000000000001</v>
          </cell>
          <cell r="L734">
            <v>0.47</v>
          </cell>
          <cell r="M734">
            <v>0.32840000000000003</v>
          </cell>
          <cell r="N734">
            <v>1</v>
          </cell>
          <cell r="O734">
            <v>62</v>
          </cell>
          <cell r="P734">
            <v>63</v>
          </cell>
        </row>
        <row r="735">
          <cell r="J735">
            <v>0.22</v>
          </cell>
          <cell r="K735">
            <v>0.21210000000000001</v>
          </cell>
          <cell r="L735">
            <v>0.44</v>
          </cell>
          <cell r="M735">
            <v>0.25369999999999998</v>
          </cell>
          <cell r="N735">
            <v>5</v>
          </cell>
          <cell r="O735">
            <v>35</v>
          </cell>
          <cell r="P735">
            <v>40</v>
          </cell>
        </row>
        <row r="736">
          <cell r="J736">
            <v>0.2</v>
          </cell>
          <cell r="K736">
            <v>0.16669999999999999</v>
          </cell>
          <cell r="L736">
            <v>0.44</v>
          </cell>
          <cell r="M736">
            <v>0.44779999999999998</v>
          </cell>
          <cell r="N736">
            <v>3</v>
          </cell>
          <cell r="O736">
            <v>29</v>
          </cell>
          <cell r="P736">
            <v>32</v>
          </cell>
        </row>
        <row r="737">
          <cell r="J737">
            <v>0.2</v>
          </cell>
          <cell r="K737">
            <v>0.16669999999999999</v>
          </cell>
          <cell r="L737">
            <v>0.4</v>
          </cell>
          <cell r="M737">
            <v>0.44779999999999998</v>
          </cell>
          <cell r="N737">
            <v>1</v>
          </cell>
          <cell r="O737">
            <v>11</v>
          </cell>
          <cell r="P737">
            <v>12</v>
          </cell>
        </row>
        <row r="738">
          <cell r="J738">
            <v>0.2</v>
          </cell>
          <cell r="K738">
            <v>0.1515</v>
          </cell>
          <cell r="L738">
            <v>0.44</v>
          </cell>
          <cell r="M738">
            <v>0.52239999999999998</v>
          </cell>
          <cell r="N738">
            <v>0</v>
          </cell>
          <cell r="O738">
            <v>5</v>
          </cell>
          <cell r="P738">
            <v>5</v>
          </cell>
        </row>
        <row r="739">
          <cell r="J739">
            <v>0.18</v>
          </cell>
          <cell r="K739">
            <v>0.16669999999999999</v>
          </cell>
          <cell r="L739">
            <v>0.43</v>
          </cell>
          <cell r="M739">
            <v>0.25369999999999998</v>
          </cell>
          <cell r="N739">
            <v>0</v>
          </cell>
          <cell r="O739">
            <v>2</v>
          </cell>
          <cell r="P739">
            <v>2</v>
          </cell>
        </row>
        <row r="740">
          <cell r="J740">
            <v>0.18</v>
          </cell>
          <cell r="K740">
            <v>0.16669999999999999</v>
          </cell>
          <cell r="L740">
            <v>0.43</v>
          </cell>
          <cell r="M740">
            <v>0.25369999999999998</v>
          </cell>
          <cell r="N740">
            <v>0</v>
          </cell>
          <cell r="O740">
            <v>1</v>
          </cell>
          <cell r="P740">
            <v>1</v>
          </cell>
        </row>
        <row r="741">
          <cell r="J741">
            <v>0.16</v>
          </cell>
          <cell r="K741">
            <v>0.13639999999999999</v>
          </cell>
          <cell r="L741">
            <v>0.5</v>
          </cell>
          <cell r="M741">
            <v>0.29849999999999999</v>
          </cell>
          <cell r="N741">
            <v>0</v>
          </cell>
          <cell r="O741">
            <v>2</v>
          </cell>
          <cell r="P741">
            <v>2</v>
          </cell>
        </row>
        <row r="742">
          <cell r="J742">
            <v>0.16</v>
          </cell>
          <cell r="K742">
            <v>0.13639999999999999</v>
          </cell>
          <cell r="L742">
            <v>0.43</v>
          </cell>
          <cell r="M742">
            <v>0.35820000000000002</v>
          </cell>
          <cell r="N742">
            <v>0</v>
          </cell>
          <cell r="O742">
            <v>39</v>
          </cell>
          <cell r="P742">
            <v>39</v>
          </cell>
        </row>
        <row r="743">
          <cell r="J743">
            <v>0.14000000000000001</v>
          </cell>
          <cell r="K743">
            <v>0.1212</v>
          </cell>
          <cell r="L743">
            <v>0.5</v>
          </cell>
          <cell r="M743">
            <v>0.32840000000000003</v>
          </cell>
          <cell r="N743">
            <v>1</v>
          </cell>
          <cell r="O743">
            <v>86</v>
          </cell>
          <cell r="P743">
            <v>87</v>
          </cell>
        </row>
        <row r="744">
          <cell r="J744">
            <v>0.14000000000000001</v>
          </cell>
          <cell r="K744">
            <v>0.1212</v>
          </cell>
          <cell r="L744">
            <v>0.5</v>
          </cell>
          <cell r="M744">
            <v>0.35820000000000002</v>
          </cell>
          <cell r="N744">
            <v>4</v>
          </cell>
          <cell r="O744">
            <v>184</v>
          </cell>
          <cell r="P744">
            <v>188</v>
          </cell>
        </row>
        <row r="745">
          <cell r="J745">
            <v>0.16</v>
          </cell>
          <cell r="K745">
            <v>0.13639999999999999</v>
          </cell>
          <cell r="L745">
            <v>0.47</v>
          </cell>
          <cell r="M745">
            <v>0.29849999999999999</v>
          </cell>
          <cell r="N745">
            <v>6</v>
          </cell>
          <cell r="O745">
            <v>127</v>
          </cell>
          <cell r="P745">
            <v>133</v>
          </cell>
        </row>
        <row r="746">
          <cell r="J746">
            <v>0.18</v>
          </cell>
          <cell r="K746">
            <v>0.1515</v>
          </cell>
          <cell r="L746">
            <v>0.43</v>
          </cell>
          <cell r="M746">
            <v>0.32840000000000003</v>
          </cell>
          <cell r="N746">
            <v>2</v>
          </cell>
          <cell r="O746">
            <v>50</v>
          </cell>
          <cell r="P746">
            <v>52</v>
          </cell>
        </row>
        <row r="747">
          <cell r="J747">
            <v>0.18</v>
          </cell>
          <cell r="K747">
            <v>0.13639999999999999</v>
          </cell>
          <cell r="L747">
            <v>0.43</v>
          </cell>
          <cell r="M747">
            <v>0.44779999999999998</v>
          </cell>
          <cell r="N747">
            <v>9</v>
          </cell>
          <cell r="O747">
            <v>55</v>
          </cell>
          <cell r="P747">
            <v>64</v>
          </cell>
        </row>
        <row r="748">
          <cell r="J748">
            <v>0.2</v>
          </cell>
          <cell r="K748">
            <v>0.18179999999999999</v>
          </cell>
          <cell r="L748">
            <v>0.4</v>
          </cell>
          <cell r="M748">
            <v>0.35820000000000002</v>
          </cell>
          <cell r="N748">
            <v>2</v>
          </cell>
          <cell r="O748">
            <v>67</v>
          </cell>
          <cell r="P748">
            <v>69</v>
          </cell>
        </row>
        <row r="749">
          <cell r="J749">
            <v>0.2</v>
          </cell>
          <cell r="K749">
            <v>0.16669999999999999</v>
          </cell>
          <cell r="L749">
            <v>0.4</v>
          </cell>
          <cell r="M749">
            <v>0.41789999999999999</v>
          </cell>
          <cell r="N749">
            <v>4</v>
          </cell>
          <cell r="O749">
            <v>47</v>
          </cell>
          <cell r="P749">
            <v>51</v>
          </cell>
        </row>
        <row r="750">
          <cell r="J750">
            <v>0.22</v>
          </cell>
          <cell r="K750">
            <v>0.19700000000000001</v>
          </cell>
          <cell r="L750">
            <v>0.37</v>
          </cell>
          <cell r="M750">
            <v>0.3881</v>
          </cell>
          <cell r="N750">
            <v>4</v>
          </cell>
          <cell r="O750">
            <v>43</v>
          </cell>
          <cell r="P750">
            <v>47</v>
          </cell>
        </row>
        <row r="751">
          <cell r="J751">
            <v>0.22</v>
          </cell>
          <cell r="K751">
            <v>0.19700000000000001</v>
          </cell>
          <cell r="L751">
            <v>0.37</v>
          </cell>
          <cell r="M751">
            <v>0.32840000000000003</v>
          </cell>
          <cell r="N751">
            <v>4</v>
          </cell>
          <cell r="O751">
            <v>56</v>
          </cell>
          <cell r="P751">
            <v>60</v>
          </cell>
        </row>
        <row r="752">
          <cell r="J752">
            <v>0.22</v>
          </cell>
          <cell r="K752">
            <v>0.21210000000000001</v>
          </cell>
          <cell r="L752">
            <v>0.37</v>
          </cell>
          <cell r="M752">
            <v>0.25369999999999998</v>
          </cell>
          <cell r="N752">
            <v>5</v>
          </cell>
          <cell r="O752">
            <v>73</v>
          </cell>
          <cell r="P752">
            <v>78</v>
          </cell>
        </row>
        <row r="753">
          <cell r="J753">
            <v>0.2</v>
          </cell>
          <cell r="K753">
            <v>0.19700000000000001</v>
          </cell>
          <cell r="L753">
            <v>0.4</v>
          </cell>
          <cell r="M753">
            <v>0.19400000000000001</v>
          </cell>
          <cell r="N753">
            <v>5</v>
          </cell>
          <cell r="O753">
            <v>170</v>
          </cell>
          <cell r="P753">
            <v>175</v>
          </cell>
        </row>
        <row r="754">
          <cell r="J754">
            <v>0.2</v>
          </cell>
          <cell r="K754">
            <v>0.21210000000000001</v>
          </cell>
          <cell r="L754">
            <v>0.4</v>
          </cell>
          <cell r="M754">
            <v>0.16420000000000001</v>
          </cell>
          <cell r="N754">
            <v>2</v>
          </cell>
          <cell r="O754">
            <v>145</v>
          </cell>
          <cell r="P754">
            <v>147</v>
          </cell>
        </row>
        <row r="755">
          <cell r="J755">
            <v>0.2</v>
          </cell>
          <cell r="K755">
            <v>0.2576</v>
          </cell>
          <cell r="L755">
            <v>0.4</v>
          </cell>
          <cell r="M755">
            <v>0</v>
          </cell>
          <cell r="N755">
            <v>4</v>
          </cell>
          <cell r="O755">
            <v>92</v>
          </cell>
          <cell r="P755">
            <v>96</v>
          </cell>
        </row>
        <row r="756">
          <cell r="J756">
            <v>0.2</v>
          </cell>
          <cell r="K756">
            <v>0.2273</v>
          </cell>
          <cell r="L756">
            <v>0.47</v>
          </cell>
          <cell r="M756">
            <v>8.9599999999999999E-2</v>
          </cell>
          <cell r="N756">
            <v>1</v>
          </cell>
          <cell r="O756">
            <v>108</v>
          </cell>
          <cell r="P756">
            <v>109</v>
          </cell>
        </row>
        <row r="757">
          <cell r="J757">
            <v>0.18</v>
          </cell>
          <cell r="K757">
            <v>0.21210000000000001</v>
          </cell>
          <cell r="L757">
            <v>0.55000000000000004</v>
          </cell>
          <cell r="M757">
            <v>0.1045</v>
          </cell>
          <cell r="N757">
            <v>1</v>
          </cell>
          <cell r="O757">
            <v>53</v>
          </cell>
          <cell r="P757">
            <v>54</v>
          </cell>
        </row>
        <row r="758">
          <cell r="J758">
            <v>0.18</v>
          </cell>
          <cell r="K758">
            <v>0.21210000000000001</v>
          </cell>
          <cell r="L758">
            <v>0.51</v>
          </cell>
          <cell r="M758">
            <v>8.9599999999999999E-2</v>
          </cell>
          <cell r="N758">
            <v>2</v>
          </cell>
          <cell r="O758">
            <v>39</v>
          </cell>
          <cell r="P758">
            <v>41</v>
          </cell>
        </row>
        <row r="759">
          <cell r="J759">
            <v>0.2</v>
          </cell>
          <cell r="K759">
            <v>0.2273</v>
          </cell>
          <cell r="L759">
            <v>0.47</v>
          </cell>
          <cell r="M759">
            <v>0.1045</v>
          </cell>
          <cell r="N759">
            <v>4</v>
          </cell>
          <cell r="O759">
            <v>34</v>
          </cell>
          <cell r="P759">
            <v>38</v>
          </cell>
        </row>
        <row r="760">
          <cell r="J760">
            <v>0.2</v>
          </cell>
          <cell r="K760">
            <v>0.2576</v>
          </cell>
          <cell r="L760">
            <v>0.44</v>
          </cell>
          <cell r="M760">
            <v>0</v>
          </cell>
          <cell r="N760">
            <v>3</v>
          </cell>
          <cell r="O760">
            <v>10</v>
          </cell>
          <cell r="P760">
            <v>13</v>
          </cell>
        </row>
        <row r="761">
          <cell r="J761">
            <v>0.16</v>
          </cell>
          <cell r="K761">
            <v>0.2273</v>
          </cell>
          <cell r="L761">
            <v>0.59</v>
          </cell>
          <cell r="M761">
            <v>0</v>
          </cell>
          <cell r="N761">
            <v>0</v>
          </cell>
          <cell r="O761">
            <v>7</v>
          </cell>
          <cell r="P761">
            <v>7</v>
          </cell>
        </row>
        <row r="762">
          <cell r="J762">
            <v>0.14000000000000001</v>
          </cell>
          <cell r="K762">
            <v>0.16669999999999999</v>
          </cell>
          <cell r="L762">
            <v>0.63</v>
          </cell>
          <cell r="M762">
            <v>0.1045</v>
          </cell>
          <cell r="N762">
            <v>0</v>
          </cell>
          <cell r="O762">
            <v>1</v>
          </cell>
          <cell r="P762">
            <v>1</v>
          </cell>
        </row>
        <row r="763">
          <cell r="J763">
            <v>0.14000000000000001</v>
          </cell>
          <cell r="K763">
            <v>0.16669999999999999</v>
          </cell>
          <cell r="L763">
            <v>0.63</v>
          </cell>
          <cell r="M763">
            <v>0.1045</v>
          </cell>
          <cell r="N763">
            <v>0</v>
          </cell>
          <cell r="O763">
            <v>1</v>
          </cell>
          <cell r="P763">
            <v>1</v>
          </cell>
        </row>
        <row r="764">
          <cell r="J764">
            <v>0.14000000000000001</v>
          </cell>
          <cell r="K764">
            <v>0.1515</v>
          </cell>
          <cell r="L764">
            <v>0.63</v>
          </cell>
          <cell r="M764">
            <v>0.1343</v>
          </cell>
          <cell r="N764">
            <v>0</v>
          </cell>
          <cell r="O764">
            <v>7</v>
          </cell>
          <cell r="P764">
            <v>7</v>
          </cell>
        </row>
        <row r="765">
          <cell r="J765">
            <v>0.16</v>
          </cell>
          <cell r="K765">
            <v>0.2273</v>
          </cell>
          <cell r="L765">
            <v>0.55000000000000004</v>
          </cell>
          <cell r="M765">
            <v>0</v>
          </cell>
          <cell r="N765">
            <v>2</v>
          </cell>
          <cell r="O765">
            <v>26</v>
          </cell>
          <cell r="P765">
            <v>28</v>
          </cell>
        </row>
        <row r="766">
          <cell r="J766">
            <v>0.14000000000000001</v>
          </cell>
          <cell r="K766">
            <v>0.21210000000000001</v>
          </cell>
          <cell r="L766">
            <v>0.59</v>
          </cell>
          <cell r="M766">
            <v>0</v>
          </cell>
          <cell r="N766">
            <v>0</v>
          </cell>
          <cell r="O766">
            <v>87</v>
          </cell>
          <cell r="P766">
            <v>87</v>
          </cell>
        </row>
        <row r="767">
          <cell r="J767">
            <v>0.14000000000000001</v>
          </cell>
          <cell r="K767">
            <v>0.1515</v>
          </cell>
          <cell r="L767">
            <v>0.74</v>
          </cell>
          <cell r="M767">
            <v>0.1343</v>
          </cell>
          <cell r="N767">
            <v>3</v>
          </cell>
          <cell r="O767">
            <v>217</v>
          </cell>
          <cell r="P767">
            <v>220</v>
          </cell>
        </row>
        <row r="768">
          <cell r="J768">
            <v>0.16</v>
          </cell>
          <cell r="K768">
            <v>0.18179999999999999</v>
          </cell>
          <cell r="L768">
            <v>0.8</v>
          </cell>
          <cell r="M768">
            <v>0.1343</v>
          </cell>
          <cell r="N768">
            <v>3</v>
          </cell>
          <cell r="O768">
            <v>124</v>
          </cell>
          <cell r="P768">
            <v>127</v>
          </cell>
        </row>
        <row r="769">
          <cell r="J769">
            <v>0.2</v>
          </cell>
          <cell r="K769">
            <v>0.21210000000000001</v>
          </cell>
          <cell r="L769">
            <v>0.51</v>
          </cell>
          <cell r="M769">
            <v>0.1343</v>
          </cell>
          <cell r="N769">
            <v>5</v>
          </cell>
          <cell r="O769">
            <v>46</v>
          </cell>
          <cell r="P769">
            <v>51</v>
          </cell>
        </row>
        <row r="770">
          <cell r="J770">
            <v>0.22</v>
          </cell>
          <cell r="K770">
            <v>0.2273</v>
          </cell>
          <cell r="L770">
            <v>0.51</v>
          </cell>
          <cell r="M770">
            <v>0.16420000000000001</v>
          </cell>
          <cell r="N770">
            <v>3</v>
          </cell>
          <cell r="O770">
            <v>61</v>
          </cell>
          <cell r="P770">
            <v>64</v>
          </cell>
        </row>
        <row r="771">
          <cell r="J771">
            <v>0.24</v>
          </cell>
          <cell r="K771">
            <v>0.2424</v>
          </cell>
          <cell r="L771">
            <v>0.48</v>
          </cell>
          <cell r="M771">
            <v>0.16420000000000001</v>
          </cell>
          <cell r="N771">
            <v>8</v>
          </cell>
          <cell r="O771">
            <v>78</v>
          </cell>
          <cell r="P771">
            <v>86</v>
          </cell>
        </row>
        <row r="772">
          <cell r="J772">
            <v>0.26</v>
          </cell>
          <cell r="K772">
            <v>0.2576</v>
          </cell>
          <cell r="L772">
            <v>0.5</v>
          </cell>
          <cell r="M772">
            <v>0.22389999999999999</v>
          </cell>
          <cell r="N772">
            <v>9</v>
          </cell>
          <cell r="O772">
            <v>73</v>
          </cell>
          <cell r="P772">
            <v>82</v>
          </cell>
        </row>
        <row r="773">
          <cell r="J773">
            <v>0.28000000000000003</v>
          </cell>
          <cell r="K773">
            <v>0.2727</v>
          </cell>
          <cell r="L773">
            <v>0.45</v>
          </cell>
          <cell r="M773">
            <v>0.16420000000000001</v>
          </cell>
          <cell r="N773">
            <v>15</v>
          </cell>
          <cell r="O773">
            <v>76</v>
          </cell>
          <cell r="P773">
            <v>91</v>
          </cell>
        </row>
        <row r="774">
          <cell r="J774">
            <v>0.28000000000000003</v>
          </cell>
          <cell r="K774">
            <v>0.2727</v>
          </cell>
          <cell r="L774">
            <v>0.48</v>
          </cell>
          <cell r="M774">
            <v>0.25369999999999998</v>
          </cell>
          <cell r="N774">
            <v>9</v>
          </cell>
          <cell r="O774">
            <v>81</v>
          </cell>
          <cell r="P774">
            <v>90</v>
          </cell>
        </row>
        <row r="775">
          <cell r="J775">
            <v>0.3</v>
          </cell>
          <cell r="K775">
            <v>0.28789999999999999</v>
          </cell>
          <cell r="L775">
            <v>0.42</v>
          </cell>
          <cell r="M775">
            <v>0.22389999999999999</v>
          </cell>
          <cell r="N775">
            <v>8</v>
          </cell>
          <cell r="O775">
            <v>91</v>
          </cell>
          <cell r="P775">
            <v>99</v>
          </cell>
        </row>
        <row r="776">
          <cell r="J776">
            <v>0.26</v>
          </cell>
          <cell r="K776">
            <v>0.2727</v>
          </cell>
          <cell r="L776">
            <v>0.56000000000000005</v>
          </cell>
          <cell r="M776">
            <v>0.1343</v>
          </cell>
          <cell r="N776">
            <v>10</v>
          </cell>
          <cell r="O776">
            <v>195</v>
          </cell>
          <cell r="P776">
            <v>205</v>
          </cell>
        </row>
        <row r="777">
          <cell r="J777">
            <v>0.24</v>
          </cell>
          <cell r="K777">
            <v>0.2576</v>
          </cell>
          <cell r="L777">
            <v>0.6</v>
          </cell>
          <cell r="M777">
            <v>0.1045</v>
          </cell>
          <cell r="N777">
            <v>3</v>
          </cell>
          <cell r="O777">
            <v>152</v>
          </cell>
          <cell r="P777">
            <v>155</v>
          </cell>
        </row>
        <row r="778">
          <cell r="J778">
            <v>0.24</v>
          </cell>
          <cell r="K778">
            <v>0.2424</v>
          </cell>
          <cell r="L778">
            <v>0.65</v>
          </cell>
          <cell r="M778">
            <v>0.1343</v>
          </cell>
          <cell r="N778">
            <v>1</v>
          </cell>
          <cell r="O778">
            <v>102</v>
          </cell>
          <cell r="P778">
            <v>103</v>
          </cell>
        </row>
        <row r="779">
          <cell r="J779">
            <v>0.24</v>
          </cell>
          <cell r="K779">
            <v>0.2424</v>
          </cell>
          <cell r="L779">
            <v>0.65</v>
          </cell>
          <cell r="M779">
            <v>0.16420000000000001</v>
          </cell>
          <cell r="N779">
            <v>2</v>
          </cell>
          <cell r="O779">
            <v>69</v>
          </cell>
          <cell r="P779">
            <v>71</v>
          </cell>
        </row>
        <row r="780">
          <cell r="J780">
            <v>0.24</v>
          </cell>
          <cell r="K780">
            <v>0.2424</v>
          </cell>
          <cell r="L780">
            <v>0.7</v>
          </cell>
          <cell r="M780">
            <v>0.16420000000000001</v>
          </cell>
          <cell r="N780">
            <v>2</v>
          </cell>
          <cell r="O780">
            <v>41</v>
          </cell>
          <cell r="P780">
            <v>43</v>
          </cell>
        </row>
        <row r="781">
          <cell r="J781">
            <v>0.24</v>
          </cell>
          <cell r="K781">
            <v>0.2424</v>
          </cell>
          <cell r="L781">
            <v>0.65</v>
          </cell>
          <cell r="M781">
            <v>0.16420000000000001</v>
          </cell>
          <cell r="N781">
            <v>1</v>
          </cell>
          <cell r="O781">
            <v>45</v>
          </cell>
          <cell r="P781">
            <v>46</v>
          </cell>
        </row>
        <row r="782">
          <cell r="J782">
            <v>0.24</v>
          </cell>
          <cell r="K782">
            <v>0.2424</v>
          </cell>
          <cell r="L782">
            <v>0.7</v>
          </cell>
          <cell r="M782">
            <v>0.1343</v>
          </cell>
          <cell r="N782">
            <v>1</v>
          </cell>
          <cell r="O782">
            <v>30</v>
          </cell>
          <cell r="P782">
            <v>31</v>
          </cell>
        </row>
        <row r="783">
          <cell r="J783">
            <v>0.24</v>
          </cell>
          <cell r="K783">
            <v>0.2424</v>
          </cell>
          <cell r="L783">
            <v>0.7</v>
          </cell>
          <cell r="M783">
            <v>0.16420000000000001</v>
          </cell>
          <cell r="N783">
            <v>3</v>
          </cell>
          <cell r="O783">
            <v>36</v>
          </cell>
          <cell r="P783">
            <v>39</v>
          </cell>
        </row>
        <row r="784">
          <cell r="J784">
            <v>0.24</v>
          </cell>
          <cell r="K784">
            <v>0.2424</v>
          </cell>
          <cell r="L784">
            <v>0.65</v>
          </cell>
          <cell r="M784">
            <v>0.16420000000000001</v>
          </cell>
          <cell r="N784">
            <v>1</v>
          </cell>
          <cell r="O784">
            <v>17</v>
          </cell>
          <cell r="P784">
            <v>18</v>
          </cell>
        </row>
        <row r="785">
          <cell r="J785">
            <v>0.24</v>
          </cell>
          <cell r="K785">
            <v>0.2424</v>
          </cell>
          <cell r="L785">
            <v>0.75</v>
          </cell>
          <cell r="M785">
            <v>0.16420000000000001</v>
          </cell>
          <cell r="N785">
            <v>5</v>
          </cell>
          <cell r="O785">
            <v>12</v>
          </cell>
          <cell r="P785">
            <v>17</v>
          </cell>
        </row>
        <row r="786">
          <cell r="J786">
            <v>0.24</v>
          </cell>
          <cell r="K786">
            <v>0.2424</v>
          </cell>
          <cell r="L786">
            <v>0.75</v>
          </cell>
          <cell r="M786">
            <v>0.16420000000000001</v>
          </cell>
          <cell r="N786">
            <v>1</v>
          </cell>
          <cell r="O786">
            <v>10</v>
          </cell>
          <cell r="P786">
            <v>11</v>
          </cell>
        </row>
        <row r="787">
          <cell r="J787">
            <v>0.22</v>
          </cell>
          <cell r="K787">
            <v>0.2273</v>
          </cell>
          <cell r="L787">
            <v>0.93</v>
          </cell>
          <cell r="M787">
            <v>0.1343</v>
          </cell>
          <cell r="N787">
            <v>0</v>
          </cell>
          <cell r="O787">
            <v>8</v>
          </cell>
          <cell r="P787">
            <v>8</v>
          </cell>
        </row>
        <row r="788">
          <cell r="J788">
            <v>0.2</v>
          </cell>
          <cell r="K788">
            <v>0.2273</v>
          </cell>
          <cell r="L788">
            <v>1</v>
          </cell>
          <cell r="M788">
            <v>8.9599999999999999E-2</v>
          </cell>
          <cell r="N788">
            <v>0</v>
          </cell>
          <cell r="O788">
            <v>9</v>
          </cell>
          <cell r="P788">
            <v>9</v>
          </cell>
        </row>
        <row r="789">
          <cell r="J789">
            <v>0.2</v>
          </cell>
          <cell r="K789">
            <v>0.2576</v>
          </cell>
          <cell r="L789">
            <v>1</v>
          </cell>
          <cell r="M789">
            <v>0</v>
          </cell>
          <cell r="N789">
            <v>0</v>
          </cell>
          <cell r="O789">
            <v>4</v>
          </cell>
          <cell r="P789">
            <v>4</v>
          </cell>
        </row>
        <row r="790">
          <cell r="J790">
            <v>0.22</v>
          </cell>
          <cell r="K790">
            <v>0.2576</v>
          </cell>
          <cell r="L790">
            <v>0.93</v>
          </cell>
          <cell r="M790">
            <v>8.9599999999999999E-2</v>
          </cell>
          <cell r="N790">
            <v>0</v>
          </cell>
          <cell r="O790">
            <v>4</v>
          </cell>
          <cell r="P790">
            <v>4</v>
          </cell>
        </row>
        <row r="791">
          <cell r="J791">
            <v>0.2</v>
          </cell>
          <cell r="K791">
            <v>0.2273</v>
          </cell>
          <cell r="L791">
            <v>1</v>
          </cell>
          <cell r="M791">
            <v>8.9599999999999999E-2</v>
          </cell>
          <cell r="N791">
            <v>0</v>
          </cell>
          <cell r="O791">
            <v>10</v>
          </cell>
          <cell r="P791">
            <v>10</v>
          </cell>
        </row>
        <row r="792">
          <cell r="J792">
            <v>0.2</v>
          </cell>
          <cell r="K792">
            <v>0.2273</v>
          </cell>
          <cell r="L792">
            <v>1</v>
          </cell>
          <cell r="M792">
            <v>8.9599999999999999E-2</v>
          </cell>
          <cell r="N792">
            <v>3</v>
          </cell>
          <cell r="O792">
            <v>17</v>
          </cell>
          <cell r="P792">
            <v>20</v>
          </cell>
        </row>
        <row r="793">
          <cell r="J793">
            <v>0.2</v>
          </cell>
          <cell r="K793">
            <v>0.21210000000000001</v>
          </cell>
          <cell r="L793">
            <v>1</v>
          </cell>
          <cell r="M793">
            <v>0.1343</v>
          </cell>
          <cell r="N793">
            <v>3</v>
          </cell>
          <cell r="O793">
            <v>31</v>
          </cell>
          <cell r="P793">
            <v>34</v>
          </cell>
        </row>
        <row r="794">
          <cell r="J794">
            <v>0.22</v>
          </cell>
          <cell r="K794">
            <v>0.2273</v>
          </cell>
          <cell r="L794">
            <v>1</v>
          </cell>
          <cell r="M794">
            <v>0.1343</v>
          </cell>
          <cell r="N794">
            <v>1</v>
          </cell>
          <cell r="O794">
            <v>46</v>
          </cell>
          <cell r="P794">
            <v>47</v>
          </cell>
        </row>
        <row r="795">
          <cell r="J795">
            <v>0.22</v>
          </cell>
          <cell r="K795">
            <v>0.2273</v>
          </cell>
          <cell r="L795">
            <v>1</v>
          </cell>
          <cell r="M795">
            <v>0.16420000000000001</v>
          </cell>
          <cell r="N795">
            <v>10</v>
          </cell>
          <cell r="O795">
            <v>42</v>
          </cell>
          <cell r="P795">
            <v>52</v>
          </cell>
        </row>
        <row r="796">
          <cell r="J796">
            <v>0.22</v>
          </cell>
          <cell r="K796">
            <v>0.2273</v>
          </cell>
          <cell r="L796">
            <v>1</v>
          </cell>
          <cell r="M796">
            <v>0.16420000000000001</v>
          </cell>
          <cell r="N796">
            <v>10</v>
          </cell>
          <cell r="O796">
            <v>62</v>
          </cell>
          <cell r="P796">
            <v>72</v>
          </cell>
        </row>
        <row r="797">
          <cell r="J797">
            <v>0.22</v>
          </cell>
          <cell r="K797">
            <v>0.2727</v>
          </cell>
          <cell r="L797">
            <v>1</v>
          </cell>
          <cell r="M797">
            <v>0</v>
          </cell>
          <cell r="N797">
            <v>5</v>
          </cell>
          <cell r="O797">
            <v>50</v>
          </cell>
          <cell r="P797">
            <v>55</v>
          </cell>
        </row>
        <row r="798">
          <cell r="J798">
            <v>0.22</v>
          </cell>
          <cell r="K798">
            <v>0.2727</v>
          </cell>
          <cell r="L798">
            <v>1</v>
          </cell>
          <cell r="M798">
            <v>0</v>
          </cell>
          <cell r="N798">
            <v>11</v>
          </cell>
          <cell r="O798">
            <v>49</v>
          </cell>
          <cell r="P798">
            <v>60</v>
          </cell>
        </row>
        <row r="799">
          <cell r="J799">
            <v>0.22</v>
          </cell>
          <cell r="K799">
            <v>0.2273</v>
          </cell>
          <cell r="L799">
            <v>1</v>
          </cell>
          <cell r="M799">
            <v>0.1343</v>
          </cell>
          <cell r="N799">
            <v>8</v>
          </cell>
          <cell r="O799">
            <v>63</v>
          </cell>
          <cell r="P799">
            <v>71</v>
          </cell>
        </row>
        <row r="800">
          <cell r="J800">
            <v>0.24</v>
          </cell>
          <cell r="K800">
            <v>0.21210000000000001</v>
          </cell>
          <cell r="L800">
            <v>1</v>
          </cell>
          <cell r="M800">
            <v>0.28360000000000002</v>
          </cell>
          <cell r="N800">
            <v>14</v>
          </cell>
          <cell r="O800">
            <v>64</v>
          </cell>
          <cell r="P800">
            <v>78</v>
          </cell>
        </row>
        <row r="801">
          <cell r="J801">
            <v>0.28000000000000003</v>
          </cell>
          <cell r="K801">
            <v>0.2424</v>
          </cell>
          <cell r="L801">
            <v>0.93</v>
          </cell>
          <cell r="M801">
            <v>0.44779999999999998</v>
          </cell>
          <cell r="N801">
            <v>2</v>
          </cell>
          <cell r="O801">
            <v>81</v>
          </cell>
          <cell r="P801">
            <v>83</v>
          </cell>
        </row>
        <row r="802">
          <cell r="J802">
            <v>0.28000000000000003</v>
          </cell>
          <cell r="K802">
            <v>0.2424</v>
          </cell>
          <cell r="L802">
            <v>0.93</v>
          </cell>
          <cell r="M802">
            <v>0.44779999999999998</v>
          </cell>
          <cell r="N802">
            <v>6</v>
          </cell>
          <cell r="O802">
            <v>78</v>
          </cell>
          <cell r="P802">
            <v>84</v>
          </cell>
        </row>
        <row r="803">
          <cell r="J803">
            <v>0.3</v>
          </cell>
          <cell r="K803">
            <v>0.28789999999999999</v>
          </cell>
          <cell r="L803">
            <v>0.87</v>
          </cell>
          <cell r="M803">
            <v>0.25369999999999998</v>
          </cell>
          <cell r="N803">
            <v>5</v>
          </cell>
          <cell r="O803">
            <v>64</v>
          </cell>
          <cell r="P803">
            <v>69</v>
          </cell>
        </row>
        <row r="804">
          <cell r="J804">
            <v>0.26</v>
          </cell>
          <cell r="K804">
            <v>0.2576</v>
          </cell>
          <cell r="L804">
            <v>1</v>
          </cell>
          <cell r="M804">
            <v>0.19400000000000001</v>
          </cell>
          <cell r="N804">
            <v>3</v>
          </cell>
          <cell r="O804">
            <v>53</v>
          </cell>
          <cell r="P804">
            <v>56</v>
          </cell>
        </row>
        <row r="805">
          <cell r="J805">
            <v>0.26</v>
          </cell>
          <cell r="K805">
            <v>0.2727</v>
          </cell>
          <cell r="L805">
            <v>0.93</v>
          </cell>
          <cell r="M805">
            <v>0.1343</v>
          </cell>
          <cell r="N805">
            <v>2</v>
          </cell>
          <cell r="O805">
            <v>43</v>
          </cell>
          <cell r="P805">
            <v>45</v>
          </cell>
        </row>
        <row r="806">
          <cell r="J806">
            <v>0.26</v>
          </cell>
          <cell r="K806">
            <v>0.2576</v>
          </cell>
          <cell r="L806">
            <v>0.93</v>
          </cell>
          <cell r="M806">
            <v>0.22389999999999999</v>
          </cell>
          <cell r="N806">
            <v>7</v>
          </cell>
          <cell r="O806">
            <v>52</v>
          </cell>
          <cell r="P806">
            <v>59</v>
          </cell>
        </row>
        <row r="807">
          <cell r="J807">
            <v>0.26</v>
          </cell>
          <cell r="K807">
            <v>0.2576</v>
          </cell>
          <cell r="L807">
            <v>0.7</v>
          </cell>
          <cell r="M807">
            <v>0.19400000000000001</v>
          </cell>
          <cell r="N807">
            <v>2</v>
          </cell>
          <cell r="O807">
            <v>37</v>
          </cell>
          <cell r="P807">
            <v>39</v>
          </cell>
        </row>
        <row r="808">
          <cell r="J808">
            <v>0.26</v>
          </cell>
          <cell r="K808">
            <v>0.2273</v>
          </cell>
          <cell r="L808">
            <v>0.65</v>
          </cell>
          <cell r="M808">
            <v>0.41789999999999999</v>
          </cell>
          <cell r="N808">
            <v>4</v>
          </cell>
          <cell r="O808">
            <v>40</v>
          </cell>
          <cell r="P808">
            <v>44</v>
          </cell>
        </row>
        <row r="809">
          <cell r="J809">
            <v>0.26</v>
          </cell>
          <cell r="K809">
            <v>0.2273</v>
          </cell>
          <cell r="L809">
            <v>0.6</v>
          </cell>
          <cell r="M809">
            <v>0.32840000000000003</v>
          </cell>
          <cell r="N809">
            <v>0</v>
          </cell>
          <cell r="O809">
            <v>20</v>
          </cell>
          <cell r="P809">
            <v>20</v>
          </cell>
        </row>
        <row r="810">
          <cell r="J810">
            <v>0.26</v>
          </cell>
          <cell r="K810">
            <v>0.28789999999999999</v>
          </cell>
          <cell r="L810">
            <v>0.6</v>
          </cell>
          <cell r="M810">
            <v>8.9599999999999999E-2</v>
          </cell>
          <cell r="N810">
            <v>3</v>
          </cell>
          <cell r="O810">
            <v>10</v>
          </cell>
          <cell r="P810">
            <v>13</v>
          </cell>
        </row>
        <row r="811">
          <cell r="J811">
            <v>0.26</v>
          </cell>
          <cell r="K811">
            <v>0.2273</v>
          </cell>
          <cell r="L811">
            <v>0.6</v>
          </cell>
          <cell r="M811">
            <v>0.35820000000000002</v>
          </cell>
          <cell r="N811">
            <v>0</v>
          </cell>
          <cell r="O811">
            <v>2</v>
          </cell>
          <cell r="P811">
            <v>2</v>
          </cell>
        </row>
        <row r="812">
          <cell r="J812">
            <v>0.26</v>
          </cell>
          <cell r="K812">
            <v>0.2576</v>
          </cell>
          <cell r="L812">
            <v>0.6</v>
          </cell>
          <cell r="M812">
            <v>0.22389999999999999</v>
          </cell>
          <cell r="N812">
            <v>0</v>
          </cell>
          <cell r="O812">
            <v>1</v>
          </cell>
          <cell r="P812">
            <v>1</v>
          </cell>
        </row>
        <row r="813">
          <cell r="J813">
            <v>0.26</v>
          </cell>
          <cell r="K813">
            <v>0.2576</v>
          </cell>
          <cell r="L813">
            <v>0.6</v>
          </cell>
          <cell r="M813">
            <v>0.22389999999999999</v>
          </cell>
          <cell r="N813">
            <v>0</v>
          </cell>
          <cell r="O813">
            <v>1</v>
          </cell>
          <cell r="P813">
            <v>1</v>
          </cell>
        </row>
        <row r="814">
          <cell r="J814">
            <v>0.24</v>
          </cell>
          <cell r="K814">
            <v>0.2424</v>
          </cell>
          <cell r="L814">
            <v>0.65</v>
          </cell>
          <cell r="M814">
            <v>0.16420000000000001</v>
          </cell>
          <cell r="N814">
            <v>0</v>
          </cell>
          <cell r="O814">
            <v>8</v>
          </cell>
          <cell r="P814">
            <v>8</v>
          </cell>
        </row>
        <row r="815">
          <cell r="J815">
            <v>0.24</v>
          </cell>
          <cell r="K815">
            <v>0.2576</v>
          </cell>
          <cell r="L815">
            <v>0.65</v>
          </cell>
          <cell r="M815">
            <v>0.1045</v>
          </cell>
          <cell r="N815">
            <v>2</v>
          </cell>
          <cell r="O815">
            <v>21</v>
          </cell>
          <cell r="P815">
            <v>23</v>
          </cell>
        </row>
        <row r="816">
          <cell r="J816">
            <v>0.28000000000000003</v>
          </cell>
          <cell r="K816">
            <v>0.28789999999999999</v>
          </cell>
          <cell r="L816">
            <v>0.56000000000000005</v>
          </cell>
          <cell r="M816">
            <v>0.1045</v>
          </cell>
          <cell r="N816">
            <v>7</v>
          </cell>
          <cell r="O816">
            <v>38</v>
          </cell>
          <cell r="P816">
            <v>45</v>
          </cell>
        </row>
        <row r="817">
          <cell r="J817">
            <v>0.3</v>
          </cell>
          <cell r="K817">
            <v>0.28789999999999999</v>
          </cell>
          <cell r="L817">
            <v>0.52</v>
          </cell>
          <cell r="M817">
            <v>0.25369999999999998</v>
          </cell>
          <cell r="N817">
            <v>15</v>
          </cell>
          <cell r="O817">
            <v>74</v>
          </cell>
          <cell r="P817">
            <v>89</v>
          </cell>
        </row>
        <row r="818">
          <cell r="J818">
            <v>0.32</v>
          </cell>
          <cell r="K818">
            <v>0.30299999999999999</v>
          </cell>
          <cell r="L818">
            <v>0.49</v>
          </cell>
          <cell r="M818">
            <v>0.25369999999999998</v>
          </cell>
          <cell r="N818">
            <v>28</v>
          </cell>
          <cell r="O818">
            <v>89</v>
          </cell>
          <cell r="P818">
            <v>117</v>
          </cell>
        </row>
        <row r="819">
          <cell r="J819">
            <v>0.34</v>
          </cell>
          <cell r="K819">
            <v>0.33329999999999999</v>
          </cell>
          <cell r="L819">
            <v>0.46</v>
          </cell>
          <cell r="M819">
            <v>0</v>
          </cell>
          <cell r="N819">
            <v>48</v>
          </cell>
          <cell r="O819">
            <v>126</v>
          </cell>
          <cell r="P819">
            <v>174</v>
          </cell>
        </row>
        <row r="820">
          <cell r="J820">
            <v>0.34</v>
          </cell>
          <cell r="K820">
            <v>0.36359999999999998</v>
          </cell>
          <cell r="L820">
            <v>0.46</v>
          </cell>
          <cell r="M820">
            <v>0</v>
          </cell>
          <cell r="N820">
            <v>47</v>
          </cell>
          <cell r="O820">
            <v>135</v>
          </cell>
          <cell r="P820">
            <v>182</v>
          </cell>
        </row>
        <row r="821">
          <cell r="J821">
            <v>0.34</v>
          </cell>
          <cell r="K821">
            <v>0.34849999999999998</v>
          </cell>
          <cell r="L821">
            <v>0.46</v>
          </cell>
          <cell r="M821">
            <v>8.9599999999999999E-2</v>
          </cell>
          <cell r="N821">
            <v>47</v>
          </cell>
          <cell r="O821">
            <v>114</v>
          </cell>
          <cell r="P821">
            <v>161</v>
          </cell>
        </row>
        <row r="822">
          <cell r="J822">
            <v>0.34</v>
          </cell>
          <cell r="K822">
            <v>0.34849999999999998</v>
          </cell>
          <cell r="L822">
            <v>0.46</v>
          </cell>
          <cell r="M822">
            <v>8.9599999999999999E-2</v>
          </cell>
          <cell r="N822">
            <v>52</v>
          </cell>
          <cell r="O822">
            <v>130</v>
          </cell>
          <cell r="P822">
            <v>182</v>
          </cell>
        </row>
        <row r="823">
          <cell r="J823">
            <v>0.34</v>
          </cell>
          <cell r="K823">
            <v>0.34849999999999998</v>
          </cell>
          <cell r="L823">
            <v>0.49</v>
          </cell>
          <cell r="M823">
            <v>0.1045</v>
          </cell>
          <cell r="N823">
            <v>42</v>
          </cell>
          <cell r="O823">
            <v>115</v>
          </cell>
          <cell r="P823">
            <v>157</v>
          </cell>
        </row>
        <row r="824">
          <cell r="J824">
            <v>0.34</v>
          </cell>
          <cell r="K824">
            <v>0.36359999999999998</v>
          </cell>
          <cell r="L824">
            <v>0.46</v>
          </cell>
          <cell r="M824">
            <v>0</v>
          </cell>
          <cell r="N824">
            <v>24</v>
          </cell>
          <cell r="O824">
            <v>97</v>
          </cell>
          <cell r="P824">
            <v>121</v>
          </cell>
        </row>
        <row r="825">
          <cell r="J825">
            <v>0.3</v>
          </cell>
          <cell r="K825">
            <v>0.30299999999999999</v>
          </cell>
          <cell r="L825">
            <v>0.56000000000000005</v>
          </cell>
          <cell r="M825">
            <v>0.16420000000000001</v>
          </cell>
          <cell r="N825">
            <v>13</v>
          </cell>
          <cell r="O825">
            <v>65</v>
          </cell>
          <cell r="P825">
            <v>78</v>
          </cell>
        </row>
        <row r="826">
          <cell r="J826">
            <v>0.28000000000000003</v>
          </cell>
          <cell r="K826">
            <v>0.28789999999999999</v>
          </cell>
          <cell r="L826">
            <v>0.61</v>
          </cell>
          <cell r="M826">
            <v>0.1343</v>
          </cell>
          <cell r="N826">
            <v>1</v>
          </cell>
          <cell r="O826">
            <v>20</v>
          </cell>
          <cell r="P826">
            <v>21</v>
          </cell>
        </row>
        <row r="827">
          <cell r="J827">
            <v>0.28000000000000003</v>
          </cell>
          <cell r="K827">
            <v>0.28789999999999999</v>
          </cell>
          <cell r="L827">
            <v>0.61</v>
          </cell>
          <cell r="M827">
            <v>0.1045</v>
          </cell>
          <cell r="N827">
            <v>5</v>
          </cell>
          <cell r="O827">
            <v>21</v>
          </cell>
          <cell r="P827">
            <v>26</v>
          </cell>
        </row>
        <row r="828">
          <cell r="J828">
            <v>0.26</v>
          </cell>
          <cell r="K828">
            <v>0.30299999999999999</v>
          </cell>
          <cell r="L828">
            <v>0.6</v>
          </cell>
          <cell r="M828">
            <v>0</v>
          </cell>
          <cell r="N828">
            <v>5</v>
          </cell>
          <cell r="O828">
            <v>22</v>
          </cell>
          <cell r="P828">
            <v>27</v>
          </cell>
        </row>
        <row r="829">
          <cell r="J829">
            <v>0.26</v>
          </cell>
          <cell r="K829">
            <v>0.30299999999999999</v>
          </cell>
          <cell r="L829">
            <v>0.6</v>
          </cell>
          <cell r="M829">
            <v>0</v>
          </cell>
          <cell r="N829">
            <v>5</v>
          </cell>
          <cell r="O829">
            <v>57</v>
          </cell>
          <cell r="P829">
            <v>62</v>
          </cell>
        </row>
        <row r="830">
          <cell r="J830">
            <v>0.24</v>
          </cell>
          <cell r="K830">
            <v>0.28789999999999999</v>
          </cell>
          <cell r="L830">
            <v>0.65</v>
          </cell>
          <cell r="M830">
            <v>0</v>
          </cell>
          <cell r="N830">
            <v>4</v>
          </cell>
          <cell r="O830">
            <v>26</v>
          </cell>
          <cell r="P830">
            <v>30</v>
          </cell>
        </row>
        <row r="831">
          <cell r="J831">
            <v>0.24</v>
          </cell>
          <cell r="K831">
            <v>0.28789999999999999</v>
          </cell>
          <cell r="L831">
            <v>0.65</v>
          </cell>
          <cell r="M831">
            <v>0</v>
          </cell>
          <cell r="N831">
            <v>1</v>
          </cell>
          <cell r="O831">
            <v>14</v>
          </cell>
          <cell r="P831">
            <v>15</v>
          </cell>
        </row>
        <row r="832">
          <cell r="J832">
            <v>0.22</v>
          </cell>
          <cell r="K832">
            <v>0.2727</v>
          </cell>
          <cell r="L832">
            <v>0.75</v>
          </cell>
          <cell r="M832">
            <v>0</v>
          </cell>
          <cell r="N832">
            <v>1</v>
          </cell>
          <cell r="O832">
            <v>4</v>
          </cell>
          <cell r="P832">
            <v>5</v>
          </cell>
        </row>
        <row r="833">
          <cell r="J833">
            <v>0.2</v>
          </cell>
          <cell r="K833">
            <v>0.2576</v>
          </cell>
          <cell r="L833">
            <v>0.8</v>
          </cell>
          <cell r="M833">
            <v>0</v>
          </cell>
          <cell r="N833">
            <v>0</v>
          </cell>
          <cell r="O833">
            <v>3</v>
          </cell>
          <cell r="P833">
            <v>3</v>
          </cell>
        </row>
        <row r="834">
          <cell r="J834">
            <v>0.2</v>
          </cell>
          <cell r="K834">
            <v>0.2576</v>
          </cell>
          <cell r="L834">
            <v>0.86</v>
          </cell>
          <cell r="M834">
            <v>0</v>
          </cell>
          <cell r="N834">
            <v>0</v>
          </cell>
          <cell r="O834">
            <v>1</v>
          </cell>
          <cell r="P834">
            <v>1</v>
          </cell>
        </row>
        <row r="835">
          <cell r="J835">
            <v>0.2</v>
          </cell>
          <cell r="K835">
            <v>0.2576</v>
          </cell>
          <cell r="L835">
            <v>0.86</v>
          </cell>
          <cell r="M835">
            <v>0</v>
          </cell>
          <cell r="N835">
            <v>1</v>
          </cell>
          <cell r="O835">
            <v>1</v>
          </cell>
          <cell r="P835">
            <v>2</v>
          </cell>
        </row>
        <row r="836">
          <cell r="J836">
            <v>0.2</v>
          </cell>
          <cell r="K836">
            <v>0.2576</v>
          </cell>
          <cell r="L836">
            <v>0.86</v>
          </cell>
          <cell r="M836">
            <v>0</v>
          </cell>
          <cell r="N836">
            <v>1</v>
          </cell>
          <cell r="O836">
            <v>9</v>
          </cell>
          <cell r="P836">
            <v>10</v>
          </cell>
        </row>
        <row r="837">
          <cell r="J837">
            <v>0.18</v>
          </cell>
          <cell r="K837">
            <v>0.2424</v>
          </cell>
          <cell r="L837">
            <v>0.93</v>
          </cell>
          <cell r="M837">
            <v>0</v>
          </cell>
          <cell r="N837">
            <v>1</v>
          </cell>
          <cell r="O837">
            <v>29</v>
          </cell>
          <cell r="P837">
            <v>30</v>
          </cell>
        </row>
        <row r="838">
          <cell r="J838">
            <v>0.18</v>
          </cell>
          <cell r="K838">
            <v>0.2424</v>
          </cell>
          <cell r="L838">
            <v>0.86</v>
          </cell>
          <cell r="M838">
            <v>0</v>
          </cell>
          <cell r="N838">
            <v>6</v>
          </cell>
          <cell r="O838">
            <v>89</v>
          </cell>
          <cell r="P838">
            <v>95</v>
          </cell>
        </row>
        <row r="839">
          <cell r="J839">
            <v>0.16</v>
          </cell>
          <cell r="K839">
            <v>0.2273</v>
          </cell>
          <cell r="L839">
            <v>1</v>
          </cell>
          <cell r="M839">
            <v>0</v>
          </cell>
          <cell r="N839">
            <v>7</v>
          </cell>
          <cell r="O839">
            <v>223</v>
          </cell>
          <cell r="P839">
            <v>230</v>
          </cell>
        </row>
        <row r="840">
          <cell r="J840">
            <v>0.22</v>
          </cell>
          <cell r="K840">
            <v>0.2727</v>
          </cell>
          <cell r="L840">
            <v>0.8</v>
          </cell>
          <cell r="M840">
            <v>0</v>
          </cell>
          <cell r="N840">
            <v>3</v>
          </cell>
          <cell r="O840">
            <v>115</v>
          </cell>
          <cell r="P840">
            <v>118</v>
          </cell>
        </row>
        <row r="841">
          <cell r="J841">
            <v>0.24</v>
          </cell>
          <cell r="K841">
            <v>0.2576</v>
          </cell>
          <cell r="L841">
            <v>0.75</v>
          </cell>
          <cell r="M841">
            <v>0.1045</v>
          </cell>
          <cell r="N841">
            <v>6</v>
          </cell>
          <cell r="O841">
            <v>49</v>
          </cell>
          <cell r="P841">
            <v>55</v>
          </cell>
        </row>
        <row r="842">
          <cell r="J842">
            <v>0.3</v>
          </cell>
          <cell r="K842">
            <v>0.31819999999999998</v>
          </cell>
          <cell r="L842">
            <v>0.65</v>
          </cell>
          <cell r="M842">
            <v>8.9599999999999999E-2</v>
          </cell>
          <cell r="N842">
            <v>11</v>
          </cell>
          <cell r="O842">
            <v>36</v>
          </cell>
          <cell r="P842">
            <v>47</v>
          </cell>
        </row>
        <row r="843">
          <cell r="J843">
            <v>0.32</v>
          </cell>
          <cell r="K843">
            <v>0.34849999999999998</v>
          </cell>
          <cell r="L843">
            <v>0.62</v>
          </cell>
          <cell r="M843">
            <v>0</v>
          </cell>
          <cell r="N843">
            <v>7</v>
          </cell>
          <cell r="O843">
            <v>59</v>
          </cell>
          <cell r="P843">
            <v>66</v>
          </cell>
        </row>
        <row r="844">
          <cell r="J844">
            <v>0.36</v>
          </cell>
          <cell r="K844">
            <v>0.36359999999999998</v>
          </cell>
          <cell r="L844">
            <v>0.56999999999999995</v>
          </cell>
          <cell r="M844">
            <v>8.9599999999999999E-2</v>
          </cell>
          <cell r="N844">
            <v>10</v>
          </cell>
          <cell r="O844">
            <v>54</v>
          </cell>
          <cell r="P844">
            <v>64</v>
          </cell>
        </row>
        <row r="845">
          <cell r="J845">
            <v>0.36</v>
          </cell>
          <cell r="K845">
            <v>0.36359999999999998</v>
          </cell>
          <cell r="L845">
            <v>0.56999999999999995</v>
          </cell>
          <cell r="M845">
            <v>8.9599999999999999E-2</v>
          </cell>
          <cell r="N845">
            <v>8</v>
          </cell>
          <cell r="O845">
            <v>52</v>
          </cell>
          <cell r="P845">
            <v>60</v>
          </cell>
        </row>
        <row r="846">
          <cell r="J846">
            <v>0.38</v>
          </cell>
          <cell r="K846">
            <v>0.39389999999999997</v>
          </cell>
          <cell r="L846">
            <v>0.54</v>
          </cell>
          <cell r="M846">
            <v>8.9599999999999999E-2</v>
          </cell>
          <cell r="N846">
            <v>4</v>
          </cell>
          <cell r="O846">
            <v>46</v>
          </cell>
          <cell r="P846">
            <v>50</v>
          </cell>
        </row>
        <row r="847">
          <cell r="J847">
            <v>0.36</v>
          </cell>
          <cell r="K847">
            <v>0.34849999999999998</v>
          </cell>
          <cell r="L847">
            <v>0.56999999999999995</v>
          </cell>
          <cell r="M847">
            <v>0.1343</v>
          </cell>
          <cell r="N847">
            <v>16</v>
          </cell>
          <cell r="O847">
            <v>98</v>
          </cell>
          <cell r="P847">
            <v>114</v>
          </cell>
        </row>
        <row r="848">
          <cell r="J848">
            <v>0.32</v>
          </cell>
          <cell r="K848">
            <v>0.31819999999999998</v>
          </cell>
          <cell r="L848">
            <v>0.7</v>
          </cell>
          <cell r="M848">
            <v>0.16420000000000001</v>
          </cell>
          <cell r="N848">
            <v>9</v>
          </cell>
          <cell r="O848">
            <v>207</v>
          </cell>
          <cell r="P848">
            <v>216</v>
          </cell>
        </row>
        <row r="849">
          <cell r="J849">
            <v>0.34</v>
          </cell>
          <cell r="K849">
            <v>0.33329999999999999</v>
          </cell>
          <cell r="L849">
            <v>0.66</v>
          </cell>
          <cell r="M849">
            <v>0.1343</v>
          </cell>
          <cell r="N849">
            <v>5</v>
          </cell>
          <cell r="O849">
            <v>170</v>
          </cell>
          <cell r="P849">
            <v>175</v>
          </cell>
        </row>
        <row r="850">
          <cell r="J850">
            <v>0.32</v>
          </cell>
          <cell r="K850">
            <v>0.34849999999999998</v>
          </cell>
          <cell r="L850">
            <v>0.7</v>
          </cell>
          <cell r="M850">
            <v>0</v>
          </cell>
          <cell r="N850">
            <v>5</v>
          </cell>
          <cell r="O850">
            <v>123</v>
          </cell>
          <cell r="P850">
            <v>128</v>
          </cell>
        </row>
        <row r="851">
          <cell r="J851">
            <v>0.32</v>
          </cell>
          <cell r="K851">
            <v>0.33329999999999999</v>
          </cell>
          <cell r="L851">
            <v>0.7</v>
          </cell>
          <cell r="M851">
            <v>0.1045</v>
          </cell>
          <cell r="N851">
            <v>6</v>
          </cell>
          <cell r="O851">
            <v>82</v>
          </cell>
          <cell r="P851">
            <v>88</v>
          </cell>
        </row>
        <row r="852">
          <cell r="J852">
            <v>0.32</v>
          </cell>
          <cell r="K852">
            <v>0.34849999999999998</v>
          </cell>
          <cell r="L852">
            <v>0.7</v>
          </cell>
          <cell r="M852">
            <v>0</v>
          </cell>
          <cell r="N852">
            <v>3</v>
          </cell>
          <cell r="O852">
            <v>75</v>
          </cell>
          <cell r="P852">
            <v>78</v>
          </cell>
        </row>
        <row r="853">
          <cell r="J853">
            <v>0.28000000000000003</v>
          </cell>
          <cell r="K853">
            <v>0.30299999999999999</v>
          </cell>
          <cell r="L853">
            <v>0.81</v>
          </cell>
          <cell r="M853">
            <v>8.9599999999999999E-2</v>
          </cell>
          <cell r="N853">
            <v>3</v>
          </cell>
          <cell r="O853">
            <v>34</v>
          </cell>
          <cell r="P853">
            <v>37</v>
          </cell>
        </row>
        <row r="854">
          <cell r="J854">
            <v>0.3</v>
          </cell>
          <cell r="K854">
            <v>0.33329999999999999</v>
          </cell>
          <cell r="L854">
            <v>0.81</v>
          </cell>
          <cell r="M854">
            <v>0</v>
          </cell>
          <cell r="N854">
            <v>6</v>
          </cell>
          <cell r="O854">
            <v>19</v>
          </cell>
          <cell r="P854">
            <v>25</v>
          </cell>
        </row>
        <row r="855">
          <cell r="J855">
            <v>0.28000000000000003</v>
          </cell>
          <cell r="K855">
            <v>0.31819999999999998</v>
          </cell>
          <cell r="L855">
            <v>0.87</v>
          </cell>
          <cell r="M855">
            <v>0</v>
          </cell>
          <cell r="N855">
            <v>4</v>
          </cell>
          <cell r="O855">
            <v>6</v>
          </cell>
          <cell r="P855">
            <v>10</v>
          </cell>
        </row>
        <row r="856">
          <cell r="J856">
            <v>0.28000000000000003</v>
          </cell>
          <cell r="K856">
            <v>0.31819999999999998</v>
          </cell>
          <cell r="L856">
            <v>0.87</v>
          </cell>
          <cell r="M856">
            <v>0</v>
          </cell>
          <cell r="N856">
            <v>0</v>
          </cell>
          <cell r="O856">
            <v>4</v>
          </cell>
          <cell r="P856">
            <v>4</v>
          </cell>
        </row>
        <row r="857">
          <cell r="J857">
            <v>0.26</v>
          </cell>
          <cell r="K857">
            <v>0.2727</v>
          </cell>
          <cell r="L857">
            <v>0.93</v>
          </cell>
          <cell r="M857">
            <v>0.1045</v>
          </cell>
          <cell r="N857">
            <v>1</v>
          </cell>
          <cell r="O857">
            <v>1</v>
          </cell>
          <cell r="P857">
            <v>2</v>
          </cell>
        </row>
        <row r="858">
          <cell r="J858">
            <v>0.28000000000000003</v>
          </cell>
          <cell r="K858">
            <v>0.2727</v>
          </cell>
          <cell r="L858">
            <v>0.93</v>
          </cell>
          <cell r="M858">
            <v>0.16420000000000001</v>
          </cell>
          <cell r="N858">
            <v>0</v>
          </cell>
          <cell r="O858">
            <v>1</v>
          </cell>
          <cell r="P858">
            <v>1</v>
          </cell>
        </row>
        <row r="859">
          <cell r="J859">
            <v>0.26</v>
          </cell>
          <cell r="K859">
            <v>0.2576</v>
          </cell>
          <cell r="L859">
            <v>0.93</v>
          </cell>
          <cell r="M859">
            <v>0.16420000000000001</v>
          </cell>
          <cell r="N859">
            <v>0</v>
          </cell>
          <cell r="O859">
            <v>3</v>
          </cell>
          <cell r="P859">
            <v>3</v>
          </cell>
        </row>
        <row r="860">
          <cell r="J860">
            <v>0.26</v>
          </cell>
          <cell r="K860">
            <v>0.2273</v>
          </cell>
          <cell r="L860">
            <v>0.81</v>
          </cell>
          <cell r="M860">
            <v>0.32840000000000003</v>
          </cell>
          <cell r="N860">
            <v>0</v>
          </cell>
          <cell r="O860">
            <v>2</v>
          </cell>
          <cell r="P860">
            <v>2</v>
          </cell>
        </row>
        <row r="861">
          <cell r="J861">
            <v>0.26</v>
          </cell>
          <cell r="K861">
            <v>0.2273</v>
          </cell>
          <cell r="L861">
            <v>0.7</v>
          </cell>
          <cell r="M861">
            <v>0.32840000000000003</v>
          </cell>
          <cell r="N861">
            <v>0</v>
          </cell>
          <cell r="O861">
            <v>39</v>
          </cell>
          <cell r="P861">
            <v>39</v>
          </cell>
        </row>
        <row r="862">
          <cell r="J862">
            <v>0.24</v>
          </cell>
          <cell r="K862">
            <v>0.19700000000000001</v>
          </cell>
          <cell r="L862">
            <v>0.65</v>
          </cell>
          <cell r="M862">
            <v>0.41789999999999999</v>
          </cell>
          <cell r="N862">
            <v>3</v>
          </cell>
          <cell r="O862">
            <v>97</v>
          </cell>
          <cell r="P862">
            <v>100</v>
          </cell>
        </row>
        <row r="863">
          <cell r="J863">
            <v>0.24</v>
          </cell>
          <cell r="K863">
            <v>0.19700000000000001</v>
          </cell>
          <cell r="L863">
            <v>0.56000000000000005</v>
          </cell>
          <cell r="M863">
            <v>0.49249999999999999</v>
          </cell>
          <cell r="N863">
            <v>7</v>
          </cell>
          <cell r="O863">
            <v>236</v>
          </cell>
          <cell r="P863">
            <v>243</v>
          </cell>
        </row>
        <row r="864">
          <cell r="J864">
            <v>0.24</v>
          </cell>
          <cell r="K864">
            <v>0.19700000000000001</v>
          </cell>
          <cell r="L864">
            <v>0.52</v>
          </cell>
          <cell r="M864">
            <v>0.49249999999999999</v>
          </cell>
          <cell r="N864">
            <v>7</v>
          </cell>
          <cell r="O864">
            <v>128</v>
          </cell>
          <cell r="P864">
            <v>135</v>
          </cell>
        </row>
        <row r="865">
          <cell r="J865">
            <v>0.22</v>
          </cell>
          <cell r="K865">
            <v>0.18179999999999999</v>
          </cell>
          <cell r="L865">
            <v>0.47</v>
          </cell>
          <cell r="M865">
            <v>0.55220000000000002</v>
          </cell>
          <cell r="N865">
            <v>4</v>
          </cell>
          <cell r="O865">
            <v>44</v>
          </cell>
          <cell r="P865">
            <v>48</v>
          </cell>
        </row>
        <row r="866">
          <cell r="J866">
            <v>0.22</v>
          </cell>
          <cell r="K866">
            <v>0.18179999999999999</v>
          </cell>
          <cell r="L866">
            <v>0.47</v>
          </cell>
          <cell r="M866">
            <v>0.4627</v>
          </cell>
          <cell r="N866">
            <v>1</v>
          </cell>
          <cell r="O866">
            <v>49</v>
          </cell>
          <cell r="P866">
            <v>50</v>
          </cell>
        </row>
        <row r="867">
          <cell r="J867">
            <v>0.24</v>
          </cell>
          <cell r="K867">
            <v>0.19700000000000001</v>
          </cell>
          <cell r="L867">
            <v>0.38</v>
          </cell>
          <cell r="M867">
            <v>0.49249999999999999</v>
          </cell>
          <cell r="N867">
            <v>2</v>
          </cell>
          <cell r="O867">
            <v>63</v>
          </cell>
          <cell r="P867">
            <v>65</v>
          </cell>
        </row>
        <row r="868">
          <cell r="J868">
            <v>0.24</v>
          </cell>
          <cell r="K868">
            <v>0.19700000000000001</v>
          </cell>
          <cell r="L868">
            <v>0.32</v>
          </cell>
          <cell r="M868">
            <v>0.44779999999999998</v>
          </cell>
          <cell r="N868">
            <v>2</v>
          </cell>
          <cell r="O868">
            <v>48</v>
          </cell>
          <cell r="P868">
            <v>50</v>
          </cell>
        </row>
        <row r="869">
          <cell r="J869">
            <v>0.22</v>
          </cell>
          <cell r="K869">
            <v>0.19700000000000001</v>
          </cell>
          <cell r="L869">
            <v>0.37</v>
          </cell>
          <cell r="M869">
            <v>0.41789999999999999</v>
          </cell>
          <cell r="N869">
            <v>3</v>
          </cell>
          <cell r="O869">
            <v>61</v>
          </cell>
          <cell r="P869">
            <v>64</v>
          </cell>
        </row>
        <row r="870">
          <cell r="J870">
            <v>0.22</v>
          </cell>
          <cell r="K870">
            <v>0.19700000000000001</v>
          </cell>
          <cell r="L870">
            <v>0.35</v>
          </cell>
          <cell r="M870">
            <v>0.3881</v>
          </cell>
          <cell r="N870">
            <v>6</v>
          </cell>
          <cell r="O870">
            <v>45</v>
          </cell>
          <cell r="P870">
            <v>51</v>
          </cell>
        </row>
        <row r="871">
          <cell r="J871">
            <v>0.22</v>
          </cell>
          <cell r="K871">
            <v>0.18179999999999999</v>
          </cell>
          <cell r="L871">
            <v>0.35</v>
          </cell>
          <cell r="M871">
            <v>0.52239999999999998</v>
          </cell>
          <cell r="N871">
            <v>4</v>
          </cell>
          <cell r="O871">
            <v>79</v>
          </cell>
          <cell r="P871">
            <v>83</v>
          </cell>
        </row>
        <row r="872">
          <cell r="J872">
            <v>0.22</v>
          </cell>
          <cell r="K872">
            <v>0.18179999999999999</v>
          </cell>
          <cell r="L872">
            <v>0.32</v>
          </cell>
          <cell r="M872">
            <v>0.58209999999999995</v>
          </cell>
          <cell r="N872">
            <v>4</v>
          </cell>
          <cell r="O872">
            <v>172</v>
          </cell>
          <cell r="P872">
            <v>176</v>
          </cell>
        </row>
        <row r="873">
          <cell r="J873">
            <v>0.2</v>
          </cell>
          <cell r="K873">
            <v>0.18179999999999999</v>
          </cell>
          <cell r="L873">
            <v>0.32</v>
          </cell>
          <cell r="M873">
            <v>0.3881</v>
          </cell>
          <cell r="N873">
            <v>1</v>
          </cell>
          <cell r="O873">
            <v>151</v>
          </cell>
          <cell r="P873">
            <v>152</v>
          </cell>
        </row>
        <row r="874">
          <cell r="J874">
            <v>0.16</v>
          </cell>
          <cell r="K874">
            <v>0.1212</v>
          </cell>
          <cell r="L874">
            <v>0.4</v>
          </cell>
          <cell r="M874">
            <v>0.4627</v>
          </cell>
          <cell r="N874">
            <v>1</v>
          </cell>
          <cell r="O874">
            <v>100</v>
          </cell>
          <cell r="P874">
            <v>101</v>
          </cell>
        </row>
        <row r="875">
          <cell r="J875">
            <v>0.16</v>
          </cell>
          <cell r="K875">
            <v>0.13639999999999999</v>
          </cell>
          <cell r="L875">
            <v>0.4</v>
          </cell>
          <cell r="M875">
            <v>0.32840000000000003</v>
          </cell>
          <cell r="N875">
            <v>3</v>
          </cell>
          <cell r="O875">
            <v>53</v>
          </cell>
          <cell r="P875">
            <v>56</v>
          </cell>
        </row>
        <row r="876">
          <cell r="J876">
            <v>0.14000000000000001</v>
          </cell>
          <cell r="K876">
            <v>0.1061</v>
          </cell>
          <cell r="L876">
            <v>0.33</v>
          </cell>
          <cell r="M876">
            <v>0.4627</v>
          </cell>
          <cell r="N876">
            <v>8</v>
          </cell>
          <cell r="O876">
            <v>46</v>
          </cell>
          <cell r="P876">
            <v>54</v>
          </cell>
        </row>
        <row r="877">
          <cell r="J877">
            <v>0.12</v>
          </cell>
          <cell r="K877">
            <v>0.1061</v>
          </cell>
          <cell r="L877">
            <v>0.33</v>
          </cell>
          <cell r="M877">
            <v>0.35820000000000002</v>
          </cell>
          <cell r="N877">
            <v>0</v>
          </cell>
          <cell r="O877">
            <v>29</v>
          </cell>
          <cell r="P877">
            <v>29</v>
          </cell>
        </row>
        <row r="878">
          <cell r="J878">
            <v>0.12</v>
          </cell>
          <cell r="K878">
            <v>0.1061</v>
          </cell>
          <cell r="L878">
            <v>0.33</v>
          </cell>
          <cell r="M878">
            <v>0.32840000000000003</v>
          </cell>
          <cell r="N878">
            <v>3</v>
          </cell>
          <cell r="O878">
            <v>9</v>
          </cell>
          <cell r="P878">
            <v>12</v>
          </cell>
        </row>
        <row r="879">
          <cell r="J879">
            <v>0.1</v>
          </cell>
          <cell r="K879">
            <v>7.5800000000000006E-2</v>
          </cell>
          <cell r="L879">
            <v>0.36</v>
          </cell>
          <cell r="M879">
            <v>0.35820000000000002</v>
          </cell>
          <cell r="N879">
            <v>0</v>
          </cell>
          <cell r="O879">
            <v>17</v>
          </cell>
          <cell r="P879">
            <v>17</v>
          </cell>
        </row>
        <row r="880">
          <cell r="J880">
            <v>0.1</v>
          </cell>
          <cell r="K880">
            <v>0.1061</v>
          </cell>
          <cell r="L880">
            <v>0.36</v>
          </cell>
          <cell r="M880">
            <v>0.22389999999999999</v>
          </cell>
          <cell r="N880">
            <v>0</v>
          </cell>
          <cell r="O880">
            <v>7</v>
          </cell>
          <cell r="P880">
            <v>7</v>
          </cell>
        </row>
        <row r="881">
          <cell r="J881">
            <v>0.08</v>
          </cell>
          <cell r="K881">
            <v>7.5800000000000006E-2</v>
          </cell>
          <cell r="L881">
            <v>0.38</v>
          </cell>
          <cell r="M881">
            <v>0.28360000000000002</v>
          </cell>
          <cell r="N881">
            <v>1</v>
          </cell>
          <cell r="O881">
            <v>2</v>
          </cell>
          <cell r="P881">
            <v>3</v>
          </cell>
        </row>
        <row r="882">
          <cell r="J882">
            <v>0.06</v>
          </cell>
          <cell r="K882">
            <v>7.5800000000000006E-2</v>
          </cell>
          <cell r="L882">
            <v>0.45</v>
          </cell>
          <cell r="M882">
            <v>0.1343</v>
          </cell>
          <cell r="N882">
            <v>0</v>
          </cell>
          <cell r="O882">
            <v>2</v>
          </cell>
          <cell r="P882">
            <v>2</v>
          </cell>
        </row>
        <row r="883">
          <cell r="J883">
            <v>0.06</v>
          </cell>
          <cell r="K883">
            <v>0.1061</v>
          </cell>
          <cell r="L883">
            <v>0.45</v>
          </cell>
          <cell r="M883">
            <v>0.1045</v>
          </cell>
          <cell r="N883">
            <v>0</v>
          </cell>
          <cell r="O883">
            <v>7</v>
          </cell>
          <cell r="P883">
            <v>7</v>
          </cell>
        </row>
        <row r="884">
          <cell r="J884">
            <v>0.06</v>
          </cell>
          <cell r="K884">
            <v>0.1515</v>
          </cell>
          <cell r="L884">
            <v>0.45</v>
          </cell>
          <cell r="M884">
            <v>0</v>
          </cell>
          <cell r="N884">
            <v>0</v>
          </cell>
          <cell r="O884">
            <v>43</v>
          </cell>
          <cell r="P884">
            <v>43</v>
          </cell>
        </row>
        <row r="885">
          <cell r="J885">
            <v>0.06</v>
          </cell>
          <cell r="K885">
            <v>0.1061</v>
          </cell>
          <cell r="L885">
            <v>0.49</v>
          </cell>
          <cell r="M885">
            <v>0.1045</v>
          </cell>
          <cell r="N885">
            <v>4</v>
          </cell>
          <cell r="O885">
            <v>95</v>
          </cell>
          <cell r="P885">
            <v>99</v>
          </cell>
        </row>
        <row r="886">
          <cell r="J886">
            <v>0.1</v>
          </cell>
          <cell r="K886">
            <v>0.13639999999999999</v>
          </cell>
          <cell r="L886">
            <v>0.42</v>
          </cell>
          <cell r="M886">
            <v>0</v>
          </cell>
          <cell r="N886">
            <v>1</v>
          </cell>
          <cell r="O886">
            <v>198</v>
          </cell>
          <cell r="P886">
            <v>199</v>
          </cell>
        </row>
        <row r="887">
          <cell r="J887">
            <v>0.12</v>
          </cell>
          <cell r="K887">
            <v>0.13639999999999999</v>
          </cell>
          <cell r="L887">
            <v>0.39</v>
          </cell>
          <cell r="M887">
            <v>0.16420000000000001</v>
          </cell>
          <cell r="N887">
            <v>4</v>
          </cell>
          <cell r="O887">
            <v>119</v>
          </cell>
          <cell r="P887">
            <v>123</v>
          </cell>
        </row>
        <row r="888">
          <cell r="J888">
            <v>0.14000000000000001</v>
          </cell>
          <cell r="K888">
            <v>0.18179999999999999</v>
          </cell>
          <cell r="L888">
            <v>0.36</v>
          </cell>
          <cell r="M888">
            <v>0</v>
          </cell>
          <cell r="N888">
            <v>8</v>
          </cell>
          <cell r="O888">
            <v>51</v>
          </cell>
          <cell r="P888">
            <v>59</v>
          </cell>
        </row>
        <row r="889">
          <cell r="J889">
            <v>0.14000000000000001</v>
          </cell>
          <cell r="K889">
            <v>0.1515</v>
          </cell>
          <cell r="L889">
            <v>0.43</v>
          </cell>
          <cell r="M889">
            <v>0.16420000000000001</v>
          </cell>
          <cell r="N889">
            <v>1</v>
          </cell>
          <cell r="O889">
            <v>40</v>
          </cell>
          <cell r="P889">
            <v>41</v>
          </cell>
        </row>
        <row r="890">
          <cell r="J890">
            <v>0.18</v>
          </cell>
          <cell r="K890">
            <v>0.18179999999999999</v>
          </cell>
          <cell r="L890">
            <v>0.4</v>
          </cell>
          <cell r="M890">
            <v>0.22389999999999999</v>
          </cell>
          <cell r="N890">
            <v>4</v>
          </cell>
          <cell r="O890">
            <v>57</v>
          </cell>
          <cell r="P890">
            <v>61</v>
          </cell>
        </row>
        <row r="891">
          <cell r="J891">
            <v>0.18</v>
          </cell>
          <cell r="K891">
            <v>0.16669999999999999</v>
          </cell>
          <cell r="L891">
            <v>0.4</v>
          </cell>
          <cell r="M891">
            <v>0.25369999999999998</v>
          </cell>
          <cell r="N891">
            <v>2</v>
          </cell>
          <cell r="O891">
            <v>67</v>
          </cell>
          <cell r="P891">
            <v>69</v>
          </cell>
        </row>
        <row r="892">
          <cell r="J892">
            <v>0.2</v>
          </cell>
          <cell r="K892">
            <v>0.18179999999999999</v>
          </cell>
          <cell r="L892">
            <v>0.34</v>
          </cell>
          <cell r="M892">
            <v>0.29849999999999999</v>
          </cell>
          <cell r="N892">
            <v>2</v>
          </cell>
          <cell r="O892">
            <v>56</v>
          </cell>
          <cell r="P892">
            <v>58</v>
          </cell>
        </row>
        <row r="893">
          <cell r="J893">
            <v>0.2</v>
          </cell>
          <cell r="K893">
            <v>0.18179999999999999</v>
          </cell>
          <cell r="L893">
            <v>0.34</v>
          </cell>
          <cell r="M893">
            <v>0.28360000000000002</v>
          </cell>
          <cell r="N893">
            <v>3</v>
          </cell>
          <cell r="O893">
            <v>61</v>
          </cell>
          <cell r="P893">
            <v>64</v>
          </cell>
        </row>
        <row r="894">
          <cell r="J894">
            <v>0.2</v>
          </cell>
          <cell r="K894">
            <v>0.19700000000000001</v>
          </cell>
          <cell r="L894">
            <v>0.37</v>
          </cell>
          <cell r="M894">
            <v>0.25369999999999998</v>
          </cell>
          <cell r="N894">
            <v>7</v>
          </cell>
          <cell r="O894">
            <v>72</v>
          </cell>
          <cell r="P894">
            <v>79</v>
          </cell>
        </row>
        <row r="895">
          <cell r="J895">
            <v>0.2</v>
          </cell>
          <cell r="K895">
            <v>0.19700000000000001</v>
          </cell>
          <cell r="L895">
            <v>0.34</v>
          </cell>
          <cell r="M895">
            <v>0.25369999999999998</v>
          </cell>
          <cell r="N895">
            <v>9</v>
          </cell>
          <cell r="O895">
            <v>157</v>
          </cell>
          <cell r="P895">
            <v>166</v>
          </cell>
        </row>
        <row r="896">
          <cell r="J896">
            <v>0.18</v>
          </cell>
          <cell r="K896">
            <v>0.16669999999999999</v>
          </cell>
          <cell r="L896">
            <v>0.47</v>
          </cell>
          <cell r="M896">
            <v>0.29849999999999999</v>
          </cell>
          <cell r="N896">
            <v>2</v>
          </cell>
          <cell r="O896">
            <v>168</v>
          </cell>
          <cell r="P896">
            <v>170</v>
          </cell>
        </row>
        <row r="897">
          <cell r="J897">
            <v>0.14000000000000001</v>
          </cell>
          <cell r="K897">
            <v>0.1212</v>
          </cell>
          <cell r="L897">
            <v>0.86</v>
          </cell>
          <cell r="M897">
            <v>0.25369999999999998</v>
          </cell>
          <cell r="N897">
            <v>1</v>
          </cell>
          <cell r="O897">
            <v>87</v>
          </cell>
          <cell r="P897">
            <v>88</v>
          </cell>
        </row>
        <row r="898">
          <cell r="J898">
            <v>0.14000000000000001</v>
          </cell>
          <cell r="K898">
            <v>0.1515</v>
          </cell>
          <cell r="L898">
            <v>0.86</v>
          </cell>
          <cell r="M898">
            <v>0.16420000000000001</v>
          </cell>
          <cell r="N898">
            <v>0</v>
          </cell>
          <cell r="O898">
            <v>84</v>
          </cell>
          <cell r="P898">
            <v>84</v>
          </cell>
        </row>
        <row r="899">
          <cell r="J899">
            <v>0.14000000000000001</v>
          </cell>
          <cell r="K899">
            <v>0.1515</v>
          </cell>
          <cell r="L899">
            <v>0.86</v>
          </cell>
          <cell r="M899">
            <v>0.16420000000000001</v>
          </cell>
          <cell r="N899">
            <v>0</v>
          </cell>
          <cell r="O899">
            <v>83</v>
          </cell>
          <cell r="P899">
            <v>83</v>
          </cell>
        </row>
        <row r="900">
          <cell r="J900">
            <v>0.16</v>
          </cell>
          <cell r="K900">
            <v>0.16669999999999999</v>
          </cell>
          <cell r="L900">
            <v>0.8</v>
          </cell>
          <cell r="M900">
            <v>0.16420000000000001</v>
          </cell>
          <cell r="N900">
            <v>4</v>
          </cell>
          <cell r="O900">
            <v>42</v>
          </cell>
          <cell r="P900">
            <v>46</v>
          </cell>
        </row>
        <row r="901">
          <cell r="J901">
            <v>0.16</v>
          </cell>
          <cell r="K901">
            <v>0.1515</v>
          </cell>
          <cell r="L901">
            <v>0.8</v>
          </cell>
          <cell r="M901">
            <v>0.19400000000000001</v>
          </cell>
          <cell r="N901">
            <v>0</v>
          </cell>
          <cell r="O901">
            <v>37</v>
          </cell>
          <cell r="P901">
            <v>37</v>
          </cell>
        </row>
        <row r="902">
          <cell r="J902">
            <v>0.14000000000000001</v>
          </cell>
          <cell r="K902">
            <v>0.13639999999999999</v>
          </cell>
          <cell r="L902">
            <v>0.86</v>
          </cell>
          <cell r="M902">
            <v>0.19400000000000001</v>
          </cell>
          <cell r="N902">
            <v>0</v>
          </cell>
          <cell r="O902">
            <v>16</v>
          </cell>
          <cell r="P902">
            <v>16</v>
          </cell>
        </row>
        <row r="903">
          <cell r="J903">
            <v>0.14000000000000001</v>
          </cell>
          <cell r="K903">
            <v>0.1515</v>
          </cell>
          <cell r="L903">
            <v>0.8</v>
          </cell>
          <cell r="M903">
            <v>0.1343</v>
          </cell>
          <cell r="N903">
            <v>0</v>
          </cell>
          <cell r="O903">
            <v>7</v>
          </cell>
          <cell r="P903">
            <v>7</v>
          </cell>
        </row>
        <row r="904">
          <cell r="J904">
            <v>0.14000000000000001</v>
          </cell>
          <cell r="K904">
            <v>0.1515</v>
          </cell>
          <cell r="L904">
            <v>0.8</v>
          </cell>
          <cell r="M904">
            <v>0.1343</v>
          </cell>
          <cell r="N904">
            <v>0</v>
          </cell>
          <cell r="O904">
            <v>3</v>
          </cell>
          <cell r="P904">
            <v>3</v>
          </cell>
        </row>
        <row r="905">
          <cell r="J905">
            <v>0.14000000000000001</v>
          </cell>
          <cell r="K905">
            <v>0.13639999999999999</v>
          </cell>
          <cell r="L905">
            <v>0.59</v>
          </cell>
          <cell r="M905">
            <v>0.22389999999999999</v>
          </cell>
          <cell r="N905">
            <v>0</v>
          </cell>
          <cell r="O905">
            <v>1</v>
          </cell>
          <cell r="P905">
            <v>1</v>
          </cell>
        </row>
        <row r="906">
          <cell r="J906">
            <v>0.12</v>
          </cell>
          <cell r="K906">
            <v>0.1212</v>
          </cell>
          <cell r="L906">
            <v>0.5</v>
          </cell>
          <cell r="M906">
            <v>0.22389999999999999</v>
          </cell>
          <cell r="N906">
            <v>0</v>
          </cell>
          <cell r="O906">
            <v>6</v>
          </cell>
          <cell r="P906">
            <v>6</v>
          </cell>
        </row>
        <row r="907">
          <cell r="J907">
            <v>0.12</v>
          </cell>
          <cell r="K907">
            <v>0.1212</v>
          </cell>
          <cell r="L907">
            <v>0.54</v>
          </cell>
          <cell r="M907">
            <v>0.28360000000000002</v>
          </cell>
          <cell r="N907">
            <v>0</v>
          </cell>
          <cell r="O907">
            <v>26</v>
          </cell>
          <cell r="P907">
            <v>26</v>
          </cell>
        </row>
        <row r="908">
          <cell r="J908">
            <v>0.1</v>
          </cell>
          <cell r="K908">
            <v>7.5800000000000006E-2</v>
          </cell>
          <cell r="L908">
            <v>0.5</v>
          </cell>
          <cell r="M908">
            <v>0.41789999999999999</v>
          </cell>
          <cell r="N908">
            <v>0</v>
          </cell>
          <cell r="O908">
            <v>99</v>
          </cell>
          <cell r="P908">
            <v>99</v>
          </cell>
        </row>
        <row r="909">
          <cell r="J909">
            <v>0.1</v>
          </cell>
          <cell r="K909">
            <v>7.5800000000000006E-2</v>
          </cell>
          <cell r="L909">
            <v>0.49</v>
          </cell>
          <cell r="M909">
            <v>0.32840000000000003</v>
          </cell>
          <cell r="N909">
            <v>5</v>
          </cell>
          <cell r="O909">
            <v>173</v>
          </cell>
          <cell r="P909">
            <v>178</v>
          </cell>
        </row>
        <row r="910">
          <cell r="J910">
            <v>0.12</v>
          </cell>
          <cell r="K910">
            <v>0.1061</v>
          </cell>
          <cell r="L910">
            <v>0.42</v>
          </cell>
          <cell r="M910">
            <v>0.35820000000000002</v>
          </cell>
          <cell r="N910">
            <v>1</v>
          </cell>
          <cell r="O910">
            <v>121</v>
          </cell>
          <cell r="P910">
            <v>122</v>
          </cell>
        </row>
        <row r="911">
          <cell r="J911">
            <v>0.12</v>
          </cell>
          <cell r="K911">
            <v>0.1061</v>
          </cell>
          <cell r="L911">
            <v>0.42</v>
          </cell>
          <cell r="M911">
            <v>0.29849999999999999</v>
          </cell>
          <cell r="N911">
            <v>1</v>
          </cell>
          <cell r="O911">
            <v>34</v>
          </cell>
          <cell r="P911">
            <v>35</v>
          </cell>
        </row>
        <row r="912">
          <cell r="J912">
            <v>0.14000000000000001</v>
          </cell>
          <cell r="K912">
            <v>0.1212</v>
          </cell>
          <cell r="L912">
            <v>0.39</v>
          </cell>
          <cell r="M912">
            <v>0.35820000000000002</v>
          </cell>
          <cell r="N912">
            <v>1</v>
          </cell>
          <cell r="O912">
            <v>44</v>
          </cell>
          <cell r="P912">
            <v>45</v>
          </cell>
        </row>
        <row r="913">
          <cell r="J913">
            <v>0.16</v>
          </cell>
          <cell r="K913">
            <v>0.13639999999999999</v>
          </cell>
          <cell r="L913">
            <v>0.34</v>
          </cell>
          <cell r="M913">
            <v>0.3881</v>
          </cell>
          <cell r="N913">
            <v>4</v>
          </cell>
          <cell r="O913">
            <v>65</v>
          </cell>
          <cell r="P913">
            <v>69</v>
          </cell>
        </row>
        <row r="914">
          <cell r="J914">
            <v>0.18</v>
          </cell>
          <cell r="K914">
            <v>0.16669999999999999</v>
          </cell>
          <cell r="L914">
            <v>0.28999999999999998</v>
          </cell>
          <cell r="M914">
            <v>0.29849999999999999</v>
          </cell>
          <cell r="N914">
            <v>3</v>
          </cell>
          <cell r="O914">
            <v>59</v>
          </cell>
          <cell r="P914">
            <v>62</v>
          </cell>
        </row>
        <row r="915">
          <cell r="J915">
            <v>0.2</v>
          </cell>
          <cell r="K915">
            <v>0.18179999999999999</v>
          </cell>
          <cell r="L915">
            <v>0.27</v>
          </cell>
          <cell r="M915">
            <v>0.28360000000000002</v>
          </cell>
          <cell r="N915">
            <v>6</v>
          </cell>
          <cell r="O915">
            <v>42</v>
          </cell>
          <cell r="P915">
            <v>48</v>
          </cell>
        </row>
        <row r="916">
          <cell r="J916">
            <v>0.2</v>
          </cell>
          <cell r="K916">
            <v>0.19700000000000001</v>
          </cell>
          <cell r="L916">
            <v>0.25</v>
          </cell>
          <cell r="M916">
            <v>0.25369999999999998</v>
          </cell>
          <cell r="N916">
            <v>0</v>
          </cell>
          <cell r="O916">
            <v>50</v>
          </cell>
          <cell r="P916">
            <v>50</v>
          </cell>
        </row>
        <row r="917">
          <cell r="J917">
            <v>0.2</v>
          </cell>
          <cell r="K917">
            <v>0.18179999999999999</v>
          </cell>
          <cell r="L917">
            <v>0.27</v>
          </cell>
          <cell r="M917">
            <v>0.29849999999999999</v>
          </cell>
          <cell r="N917">
            <v>4</v>
          </cell>
          <cell r="O917">
            <v>76</v>
          </cell>
          <cell r="P917">
            <v>80</v>
          </cell>
        </row>
        <row r="918">
          <cell r="J918">
            <v>0.18</v>
          </cell>
          <cell r="K918">
            <v>0.18179999999999999</v>
          </cell>
          <cell r="L918">
            <v>0.26</v>
          </cell>
          <cell r="M918">
            <v>0.19400000000000001</v>
          </cell>
          <cell r="N918">
            <v>6</v>
          </cell>
          <cell r="O918">
            <v>159</v>
          </cell>
          <cell r="P918">
            <v>165</v>
          </cell>
        </row>
        <row r="919">
          <cell r="J919">
            <v>0.16</v>
          </cell>
          <cell r="K919">
            <v>0.18179999999999999</v>
          </cell>
          <cell r="L919">
            <v>0.28000000000000003</v>
          </cell>
          <cell r="M919">
            <v>0.1343</v>
          </cell>
          <cell r="N919">
            <v>3</v>
          </cell>
          <cell r="O919">
            <v>157</v>
          </cell>
          <cell r="P919">
            <v>160</v>
          </cell>
        </row>
        <row r="920">
          <cell r="J920">
            <v>0.14000000000000001</v>
          </cell>
          <cell r="K920">
            <v>0.16669999999999999</v>
          </cell>
          <cell r="L920">
            <v>0.28000000000000003</v>
          </cell>
          <cell r="M920">
            <v>0.1045</v>
          </cell>
          <cell r="N920">
            <v>2</v>
          </cell>
          <cell r="O920">
            <v>110</v>
          </cell>
          <cell r="P920">
            <v>112</v>
          </cell>
        </row>
        <row r="921">
          <cell r="J921">
            <v>0.14000000000000001</v>
          </cell>
          <cell r="K921">
            <v>0.18179999999999999</v>
          </cell>
          <cell r="L921">
            <v>0.31</v>
          </cell>
          <cell r="M921">
            <v>8.9599999999999999E-2</v>
          </cell>
          <cell r="N921">
            <v>4</v>
          </cell>
          <cell r="O921">
            <v>93</v>
          </cell>
          <cell r="P921">
            <v>97</v>
          </cell>
        </row>
        <row r="922">
          <cell r="J922">
            <v>0.14000000000000001</v>
          </cell>
          <cell r="K922">
            <v>0.21210000000000001</v>
          </cell>
          <cell r="L922">
            <v>0.39</v>
          </cell>
          <cell r="M922">
            <v>0</v>
          </cell>
          <cell r="N922">
            <v>2</v>
          </cell>
          <cell r="O922">
            <v>70</v>
          </cell>
          <cell r="P922">
            <v>72</v>
          </cell>
        </row>
        <row r="923">
          <cell r="J923">
            <v>0.12</v>
          </cell>
          <cell r="K923">
            <v>0.19700000000000001</v>
          </cell>
          <cell r="L923">
            <v>0.39</v>
          </cell>
          <cell r="M923">
            <v>0</v>
          </cell>
          <cell r="N923">
            <v>4</v>
          </cell>
          <cell r="O923">
            <v>47</v>
          </cell>
          <cell r="P923">
            <v>51</v>
          </cell>
        </row>
        <row r="924">
          <cell r="J924">
            <v>0.12</v>
          </cell>
          <cell r="K924">
            <v>0.1515</v>
          </cell>
          <cell r="L924">
            <v>0.42</v>
          </cell>
          <cell r="M924">
            <v>0.1045</v>
          </cell>
          <cell r="N924">
            <v>1</v>
          </cell>
          <cell r="O924">
            <v>33</v>
          </cell>
          <cell r="P924">
            <v>34</v>
          </cell>
        </row>
        <row r="925">
          <cell r="J925">
            <v>0.1</v>
          </cell>
          <cell r="K925">
            <v>0.13639999999999999</v>
          </cell>
          <cell r="L925">
            <v>0.49</v>
          </cell>
          <cell r="M925">
            <v>0.1045</v>
          </cell>
          <cell r="N925">
            <v>2</v>
          </cell>
          <cell r="O925">
            <v>12</v>
          </cell>
          <cell r="P925">
            <v>14</v>
          </cell>
        </row>
        <row r="926">
          <cell r="J926">
            <v>0.1</v>
          </cell>
          <cell r="K926">
            <v>0.13639999999999999</v>
          </cell>
          <cell r="L926">
            <v>0.54</v>
          </cell>
          <cell r="M926">
            <v>8.9599999999999999E-2</v>
          </cell>
          <cell r="N926">
            <v>1</v>
          </cell>
          <cell r="O926">
            <v>6</v>
          </cell>
          <cell r="P926">
            <v>7</v>
          </cell>
        </row>
        <row r="927">
          <cell r="J927">
            <v>0.1</v>
          </cell>
          <cell r="K927">
            <v>0.13639999999999999</v>
          </cell>
          <cell r="L927">
            <v>0.54</v>
          </cell>
          <cell r="M927">
            <v>8.9599999999999999E-2</v>
          </cell>
          <cell r="N927">
            <v>0</v>
          </cell>
          <cell r="O927">
            <v>3</v>
          </cell>
          <cell r="P927">
            <v>3</v>
          </cell>
        </row>
        <row r="928">
          <cell r="J928">
            <v>0.08</v>
          </cell>
          <cell r="K928">
            <v>0.1212</v>
          </cell>
          <cell r="L928">
            <v>0.63</v>
          </cell>
          <cell r="M928">
            <v>8.9599999999999999E-2</v>
          </cell>
          <cell r="N928">
            <v>0</v>
          </cell>
          <cell r="O928">
            <v>4</v>
          </cell>
          <cell r="P928">
            <v>4</v>
          </cell>
        </row>
        <row r="929">
          <cell r="J929">
            <v>0.1</v>
          </cell>
          <cell r="K929">
            <v>0.18179999999999999</v>
          </cell>
          <cell r="L929">
            <v>0.68</v>
          </cell>
          <cell r="M929">
            <v>0</v>
          </cell>
          <cell r="N929">
            <v>1</v>
          </cell>
          <cell r="O929">
            <v>23</v>
          </cell>
          <cell r="P929">
            <v>24</v>
          </cell>
        </row>
        <row r="930">
          <cell r="J930">
            <v>0.08</v>
          </cell>
          <cell r="K930">
            <v>0.16669999999999999</v>
          </cell>
          <cell r="L930">
            <v>0.73</v>
          </cell>
          <cell r="M930">
            <v>0</v>
          </cell>
          <cell r="N930">
            <v>1</v>
          </cell>
          <cell r="O930">
            <v>73</v>
          </cell>
          <cell r="P930">
            <v>74</v>
          </cell>
        </row>
        <row r="931">
          <cell r="J931">
            <v>0.1</v>
          </cell>
          <cell r="K931">
            <v>0.1212</v>
          </cell>
          <cell r="L931">
            <v>0.74</v>
          </cell>
          <cell r="M931">
            <v>0.16420000000000001</v>
          </cell>
          <cell r="N931">
            <v>4</v>
          </cell>
          <cell r="O931">
            <v>212</v>
          </cell>
          <cell r="P931">
            <v>216</v>
          </cell>
        </row>
        <row r="932">
          <cell r="J932">
            <v>0.12</v>
          </cell>
          <cell r="K932">
            <v>0.1212</v>
          </cell>
          <cell r="L932">
            <v>0.74</v>
          </cell>
          <cell r="M932">
            <v>0.22389999999999999</v>
          </cell>
          <cell r="N932">
            <v>8</v>
          </cell>
          <cell r="O932">
            <v>132</v>
          </cell>
          <cell r="P932">
            <v>140</v>
          </cell>
        </row>
        <row r="933">
          <cell r="J933">
            <v>0.14000000000000001</v>
          </cell>
          <cell r="K933">
            <v>0.13639999999999999</v>
          </cell>
          <cell r="L933">
            <v>0.69</v>
          </cell>
          <cell r="M933">
            <v>0.19400000000000001</v>
          </cell>
          <cell r="N933">
            <v>5</v>
          </cell>
          <cell r="O933">
            <v>39</v>
          </cell>
          <cell r="P933">
            <v>44</v>
          </cell>
        </row>
        <row r="934">
          <cell r="J934">
            <v>0.22</v>
          </cell>
          <cell r="K934">
            <v>0.2273</v>
          </cell>
          <cell r="L934">
            <v>0.47</v>
          </cell>
          <cell r="M934">
            <v>0.1343</v>
          </cell>
          <cell r="N934">
            <v>12</v>
          </cell>
          <cell r="O934">
            <v>52</v>
          </cell>
          <cell r="P934">
            <v>64</v>
          </cell>
        </row>
        <row r="935">
          <cell r="J935">
            <v>0.22</v>
          </cell>
          <cell r="K935">
            <v>0.2273</v>
          </cell>
          <cell r="L935">
            <v>0.47</v>
          </cell>
          <cell r="M935">
            <v>0.1343</v>
          </cell>
          <cell r="N935">
            <v>7</v>
          </cell>
          <cell r="O935">
            <v>64</v>
          </cell>
          <cell r="P935">
            <v>71</v>
          </cell>
        </row>
        <row r="936">
          <cell r="J936">
            <v>0.24</v>
          </cell>
          <cell r="K936">
            <v>0.2273</v>
          </cell>
          <cell r="L936">
            <v>0.35</v>
          </cell>
          <cell r="M936">
            <v>0.19400000000000001</v>
          </cell>
          <cell r="N936">
            <v>21</v>
          </cell>
          <cell r="O936">
            <v>89</v>
          </cell>
          <cell r="P936">
            <v>110</v>
          </cell>
        </row>
        <row r="937">
          <cell r="J937">
            <v>0.3</v>
          </cell>
          <cell r="K937">
            <v>0.28789999999999999</v>
          </cell>
          <cell r="L937">
            <v>0.26</v>
          </cell>
          <cell r="M937">
            <v>0.25369999999999998</v>
          </cell>
          <cell r="N937">
            <v>17</v>
          </cell>
          <cell r="O937">
            <v>67</v>
          </cell>
          <cell r="P937">
            <v>84</v>
          </cell>
        </row>
        <row r="938">
          <cell r="J938">
            <v>0.32</v>
          </cell>
          <cell r="K938">
            <v>0.31819999999999998</v>
          </cell>
          <cell r="L938">
            <v>0.21</v>
          </cell>
          <cell r="M938">
            <v>0.16420000000000001</v>
          </cell>
          <cell r="N938">
            <v>12</v>
          </cell>
          <cell r="O938">
            <v>62</v>
          </cell>
          <cell r="P938">
            <v>74</v>
          </cell>
        </row>
        <row r="939">
          <cell r="J939">
            <v>0.3</v>
          </cell>
          <cell r="K939">
            <v>0.28789999999999999</v>
          </cell>
          <cell r="L939">
            <v>0.28000000000000003</v>
          </cell>
          <cell r="M939">
            <v>0.19400000000000001</v>
          </cell>
          <cell r="N939">
            <v>14</v>
          </cell>
          <cell r="O939">
            <v>111</v>
          </cell>
          <cell r="P939">
            <v>125</v>
          </cell>
        </row>
        <row r="940">
          <cell r="J940">
            <v>0.3</v>
          </cell>
          <cell r="K940">
            <v>0.33329999999999999</v>
          </cell>
          <cell r="L940">
            <v>0.24</v>
          </cell>
          <cell r="M940">
            <v>0</v>
          </cell>
          <cell r="N940">
            <v>18</v>
          </cell>
          <cell r="O940">
            <v>193</v>
          </cell>
          <cell r="P940">
            <v>211</v>
          </cell>
        </row>
        <row r="941">
          <cell r="J941">
            <v>0.28000000000000003</v>
          </cell>
          <cell r="K941">
            <v>0.31819999999999998</v>
          </cell>
          <cell r="L941">
            <v>0.28000000000000003</v>
          </cell>
          <cell r="M941">
            <v>0</v>
          </cell>
          <cell r="N941">
            <v>9</v>
          </cell>
          <cell r="O941">
            <v>165</v>
          </cell>
          <cell r="P941">
            <v>174</v>
          </cell>
        </row>
        <row r="942">
          <cell r="J942">
            <v>0.26</v>
          </cell>
          <cell r="K942">
            <v>0.30299999999999999</v>
          </cell>
          <cell r="L942">
            <v>0.33</v>
          </cell>
          <cell r="M942">
            <v>0</v>
          </cell>
          <cell r="N942">
            <v>7</v>
          </cell>
          <cell r="O942">
            <v>94</v>
          </cell>
          <cell r="P942">
            <v>101</v>
          </cell>
        </row>
        <row r="943">
          <cell r="J943">
            <v>0.22</v>
          </cell>
          <cell r="K943">
            <v>0.2273</v>
          </cell>
          <cell r="L943">
            <v>0.55000000000000004</v>
          </cell>
          <cell r="M943">
            <v>0.1343</v>
          </cell>
          <cell r="N943">
            <v>2</v>
          </cell>
          <cell r="O943">
            <v>61</v>
          </cell>
          <cell r="P943">
            <v>63</v>
          </cell>
        </row>
        <row r="944">
          <cell r="J944">
            <v>0.2</v>
          </cell>
          <cell r="K944">
            <v>0.21210000000000001</v>
          </cell>
          <cell r="L944">
            <v>0.59</v>
          </cell>
          <cell r="M944">
            <v>0.1343</v>
          </cell>
          <cell r="N944">
            <v>1</v>
          </cell>
          <cell r="O944">
            <v>46</v>
          </cell>
          <cell r="P944">
            <v>47</v>
          </cell>
        </row>
        <row r="945">
          <cell r="J945">
            <v>0.2</v>
          </cell>
          <cell r="K945">
            <v>0.2273</v>
          </cell>
          <cell r="L945">
            <v>0.64</v>
          </cell>
          <cell r="M945">
            <v>8.9599999999999999E-2</v>
          </cell>
          <cell r="N945">
            <v>2</v>
          </cell>
          <cell r="O945">
            <v>41</v>
          </cell>
          <cell r="P945">
            <v>43</v>
          </cell>
        </row>
        <row r="946">
          <cell r="J946">
            <v>0.18</v>
          </cell>
          <cell r="K946">
            <v>0.2424</v>
          </cell>
          <cell r="L946">
            <v>0.69</v>
          </cell>
          <cell r="M946">
            <v>0</v>
          </cell>
          <cell r="N946">
            <v>5</v>
          </cell>
          <cell r="O946">
            <v>48</v>
          </cell>
          <cell r="P946">
            <v>53</v>
          </cell>
        </row>
        <row r="947">
          <cell r="J947">
            <v>0.16</v>
          </cell>
          <cell r="K947">
            <v>0.19700000000000001</v>
          </cell>
          <cell r="L947">
            <v>0.69</v>
          </cell>
          <cell r="M947">
            <v>8.9599999999999999E-2</v>
          </cell>
          <cell r="N947">
            <v>3</v>
          </cell>
          <cell r="O947">
            <v>27</v>
          </cell>
          <cell r="P947">
            <v>30</v>
          </cell>
        </row>
        <row r="948">
          <cell r="J948">
            <v>0.14000000000000001</v>
          </cell>
          <cell r="K948">
            <v>0.21210000000000001</v>
          </cell>
          <cell r="L948">
            <v>0.86</v>
          </cell>
          <cell r="M948">
            <v>0</v>
          </cell>
          <cell r="N948">
            <v>2</v>
          </cell>
          <cell r="O948">
            <v>22</v>
          </cell>
          <cell r="P948">
            <v>24</v>
          </cell>
        </row>
        <row r="949">
          <cell r="J949">
            <v>0.14000000000000001</v>
          </cell>
          <cell r="K949">
            <v>0.21210000000000001</v>
          </cell>
          <cell r="L949">
            <v>0.8</v>
          </cell>
          <cell r="M949">
            <v>0</v>
          </cell>
          <cell r="N949">
            <v>2</v>
          </cell>
          <cell r="O949">
            <v>13</v>
          </cell>
          <cell r="P949">
            <v>15</v>
          </cell>
        </row>
        <row r="950">
          <cell r="J950">
            <v>0.12</v>
          </cell>
          <cell r="K950">
            <v>0.19700000000000001</v>
          </cell>
          <cell r="L950">
            <v>0.8</v>
          </cell>
          <cell r="M950">
            <v>0</v>
          </cell>
          <cell r="N950">
            <v>3</v>
          </cell>
          <cell r="O950">
            <v>7</v>
          </cell>
          <cell r="P950">
            <v>10</v>
          </cell>
        </row>
        <row r="951">
          <cell r="J951">
            <v>0.12</v>
          </cell>
          <cell r="K951">
            <v>0.16669999999999999</v>
          </cell>
          <cell r="L951">
            <v>0.74</v>
          </cell>
          <cell r="M951">
            <v>8.9599999999999999E-2</v>
          </cell>
          <cell r="N951">
            <v>0</v>
          </cell>
          <cell r="O951">
            <v>4</v>
          </cell>
          <cell r="P951">
            <v>4</v>
          </cell>
        </row>
        <row r="952">
          <cell r="J952">
            <v>0.12</v>
          </cell>
          <cell r="K952">
            <v>0.16669999999999999</v>
          </cell>
          <cell r="L952">
            <v>0.74</v>
          </cell>
          <cell r="M952">
            <v>8.9599999999999999E-2</v>
          </cell>
          <cell r="N952">
            <v>0</v>
          </cell>
          <cell r="O952">
            <v>1</v>
          </cell>
          <cell r="P952">
            <v>1</v>
          </cell>
        </row>
        <row r="953">
          <cell r="J953">
            <v>0.12</v>
          </cell>
          <cell r="K953">
            <v>0.13639999999999999</v>
          </cell>
          <cell r="L953">
            <v>0.93</v>
          </cell>
          <cell r="M953">
            <v>0.19400000000000001</v>
          </cell>
          <cell r="N953">
            <v>1</v>
          </cell>
          <cell r="O953">
            <v>1</v>
          </cell>
          <cell r="P953">
            <v>2</v>
          </cell>
        </row>
        <row r="954">
          <cell r="J954">
            <v>0.12</v>
          </cell>
          <cell r="K954">
            <v>0.1515</v>
          </cell>
          <cell r="L954">
            <v>0.8</v>
          </cell>
          <cell r="M954">
            <v>0.1045</v>
          </cell>
          <cell r="N954">
            <v>2</v>
          </cell>
          <cell r="O954">
            <v>9</v>
          </cell>
          <cell r="P954">
            <v>11</v>
          </cell>
        </row>
        <row r="955">
          <cell r="J955">
            <v>0.14000000000000001</v>
          </cell>
          <cell r="K955">
            <v>0.1515</v>
          </cell>
          <cell r="L955">
            <v>0.86</v>
          </cell>
          <cell r="M955">
            <v>0.1343</v>
          </cell>
          <cell r="N955">
            <v>2</v>
          </cell>
          <cell r="O955">
            <v>28</v>
          </cell>
          <cell r="P955">
            <v>30</v>
          </cell>
        </row>
        <row r="956">
          <cell r="J956">
            <v>0.16</v>
          </cell>
          <cell r="K956">
            <v>0.18179999999999999</v>
          </cell>
          <cell r="L956">
            <v>0.64</v>
          </cell>
          <cell r="M956">
            <v>0.1343</v>
          </cell>
          <cell r="N956">
            <v>5</v>
          </cell>
          <cell r="O956">
            <v>38</v>
          </cell>
          <cell r="P956">
            <v>43</v>
          </cell>
        </row>
        <row r="957">
          <cell r="J957">
            <v>0.22</v>
          </cell>
          <cell r="K957">
            <v>0.21210000000000001</v>
          </cell>
          <cell r="L957">
            <v>0.41</v>
          </cell>
          <cell r="M957">
            <v>0.25369999999999998</v>
          </cell>
          <cell r="N957">
            <v>13</v>
          </cell>
          <cell r="O957">
            <v>71</v>
          </cell>
          <cell r="P957">
            <v>84</v>
          </cell>
        </row>
        <row r="958">
          <cell r="J958">
            <v>0.3</v>
          </cell>
          <cell r="K958">
            <v>0.2727</v>
          </cell>
          <cell r="L958">
            <v>0.28000000000000003</v>
          </cell>
          <cell r="M958">
            <v>0.32840000000000003</v>
          </cell>
          <cell r="N958">
            <v>30</v>
          </cell>
          <cell r="O958">
            <v>84</v>
          </cell>
          <cell r="P958">
            <v>114</v>
          </cell>
        </row>
        <row r="959">
          <cell r="J959">
            <v>0.3</v>
          </cell>
          <cell r="K959">
            <v>0.2727</v>
          </cell>
          <cell r="L959">
            <v>0.39</v>
          </cell>
          <cell r="M959">
            <v>0.4627</v>
          </cell>
          <cell r="N959">
            <v>27</v>
          </cell>
          <cell r="O959">
            <v>93</v>
          </cell>
          <cell r="P959">
            <v>120</v>
          </cell>
        </row>
        <row r="960">
          <cell r="J960">
            <v>0.3</v>
          </cell>
          <cell r="K960">
            <v>0.2727</v>
          </cell>
          <cell r="L960">
            <v>0.39</v>
          </cell>
          <cell r="M960">
            <v>0.41789999999999999</v>
          </cell>
          <cell r="N960">
            <v>32</v>
          </cell>
          <cell r="O960">
            <v>103</v>
          </cell>
          <cell r="P960">
            <v>135</v>
          </cell>
        </row>
        <row r="961">
          <cell r="J961">
            <v>0.34</v>
          </cell>
          <cell r="K961">
            <v>0.31819999999999998</v>
          </cell>
          <cell r="L961">
            <v>0.31</v>
          </cell>
          <cell r="M961">
            <v>0.28360000000000002</v>
          </cell>
          <cell r="N961">
            <v>30</v>
          </cell>
          <cell r="O961">
            <v>90</v>
          </cell>
          <cell r="P961">
            <v>120</v>
          </cell>
        </row>
        <row r="962">
          <cell r="J962">
            <v>0.34</v>
          </cell>
          <cell r="K962">
            <v>0.30299999999999999</v>
          </cell>
          <cell r="L962">
            <v>0.28999999999999998</v>
          </cell>
          <cell r="M962">
            <v>0.41789999999999999</v>
          </cell>
          <cell r="N962">
            <v>47</v>
          </cell>
          <cell r="O962">
            <v>127</v>
          </cell>
          <cell r="P962">
            <v>174</v>
          </cell>
        </row>
        <row r="963">
          <cell r="J963">
            <v>0.34</v>
          </cell>
          <cell r="K963">
            <v>0.30299999999999999</v>
          </cell>
          <cell r="L963">
            <v>0.28999999999999998</v>
          </cell>
          <cell r="M963">
            <v>0.41789999999999999</v>
          </cell>
          <cell r="N963">
            <v>42</v>
          </cell>
          <cell r="O963">
            <v>103</v>
          </cell>
          <cell r="P963">
            <v>145</v>
          </cell>
        </row>
        <row r="964">
          <cell r="J964">
            <v>0.32</v>
          </cell>
          <cell r="K964">
            <v>0.28789999999999999</v>
          </cell>
          <cell r="L964">
            <v>0.31</v>
          </cell>
          <cell r="M964">
            <v>0.52239999999999998</v>
          </cell>
          <cell r="N964">
            <v>24</v>
          </cell>
          <cell r="O964">
            <v>113</v>
          </cell>
          <cell r="P964">
            <v>137</v>
          </cell>
        </row>
        <row r="965">
          <cell r="J965">
            <v>0.28000000000000003</v>
          </cell>
          <cell r="K965">
            <v>0.2576</v>
          </cell>
          <cell r="L965">
            <v>0.38</v>
          </cell>
          <cell r="M965">
            <v>0.32840000000000003</v>
          </cell>
          <cell r="N965">
            <v>4</v>
          </cell>
          <cell r="O965">
            <v>60</v>
          </cell>
          <cell r="P965">
            <v>64</v>
          </cell>
        </row>
        <row r="966">
          <cell r="J966">
            <v>0.28000000000000003</v>
          </cell>
          <cell r="K966">
            <v>0.2727</v>
          </cell>
          <cell r="L966">
            <v>0.38</v>
          </cell>
          <cell r="M966">
            <v>0.16420000000000001</v>
          </cell>
          <cell r="N966">
            <v>2</v>
          </cell>
          <cell r="O966">
            <v>39</v>
          </cell>
          <cell r="P966">
            <v>41</v>
          </cell>
        </row>
        <row r="967">
          <cell r="J967">
            <v>0.26</v>
          </cell>
          <cell r="K967">
            <v>0.2576</v>
          </cell>
          <cell r="L967">
            <v>0.41</v>
          </cell>
          <cell r="M967">
            <v>0.22389999999999999</v>
          </cell>
          <cell r="N967">
            <v>1</v>
          </cell>
          <cell r="O967">
            <v>39</v>
          </cell>
          <cell r="P967">
            <v>40</v>
          </cell>
        </row>
        <row r="968">
          <cell r="J968">
            <v>0.26</v>
          </cell>
          <cell r="K968">
            <v>0.30299999999999999</v>
          </cell>
          <cell r="L968">
            <v>0.41</v>
          </cell>
          <cell r="M968">
            <v>0</v>
          </cell>
          <cell r="N968">
            <v>9</v>
          </cell>
          <cell r="O968">
            <v>42</v>
          </cell>
          <cell r="P968">
            <v>51</v>
          </cell>
        </row>
        <row r="969">
          <cell r="J969">
            <v>0.24</v>
          </cell>
          <cell r="K969">
            <v>0.2576</v>
          </cell>
          <cell r="L969">
            <v>0.44</v>
          </cell>
          <cell r="M969">
            <v>8.9599999999999999E-2</v>
          </cell>
          <cell r="N969">
            <v>6</v>
          </cell>
          <cell r="O969">
            <v>39</v>
          </cell>
          <cell r="P969">
            <v>45</v>
          </cell>
        </row>
        <row r="970">
          <cell r="J970">
            <v>0.22</v>
          </cell>
          <cell r="K970">
            <v>0.2273</v>
          </cell>
          <cell r="L970">
            <v>0.51</v>
          </cell>
          <cell r="M970">
            <v>0.1343</v>
          </cell>
          <cell r="N970">
            <v>1</v>
          </cell>
          <cell r="O970">
            <v>31</v>
          </cell>
          <cell r="P970">
            <v>32</v>
          </cell>
        </row>
        <row r="971">
          <cell r="J971">
            <v>0.2</v>
          </cell>
          <cell r="K971">
            <v>0.2273</v>
          </cell>
          <cell r="L971">
            <v>0.64</v>
          </cell>
          <cell r="M971">
            <v>0.1045</v>
          </cell>
          <cell r="N971">
            <v>5</v>
          </cell>
          <cell r="O971">
            <v>34</v>
          </cell>
          <cell r="P971">
            <v>39</v>
          </cell>
        </row>
        <row r="972">
          <cell r="J972">
            <v>0.2</v>
          </cell>
          <cell r="K972">
            <v>0.2273</v>
          </cell>
          <cell r="L972">
            <v>0.59</v>
          </cell>
          <cell r="M972">
            <v>8.9599999999999999E-2</v>
          </cell>
          <cell r="N972">
            <v>1</v>
          </cell>
          <cell r="O972">
            <v>23</v>
          </cell>
          <cell r="P972">
            <v>24</v>
          </cell>
        </row>
        <row r="973">
          <cell r="J973">
            <v>0.2</v>
          </cell>
          <cell r="K973">
            <v>0.2273</v>
          </cell>
          <cell r="L973">
            <v>0.75</v>
          </cell>
          <cell r="M973">
            <v>8.9599999999999999E-2</v>
          </cell>
          <cell r="N973">
            <v>1</v>
          </cell>
          <cell r="O973">
            <v>19</v>
          </cell>
          <cell r="P973">
            <v>20</v>
          </cell>
        </row>
        <row r="974">
          <cell r="J974">
            <v>0.2</v>
          </cell>
          <cell r="K974">
            <v>0.2273</v>
          </cell>
          <cell r="L974">
            <v>0.69</v>
          </cell>
          <cell r="M974">
            <v>0.1045</v>
          </cell>
          <cell r="N974">
            <v>4</v>
          </cell>
          <cell r="O974">
            <v>8</v>
          </cell>
          <cell r="P974">
            <v>12</v>
          </cell>
        </row>
        <row r="975">
          <cell r="J975">
            <v>0.2</v>
          </cell>
          <cell r="K975">
            <v>0.21210000000000001</v>
          </cell>
          <cell r="L975">
            <v>0.69</v>
          </cell>
          <cell r="M975">
            <v>0.16420000000000001</v>
          </cell>
          <cell r="N975">
            <v>0</v>
          </cell>
          <cell r="O975">
            <v>2</v>
          </cell>
          <cell r="P975">
            <v>2</v>
          </cell>
        </row>
        <row r="976">
          <cell r="J976">
            <v>0.2</v>
          </cell>
          <cell r="K976">
            <v>0.21210000000000001</v>
          </cell>
          <cell r="L976">
            <v>0.69</v>
          </cell>
          <cell r="M976">
            <v>0.1343</v>
          </cell>
          <cell r="N976">
            <v>2</v>
          </cell>
          <cell r="O976">
            <v>3</v>
          </cell>
          <cell r="P976">
            <v>5</v>
          </cell>
        </row>
        <row r="977">
          <cell r="J977">
            <v>0.22</v>
          </cell>
          <cell r="K977">
            <v>0.2727</v>
          </cell>
          <cell r="L977">
            <v>0.55000000000000004</v>
          </cell>
          <cell r="M977">
            <v>0</v>
          </cell>
          <cell r="N977">
            <v>0</v>
          </cell>
          <cell r="O977">
            <v>3</v>
          </cell>
          <cell r="P977">
            <v>3</v>
          </cell>
        </row>
        <row r="978">
          <cell r="J978">
            <v>0.22</v>
          </cell>
          <cell r="K978">
            <v>0.2273</v>
          </cell>
          <cell r="L978">
            <v>0.64</v>
          </cell>
          <cell r="M978">
            <v>0.19400000000000001</v>
          </cell>
          <cell r="N978">
            <v>1</v>
          </cell>
          <cell r="O978">
            <v>11</v>
          </cell>
          <cell r="P978">
            <v>12</v>
          </cell>
        </row>
        <row r="979">
          <cell r="J979">
            <v>0.24</v>
          </cell>
          <cell r="K979">
            <v>0.2273</v>
          </cell>
          <cell r="L979">
            <v>0.6</v>
          </cell>
          <cell r="M979">
            <v>0.22389999999999999</v>
          </cell>
          <cell r="N979">
            <v>12</v>
          </cell>
          <cell r="O979">
            <v>35</v>
          </cell>
          <cell r="P979">
            <v>47</v>
          </cell>
        </row>
        <row r="980">
          <cell r="J980">
            <v>0.3</v>
          </cell>
          <cell r="K980">
            <v>0.2727</v>
          </cell>
          <cell r="L980">
            <v>0.45</v>
          </cell>
          <cell r="M980">
            <v>0.32840000000000003</v>
          </cell>
          <cell r="N980">
            <v>19</v>
          </cell>
          <cell r="O980">
            <v>86</v>
          </cell>
          <cell r="P980">
            <v>105</v>
          </cell>
        </row>
        <row r="981">
          <cell r="J981">
            <v>0.32</v>
          </cell>
          <cell r="K981">
            <v>0.28789999999999999</v>
          </cell>
          <cell r="L981">
            <v>0.39</v>
          </cell>
          <cell r="M981">
            <v>0.44779999999999998</v>
          </cell>
          <cell r="N981">
            <v>26</v>
          </cell>
          <cell r="O981">
            <v>86</v>
          </cell>
          <cell r="P981">
            <v>112</v>
          </cell>
        </row>
        <row r="982">
          <cell r="J982">
            <v>0.36</v>
          </cell>
          <cell r="K982">
            <v>0.31819999999999998</v>
          </cell>
          <cell r="L982">
            <v>0.32</v>
          </cell>
          <cell r="M982">
            <v>0.4627</v>
          </cell>
          <cell r="N982">
            <v>58</v>
          </cell>
          <cell r="O982">
            <v>94</v>
          </cell>
          <cell r="P982">
            <v>152</v>
          </cell>
        </row>
        <row r="983">
          <cell r="J983">
            <v>0.38</v>
          </cell>
          <cell r="K983">
            <v>0.39389999999999997</v>
          </cell>
          <cell r="L983">
            <v>0.28999999999999998</v>
          </cell>
          <cell r="M983">
            <v>0.35820000000000002</v>
          </cell>
          <cell r="N983">
            <v>62</v>
          </cell>
          <cell r="O983">
            <v>92</v>
          </cell>
          <cell r="P983">
            <v>154</v>
          </cell>
        </row>
        <row r="984">
          <cell r="J984">
            <v>0.4</v>
          </cell>
          <cell r="K984">
            <v>0.40910000000000002</v>
          </cell>
          <cell r="L984">
            <v>0.3</v>
          </cell>
          <cell r="M984">
            <v>0.41789999999999999</v>
          </cell>
          <cell r="N984">
            <v>51</v>
          </cell>
          <cell r="O984">
            <v>110</v>
          </cell>
          <cell r="P984">
            <v>161</v>
          </cell>
        </row>
        <row r="985">
          <cell r="J985">
            <v>0.4</v>
          </cell>
          <cell r="K985">
            <v>0.40910000000000002</v>
          </cell>
          <cell r="L985">
            <v>0.3</v>
          </cell>
          <cell r="M985">
            <v>0.29849999999999999</v>
          </cell>
          <cell r="N985">
            <v>40</v>
          </cell>
          <cell r="O985">
            <v>122</v>
          </cell>
          <cell r="P985">
            <v>162</v>
          </cell>
        </row>
        <row r="986">
          <cell r="J986">
            <v>0.42</v>
          </cell>
          <cell r="K986">
            <v>0.42420000000000002</v>
          </cell>
          <cell r="L986">
            <v>0.28000000000000003</v>
          </cell>
          <cell r="M986">
            <v>0.32840000000000003</v>
          </cell>
          <cell r="N986">
            <v>28</v>
          </cell>
          <cell r="O986">
            <v>106</v>
          </cell>
          <cell r="P986">
            <v>134</v>
          </cell>
        </row>
        <row r="987">
          <cell r="J987">
            <v>0.42</v>
          </cell>
          <cell r="K987">
            <v>0.42420000000000002</v>
          </cell>
          <cell r="L987">
            <v>0.28000000000000003</v>
          </cell>
          <cell r="M987">
            <v>0.32840000000000003</v>
          </cell>
          <cell r="N987">
            <v>30</v>
          </cell>
          <cell r="O987">
            <v>95</v>
          </cell>
          <cell r="P987">
            <v>125</v>
          </cell>
        </row>
        <row r="988">
          <cell r="J988">
            <v>0.4</v>
          </cell>
          <cell r="K988">
            <v>0.40910000000000002</v>
          </cell>
          <cell r="L988">
            <v>0.32</v>
          </cell>
          <cell r="M988">
            <v>0.29849999999999999</v>
          </cell>
          <cell r="N988">
            <v>17</v>
          </cell>
          <cell r="O988">
            <v>78</v>
          </cell>
          <cell r="P988">
            <v>95</v>
          </cell>
        </row>
        <row r="989">
          <cell r="J989">
            <v>0.4</v>
          </cell>
          <cell r="K989">
            <v>0.40910000000000002</v>
          </cell>
          <cell r="L989">
            <v>0.35</v>
          </cell>
          <cell r="M989">
            <v>0.28360000000000002</v>
          </cell>
          <cell r="N989">
            <v>11</v>
          </cell>
          <cell r="O989">
            <v>50</v>
          </cell>
          <cell r="P989">
            <v>61</v>
          </cell>
        </row>
        <row r="990">
          <cell r="J990">
            <v>0.4</v>
          </cell>
          <cell r="K990">
            <v>0.40910000000000002</v>
          </cell>
          <cell r="L990">
            <v>0.35</v>
          </cell>
          <cell r="M990">
            <v>0.32840000000000003</v>
          </cell>
          <cell r="N990">
            <v>15</v>
          </cell>
          <cell r="O990">
            <v>32</v>
          </cell>
          <cell r="P990">
            <v>47</v>
          </cell>
        </row>
        <row r="991">
          <cell r="J991">
            <v>0.4</v>
          </cell>
          <cell r="K991">
            <v>0.40910000000000002</v>
          </cell>
          <cell r="L991">
            <v>0.35</v>
          </cell>
          <cell r="M991">
            <v>0.35820000000000002</v>
          </cell>
          <cell r="N991">
            <v>6</v>
          </cell>
          <cell r="O991">
            <v>45</v>
          </cell>
          <cell r="P991">
            <v>51</v>
          </cell>
        </row>
        <row r="992">
          <cell r="J992">
            <v>0.4</v>
          </cell>
          <cell r="K992">
            <v>0.40910000000000002</v>
          </cell>
          <cell r="L992">
            <v>0.35</v>
          </cell>
          <cell r="M992">
            <v>0.29849999999999999</v>
          </cell>
          <cell r="N992">
            <v>5</v>
          </cell>
          <cell r="O992">
            <v>31</v>
          </cell>
          <cell r="P992">
            <v>36</v>
          </cell>
        </row>
        <row r="993">
          <cell r="J993">
            <v>0.4</v>
          </cell>
          <cell r="K993">
            <v>0.40910000000000002</v>
          </cell>
          <cell r="L993">
            <v>0.35</v>
          </cell>
          <cell r="M993">
            <v>0.35820000000000002</v>
          </cell>
          <cell r="N993">
            <v>3</v>
          </cell>
          <cell r="O993">
            <v>27</v>
          </cell>
          <cell r="P993">
            <v>30</v>
          </cell>
        </row>
        <row r="994">
          <cell r="J994">
            <v>0.38</v>
          </cell>
          <cell r="K994">
            <v>0.39389999999999997</v>
          </cell>
          <cell r="L994">
            <v>0.37</v>
          </cell>
          <cell r="M994">
            <v>0.35820000000000002</v>
          </cell>
          <cell r="N994">
            <v>3</v>
          </cell>
          <cell r="O994">
            <v>8</v>
          </cell>
          <cell r="P994">
            <v>11</v>
          </cell>
        </row>
        <row r="995">
          <cell r="J995">
            <v>0.38</v>
          </cell>
          <cell r="K995">
            <v>0.39389999999999997</v>
          </cell>
          <cell r="L995">
            <v>0.37</v>
          </cell>
          <cell r="M995">
            <v>0.35820000000000002</v>
          </cell>
          <cell r="N995">
            <v>1</v>
          </cell>
          <cell r="O995">
            <v>6</v>
          </cell>
          <cell r="P995">
            <v>7</v>
          </cell>
        </row>
        <row r="996">
          <cell r="J996">
            <v>0.36</v>
          </cell>
          <cell r="K996">
            <v>0.33329999999999999</v>
          </cell>
          <cell r="L996">
            <v>0.4</v>
          </cell>
          <cell r="M996">
            <v>0.29849999999999999</v>
          </cell>
          <cell r="N996">
            <v>0</v>
          </cell>
          <cell r="O996">
            <v>2</v>
          </cell>
          <cell r="P996">
            <v>2</v>
          </cell>
        </row>
        <row r="997">
          <cell r="J997">
            <v>0.34</v>
          </cell>
          <cell r="K997">
            <v>0.31819999999999998</v>
          </cell>
          <cell r="L997">
            <v>0.46</v>
          </cell>
          <cell r="M997">
            <v>0.22389999999999999</v>
          </cell>
          <cell r="N997">
            <v>1</v>
          </cell>
          <cell r="O997">
            <v>1</v>
          </cell>
          <cell r="P997">
            <v>2</v>
          </cell>
        </row>
        <row r="998">
          <cell r="J998">
            <v>0.32</v>
          </cell>
          <cell r="K998">
            <v>0.30299999999999999</v>
          </cell>
          <cell r="L998">
            <v>0.53</v>
          </cell>
          <cell r="M998">
            <v>0.28360000000000002</v>
          </cell>
          <cell r="N998">
            <v>0</v>
          </cell>
          <cell r="O998">
            <v>2</v>
          </cell>
          <cell r="P998">
            <v>2</v>
          </cell>
        </row>
        <row r="999">
          <cell r="J999">
            <v>0.32</v>
          </cell>
          <cell r="K999">
            <v>0.30299999999999999</v>
          </cell>
          <cell r="L999">
            <v>0.53</v>
          </cell>
          <cell r="M999">
            <v>0.28360000000000002</v>
          </cell>
          <cell r="N999">
            <v>0</v>
          </cell>
          <cell r="O999">
            <v>3</v>
          </cell>
          <cell r="P999">
            <v>3</v>
          </cell>
        </row>
        <row r="1000">
          <cell r="J1000">
            <v>0.34</v>
          </cell>
          <cell r="K1000">
            <v>0.30299999999999999</v>
          </cell>
          <cell r="L1000">
            <v>0.46</v>
          </cell>
          <cell r="M1000">
            <v>0.29849999999999999</v>
          </cell>
          <cell r="N1000">
            <v>1</v>
          </cell>
          <cell r="O1000">
            <v>25</v>
          </cell>
          <cell r="P1000">
            <v>26</v>
          </cell>
        </row>
        <row r="1001">
          <cell r="J1001">
            <v>0.34</v>
          </cell>
          <cell r="K1001">
            <v>0.30299999999999999</v>
          </cell>
          <cell r="L1001">
            <v>0.46</v>
          </cell>
          <cell r="M1001">
            <v>0.29849999999999999</v>
          </cell>
          <cell r="N1001">
            <v>2</v>
          </cell>
          <cell r="O1001">
            <v>96</v>
          </cell>
          <cell r="P1001">
            <v>98</v>
          </cell>
        </row>
      </sheetData>
      <sheetData sheetId="4">
        <row r="3">
          <cell r="X3"/>
          <cell r="Y3"/>
          <cell r="Z3"/>
        </row>
        <row r="4">
          <cell r="P4" t="str">
            <v>TOTAL</v>
          </cell>
        </row>
        <row r="5">
          <cell r="P5">
            <v>1</v>
          </cell>
          <cell r="X5" t="str">
            <v>Minimum</v>
          </cell>
          <cell r="Y5" t="str">
            <v>Average</v>
          </cell>
          <cell r="Z5" t="str">
            <v>SUM</v>
          </cell>
        </row>
        <row r="6">
          <cell r="P6">
            <v>1</v>
          </cell>
          <cell r="X6">
            <v>0</v>
          </cell>
          <cell r="Y6">
            <v>53.383000000000003</v>
          </cell>
          <cell r="Z6">
            <v>53383</v>
          </cell>
        </row>
        <row r="7">
          <cell r="P7">
            <v>1</v>
          </cell>
          <cell r="X7">
            <v>0</v>
          </cell>
          <cell r="Y7">
            <v>4.9210000000000003</v>
          </cell>
          <cell r="Z7">
            <v>4921</v>
          </cell>
        </row>
        <row r="8">
          <cell r="P8">
            <v>1</v>
          </cell>
          <cell r="X8">
            <v>1</v>
          </cell>
          <cell r="Y8">
            <v>58.304000000000002</v>
          </cell>
          <cell r="Z8">
            <v>58304</v>
          </cell>
        </row>
        <row r="9">
          <cell r="P9">
            <v>1</v>
          </cell>
          <cell r="X9">
            <v>0</v>
          </cell>
          <cell r="Y9">
            <v>0.194931299999999</v>
          </cell>
          <cell r="Z9" t="str">
            <v>-</v>
          </cell>
        </row>
        <row r="10">
          <cell r="P10">
            <v>1</v>
          </cell>
          <cell r="X10">
            <v>0.02</v>
          </cell>
          <cell r="Y10">
            <v>0.20589999999999961</v>
          </cell>
          <cell r="Z10" t="str">
            <v>-</v>
          </cell>
        </row>
        <row r="11">
          <cell r="P11">
            <v>1</v>
          </cell>
          <cell r="X11">
            <v>0</v>
          </cell>
          <cell r="Y11">
            <v>0.20962630000000049</v>
          </cell>
          <cell r="Z11" t="str">
            <v>-</v>
          </cell>
        </row>
        <row r="12">
          <cell r="P12">
            <v>1</v>
          </cell>
          <cell r="X12">
            <v>0.21</v>
          </cell>
          <cell r="Y12">
            <v>0.58248000000000033</v>
          </cell>
          <cell r="Z12" t="str">
            <v>-</v>
          </cell>
        </row>
        <row r="13">
          <cell r="P13">
            <v>1</v>
          </cell>
        </row>
        <row r="14">
          <cell r="P14">
            <v>1</v>
          </cell>
        </row>
        <row r="15">
          <cell r="P15">
            <v>1</v>
          </cell>
        </row>
        <row r="16">
          <cell r="P16">
            <v>1</v>
          </cell>
        </row>
        <row r="17">
          <cell r="P17">
            <v>1</v>
          </cell>
        </row>
        <row r="18">
          <cell r="P18">
            <v>1</v>
          </cell>
        </row>
        <row r="19">
          <cell r="P19">
            <v>1</v>
          </cell>
        </row>
        <row r="20">
          <cell r="P20">
            <v>1</v>
          </cell>
        </row>
        <row r="21">
          <cell r="P21">
            <v>1</v>
          </cell>
        </row>
        <row r="22">
          <cell r="P22">
            <v>1</v>
          </cell>
        </row>
        <row r="23">
          <cell r="P23">
            <v>1</v>
          </cell>
        </row>
        <row r="24">
          <cell r="P24">
            <v>1</v>
          </cell>
        </row>
        <row r="25">
          <cell r="P25">
            <v>1</v>
          </cell>
        </row>
        <row r="26">
          <cell r="P26">
            <v>1</v>
          </cell>
        </row>
        <row r="27">
          <cell r="P27">
            <v>1</v>
          </cell>
        </row>
        <row r="28">
          <cell r="P28">
            <v>1</v>
          </cell>
        </row>
        <row r="29">
          <cell r="P29">
            <v>1</v>
          </cell>
        </row>
        <row r="30">
          <cell r="P30">
            <v>1</v>
          </cell>
        </row>
        <row r="31">
          <cell r="P31">
            <v>1</v>
          </cell>
        </row>
        <row r="32">
          <cell r="P32">
            <v>1</v>
          </cell>
        </row>
        <row r="33">
          <cell r="P33">
            <v>1</v>
          </cell>
        </row>
        <row r="34">
          <cell r="P34">
            <v>1</v>
          </cell>
        </row>
        <row r="35">
          <cell r="P35">
            <v>1</v>
          </cell>
        </row>
        <row r="36">
          <cell r="P36">
            <v>1</v>
          </cell>
        </row>
        <row r="37">
          <cell r="P37">
            <v>1</v>
          </cell>
        </row>
        <row r="38">
          <cell r="P38">
            <v>1</v>
          </cell>
        </row>
        <row r="39">
          <cell r="P39">
            <v>1</v>
          </cell>
        </row>
        <row r="40">
          <cell r="P40">
            <v>1</v>
          </cell>
        </row>
        <row r="41">
          <cell r="P41">
            <v>1</v>
          </cell>
        </row>
        <row r="42">
          <cell r="P42">
            <v>1</v>
          </cell>
        </row>
        <row r="43">
          <cell r="P43">
            <v>1</v>
          </cell>
        </row>
        <row r="44">
          <cell r="P44">
            <v>1</v>
          </cell>
        </row>
        <row r="45">
          <cell r="P45">
            <v>1</v>
          </cell>
        </row>
        <row r="46">
          <cell r="P46">
            <v>1</v>
          </cell>
        </row>
        <row r="47">
          <cell r="P47">
            <v>1</v>
          </cell>
        </row>
        <row r="48">
          <cell r="P48">
            <v>1</v>
          </cell>
        </row>
        <row r="49">
          <cell r="P49">
            <v>1</v>
          </cell>
        </row>
        <row r="50">
          <cell r="P50">
            <v>2</v>
          </cell>
        </row>
        <row r="51">
          <cell r="P51">
            <v>2</v>
          </cell>
        </row>
        <row r="52">
          <cell r="P52">
            <v>2</v>
          </cell>
        </row>
        <row r="53">
          <cell r="P53">
            <v>2</v>
          </cell>
        </row>
        <row r="54">
          <cell r="P54">
            <v>2</v>
          </cell>
        </row>
        <row r="55">
          <cell r="P55">
            <v>2</v>
          </cell>
        </row>
        <row r="56">
          <cell r="P56">
            <v>2</v>
          </cell>
        </row>
        <row r="57">
          <cell r="P57">
            <v>2</v>
          </cell>
        </row>
        <row r="58">
          <cell r="P58">
            <v>2</v>
          </cell>
        </row>
        <row r="59">
          <cell r="P59">
            <v>2</v>
          </cell>
        </row>
        <row r="60">
          <cell r="P60">
            <v>2</v>
          </cell>
        </row>
        <row r="61">
          <cell r="P61">
            <v>2</v>
          </cell>
        </row>
        <row r="62">
          <cell r="P62">
            <v>2</v>
          </cell>
        </row>
        <row r="63">
          <cell r="P63">
            <v>2</v>
          </cell>
        </row>
        <row r="64">
          <cell r="P64">
            <v>2</v>
          </cell>
        </row>
        <row r="65">
          <cell r="P65">
            <v>2</v>
          </cell>
        </row>
        <row r="66">
          <cell r="P66">
            <v>2</v>
          </cell>
        </row>
        <row r="67">
          <cell r="P67">
            <v>2</v>
          </cell>
        </row>
        <row r="68">
          <cell r="P68">
            <v>2</v>
          </cell>
        </row>
        <row r="69">
          <cell r="P69">
            <v>2</v>
          </cell>
        </row>
        <row r="70">
          <cell r="P70">
            <v>2</v>
          </cell>
        </row>
        <row r="71">
          <cell r="P71">
            <v>2</v>
          </cell>
        </row>
        <row r="72">
          <cell r="P72">
            <v>2</v>
          </cell>
        </row>
        <row r="73">
          <cell r="P73">
            <v>2</v>
          </cell>
        </row>
        <row r="74">
          <cell r="P74">
            <v>2</v>
          </cell>
        </row>
        <row r="75">
          <cell r="P75">
            <v>2</v>
          </cell>
        </row>
        <row r="76">
          <cell r="P76">
            <v>2</v>
          </cell>
        </row>
        <row r="77">
          <cell r="P77">
            <v>2</v>
          </cell>
        </row>
        <row r="78">
          <cell r="P78">
            <v>2</v>
          </cell>
        </row>
        <row r="79">
          <cell r="P79">
            <v>2</v>
          </cell>
        </row>
        <row r="80">
          <cell r="P80">
            <v>2</v>
          </cell>
        </row>
        <row r="81">
          <cell r="P81">
            <v>2</v>
          </cell>
        </row>
        <row r="82">
          <cell r="P82">
            <v>2</v>
          </cell>
        </row>
        <row r="83">
          <cell r="P83">
            <v>2</v>
          </cell>
        </row>
        <row r="84">
          <cell r="P84">
            <v>2</v>
          </cell>
        </row>
        <row r="85">
          <cell r="P85">
            <v>2</v>
          </cell>
        </row>
        <row r="86">
          <cell r="P86">
            <v>2</v>
          </cell>
        </row>
        <row r="87">
          <cell r="P87">
            <v>2</v>
          </cell>
        </row>
        <row r="88">
          <cell r="P88">
            <v>3</v>
          </cell>
        </row>
        <row r="89">
          <cell r="P89">
            <v>3</v>
          </cell>
        </row>
        <row r="90">
          <cell r="P90">
            <v>3</v>
          </cell>
        </row>
        <row r="91">
          <cell r="P91">
            <v>3</v>
          </cell>
        </row>
        <row r="92">
          <cell r="P92">
            <v>3</v>
          </cell>
        </row>
        <row r="93">
          <cell r="P93">
            <v>3</v>
          </cell>
        </row>
        <row r="94">
          <cell r="P94">
            <v>3</v>
          </cell>
        </row>
        <row r="95">
          <cell r="P95">
            <v>3</v>
          </cell>
        </row>
        <row r="96">
          <cell r="P96">
            <v>3</v>
          </cell>
        </row>
        <row r="97">
          <cell r="P97">
            <v>3</v>
          </cell>
        </row>
        <row r="98">
          <cell r="P98">
            <v>3</v>
          </cell>
        </row>
        <row r="99">
          <cell r="P99">
            <v>3</v>
          </cell>
        </row>
        <row r="100">
          <cell r="P100">
            <v>3</v>
          </cell>
        </row>
        <row r="101">
          <cell r="P101">
            <v>3</v>
          </cell>
        </row>
        <row r="102">
          <cell r="P102">
            <v>3</v>
          </cell>
        </row>
        <row r="103">
          <cell r="P103">
            <v>3</v>
          </cell>
        </row>
        <row r="104">
          <cell r="P104">
            <v>3</v>
          </cell>
        </row>
        <row r="105">
          <cell r="P105">
            <v>3</v>
          </cell>
        </row>
        <row r="106">
          <cell r="P106">
            <v>3</v>
          </cell>
        </row>
        <row r="107">
          <cell r="P107">
            <v>3</v>
          </cell>
        </row>
        <row r="108">
          <cell r="P108">
            <v>3</v>
          </cell>
        </row>
        <row r="109">
          <cell r="P109">
            <v>3</v>
          </cell>
        </row>
        <row r="110">
          <cell r="P110">
            <v>3</v>
          </cell>
        </row>
        <row r="111">
          <cell r="P111">
            <v>3</v>
          </cell>
        </row>
        <row r="112">
          <cell r="P112">
            <v>3</v>
          </cell>
        </row>
        <row r="113">
          <cell r="P113">
            <v>3</v>
          </cell>
        </row>
        <row r="114">
          <cell r="P114">
            <v>3</v>
          </cell>
        </row>
        <row r="115">
          <cell r="P115">
            <v>3</v>
          </cell>
        </row>
        <row r="116">
          <cell r="P116">
            <v>3</v>
          </cell>
        </row>
        <row r="117">
          <cell r="P117">
            <v>3</v>
          </cell>
        </row>
        <row r="118">
          <cell r="P118">
            <v>3</v>
          </cell>
        </row>
        <row r="119">
          <cell r="P119">
            <v>3</v>
          </cell>
        </row>
        <row r="120">
          <cell r="P120">
            <v>3</v>
          </cell>
        </row>
        <row r="121">
          <cell r="P121">
            <v>3</v>
          </cell>
        </row>
        <row r="122">
          <cell r="P122">
            <v>4</v>
          </cell>
        </row>
        <row r="123">
          <cell r="P123">
            <v>4</v>
          </cell>
        </row>
        <row r="124">
          <cell r="P124">
            <v>4</v>
          </cell>
        </row>
        <row r="125">
          <cell r="P125">
            <v>4</v>
          </cell>
        </row>
        <row r="126">
          <cell r="P126">
            <v>4</v>
          </cell>
        </row>
        <row r="127">
          <cell r="P127">
            <v>4</v>
          </cell>
        </row>
        <row r="128">
          <cell r="P128">
            <v>4</v>
          </cell>
        </row>
        <row r="129">
          <cell r="P129">
            <v>4</v>
          </cell>
        </row>
        <row r="130">
          <cell r="P130">
            <v>4</v>
          </cell>
        </row>
        <row r="131">
          <cell r="P131">
            <v>4</v>
          </cell>
        </row>
        <row r="132">
          <cell r="P132">
            <v>4</v>
          </cell>
        </row>
        <row r="133">
          <cell r="P133">
            <v>4</v>
          </cell>
        </row>
        <row r="134">
          <cell r="P134">
            <v>4</v>
          </cell>
        </row>
        <row r="135">
          <cell r="P135">
            <v>5</v>
          </cell>
        </row>
        <row r="136">
          <cell r="P136">
            <v>5</v>
          </cell>
        </row>
        <row r="137">
          <cell r="P137">
            <v>5</v>
          </cell>
        </row>
        <row r="138">
          <cell r="P138">
            <v>5</v>
          </cell>
        </row>
        <row r="139">
          <cell r="P139">
            <v>5</v>
          </cell>
        </row>
        <row r="140">
          <cell r="P140">
            <v>5</v>
          </cell>
        </row>
        <row r="141">
          <cell r="P141">
            <v>5</v>
          </cell>
        </row>
        <row r="142">
          <cell r="P142">
            <v>5</v>
          </cell>
        </row>
        <row r="143">
          <cell r="P143">
            <v>5</v>
          </cell>
        </row>
        <row r="144">
          <cell r="P144">
            <v>5</v>
          </cell>
        </row>
        <row r="145">
          <cell r="P145">
            <v>5</v>
          </cell>
        </row>
        <row r="146">
          <cell r="P146">
            <v>5</v>
          </cell>
        </row>
        <row r="147">
          <cell r="P147">
            <v>5</v>
          </cell>
        </row>
        <row r="148">
          <cell r="P148">
            <v>5</v>
          </cell>
        </row>
        <row r="149">
          <cell r="P149">
            <v>5</v>
          </cell>
        </row>
        <row r="150">
          <cell r="P150">
            <v>5</v>
          </cell>
        </row>
        <row r="151">
          <cell r="P151">
            <v>5</v>
          </cell>
        </row>
        <row r="152">
          <cell r="P152">
            <v>5</v>
          </cell>
        </row>
        <row r="153">
          <cell r="P153">
            <v>5</v>
          </cell>
        </row>
        <row r="154">
          <cell r="P154">
            <v>6</v>
          </cell>
        </row>
        <row r="155">
          <cell r="P155">
            <v>6</v>
          </cell>
        </row>
        <row r="156">
          <cell r="P156">
            <v>6</v>
          </cell>
        </row>
        <row r="157">
          <cell r="P157">
            <v>6</v>
          </cell>
        </row>
        <row r="158">
          <cell r="P158">
            <v>6</v>
          </cell>
        </row>
        <row r="159">
          <cell r="P159">
            <v>6</v>
          </cell>
        </row>
        <row r="160">
          <cell r="P160">
            <v>6</v>
          </cell>
        </row>
        <row r="161">
          <cell r="P161">
            <v>6</v>
          </cell>
        </row>
        <row r="162">
          <cell r="P162">
            <v>6</v>
          </cell>
        </row>
        <row r="163">
          <cell r="P163">
            <v>6</v>
          </cell>
        </row>
        <row r="164">
          <cell r="P164">
            <v>7</v>
          </cell>
        </row>
        <row r="165">
          <cell r="P165">
            <v>7</v>
          </cell>
        </row>
        <row r="166">
          <cell r="P166">
            <v>7</v>
          </cell>
        </row>
        <row r="167">
          <cell r="P167">
            <v>7</v>
          </cell>
        </row>
        <row r="168">
          <cell r="P168">
            <v>7</v>
          </cell>
        </row>
        <row r="169">
          <cell r="P169">
            <v>7</v>
          </cell>
        </row>
        <row r="170">
          <cell r="P170">
            <v>7</v>
          </cell>
        </row>
        <row r="171">
          <cell r="P171">
            <v>7</v>
          </cell>
        </row>
        <row r="172">
          <cell r="P172">
            <v>7</v>
          </cell>
        </row>
        <row r="173">
          <cell r="P173">
            <v>7</v>
          </cell>
        </row>
        <row r="174">
          <cell r="P174">
            <v>7</v>
          </cell>
        </row>
        <row r="175">
          <cell r="P175">
            <v>7</v>
          </cell>
        </row>
        <row r="176">
          <cell r="P176">
            <v>7</v>
          </cell>
        </row>
        <row r="177">
          <cell r="P177">
            <v>7</v>
          </cell>
        </row>
        <row r="178">
          <cell r="P178">
            <v>7</v>
          </cell>
        </row>
        <row r="179">
          <cell r="P179">
            <v>7</v>
          </cell>
        </row>
        <row r="180">
          <cell r="P180">
            <v>7</v>
          </cell>
        </row>
        <row r="181">
          <cell r="P181">
            <v>8</v>
          </cell>
        </row>
        <row r="182">
          <cell r="P182">
            <v>8</v>
          </cell>
        </row>
        <row r="183">
          <cell r="P183">
            <v>8</v>
          </cell>
        </row>
        <row r="184">
          <cell r="P184">
            <v>8</v>
          </cell>
        </row>
        <row r="185">
          <cell r="P185">
            <v>8</v>
          </cell>
        </row>
        <row r="186">
          <cell r="P186">
            <v>8</v>
          </cell>
        </row>
        <row r="187">
          <cell r="P187">
            <v>8</v>
          </cell>
        </row>
        <row r="188">
          <cell r="P188">
            <v>8</v>
          </cell>
        </row>
        <row r="189">
          <cell r="P189">
            <v>8</v>
          </cell>
        </row>
        <row r="190">
          <cell r="P190">
            <v>8</v>
          </cell>
        </row>
        <row r="191">
          <cell r="P191">
            <v>8</v>
          </cell>
        </row>
        <row r="192">
          <cell r="P192">
            <v>8</v>
          </cell>
        </row>
        <row r="193">
          <cell r="P193">
            <v>8</v>
          </cell>
        </row>
        <row r="194">
          <cell r="P194">
            <v>8</v>
          </cell>
        </row>
        <row r="195">
          <cell r="P195">
            <v>9</v>
          </cell>
        </row>
        <row r="196">
          <cell r="P196">
            <v>9</v>
          </cell>
        </row>
        <row r="197">
          <cell r="P197">
            <v>9</v>
          </cell>
        </row>
        <row r="198">
          <cell r="P198">
            <v>9</v>
          </cell>
        </row>
        <row r="199">
          <cell r="P199">
            <v>9</v>
          </cell>
        </row>
        <row r="200">
          <cell r="P200">
            <v>9</v>
          </cell>
        </row>
        <row r="201">
          <cell r="P201">
            <v>9</v>
          </cell>
        </row>
        <row r="202">
          <cell r="P202">
            <v>10</v>
          </cell>
        </row>
        <row r="203">
          <cell r="P203">
            <v>10</v>
          </cell>
        </row>
        <row r="204">
          <cell r="P204">
            <v>10</v>
          </cell>
        </row>
        <row r="205">
          <cell r="P205">
            <v>10</v>
          </cell>
        </row>
        <row r="206">
          <cell r="P206">
            <v>10</v>
          </cell>
        </row>
        <row r="207">
          <cell r="P207">
            <v>10</v>
          </cell>
        </row>
        <row r="208">
          <cell r="P208">
            <v>10</v>
          </cell>
        </row>
        <row r="209">
          <cell r="P209">
            <v>11</v>
          </cell>
        </row>
        <row r="210">
          <cell r="P210">
            <v>11</v>
          </cell>
        </row>
        <row r="211">
          <cell r="P211">
            <v>11</v>
          </cell>
        </row>
        <row r="212">
          <cell r="P212">
            <v>11</v>
          </cell>
        </row>
        <row r="213">
          <cell r="P213">
            <v>11</v>
          </cell>
        </row>
        <row r="214">
          <cell r="P214">
            <v>11</v>
          </cell>
        </row>
        <row r="215">
          <cell r="P215">
            <v>11</v>
          </cell>
        </row>
        <row r="216">
          <cell r="P216">
            <v>11</v>
          </cell>
        </row>
        <row r="217">
          <cell r="P217">
            <v>12</v>
          </cell>
        </row>
        <row r="218">
          <cell r="P218">
            <v>12</v>
          </cell>
        </row>
        <row r="219">
          <cell r="P219">
            <v>12</v>
          </cell>
        </row>
        <row r="220">
          <cell r="P220">
            <v>12</v>
          </cell>
        </row>
        <row r="221">
          <cell r="P221">
            <v>12</v>
          </cell>
        </row>
        <row r="222">
          <cell r="P222">
            <v>12</v>
          </cell>
        </row>
        <row r="223">
          <cell r="P223">
            <v>12</v>
          </cell>
        </row>
        <row r="224">
          <cell r="P224">
            <v>12</v>
          </cell>
        </row>
        <row r="225">
          <cell r="P225">
            <v>12</v>
          </cell>
        </row>
        <row r="226">
          <cell r="P226">
            <v>12</v>
          </cell>
        </row>
        <row r="227">
          <cell r="P227">
            <v>13</v>
          </cell>
        </row>
        <row r="228">
          <cell r="P228">
            <v>13</v>
          </cell>
        </row>
        <row r="229">
          <cell r="P229">
            <v>13</v>
          </cell>
        </row>
        <row r="230">
          <cell r="P230">
            <v>13</v>
          </cell>
        </row>
        <row r="231">
          <cell r="P231">
            <v>13</v>
          </cell>
        </row>
        <row r="232">
          <cell r="P232">
            <v>13</v>
          </cell>
        </row>
        <row r="233">
          <cell r="P233">
            <v>13</v>
          </cell>
        </row>
        <row r="234">
          <cell r="P234">
            <v>13</v>
          </cell>
        </row>
        <row r="235">
          <cell r="P235">
            <v>14</v>
          </cell>
        </row>
        <row r="236">
          <cell r="P236">
            <v>14</v>
          </cell>
        </row>
        <row r="237">
          <cell r="P237">
            <v>14</v>
          </cell>
        </row>
        <row r="238">
          <cell r="P238">
            <v>15</v>
          </cell>
        </row>
        <row r="239">
          <cell r="P239">
            <v>15</v>
          </cell>
        </row>
        <row r="240">
          <cell r="P240">
            <v>15</v>
          </cell>
        </row>
        <row r="241">
          <cell r="P241">
            <v>15</v>
          </cell>
        </row>
        <row r="242">
          <cell r="P242">
            <v>15</v>
          </cell>
        </row>
        <row r="243">
          <cell r="P243">
            <v>15</v>
          </cell>
        </row>
        <row r="244">
          <cell r="P244">
            <v>15</v>
          </cell>
        </row>
        <row r="245">
          <cell r="P245">
            <v>15</v>
          </cell>
        </row>
        <row r="246">
          <cell r="P246">
            <v>15</v>
          </cell>
        </row>
        <row r="247">
          <cell r="P247">
            <v>16</v>
          </cell>
        </row>
        <row r="248">
          <cell r="P248">
            <v>16</v>
          </cell>
        </row>
        <row r="249">
          <cell r="P249">
            <v>16</v>
          </cell>
        </row>
        <row r="250">
          <cell r="P250">
            <v>16</v>
          </cell>
        </row>
        <row r="251">
          <cell r="P251">
            <v>16</v>
          </cell>
        </row>
        <row r="252">
          <cell r="P252">
            <v>16</v>
          </cell>
        </row>
        <row r="253">
          <cell r="P253">
            <v>16</v>
          </cell>
        </row>
        <row r="254">
          <cell r="P254">
            <v>16</v>
          </cell>
        </row>
        <row r="255">
          <cell r="P255">
            <v>16</v>
          </cell>
        </row>
        <row r="256">
          <cell r="P256">
            <v>16</v>
          </cell>
        </row>
        <row r="257">
          <cell r="P257">
            <v>17</v>
          </cell>
        </row>
        <row r="258">
          <cell r="P258">
            <v>17</v>
          </cell>
        </row>
        <row r="259">
          <cell r="P259">
            <v>17</v>
          </cell>
        </row>
        <row r="260">
          <cell r="P260">
            <v>17</v>
          </cell>
        </row>
        <row r="261">
          <cell r="P261">
            <v>17</v>
          </cell>
        </row>
        <row r="262">
          <cell r="P262">
            <v>17</v>
          </cell>
        </row>
        <row r="263">
          <cell r="P263">
            <v>17</v>
          </cell>
        </row>
        <row r="264">
          <cell r="P264">
            <v>17</v>
          </cell>
        </row>
        <row r="265">
          <cell r="P265">
            <v>17</v>
          </cell>
        </row>
        <row r="266">
          <cell r="P266">
            <v>18</v>
          </cell>
        </row>
        <row r="267">
          <cell r="P267">
            <v>18</v>
          </cell>
        </row>
        <row r="268">
          <cell r="P268">
            <v>18</v>
          </cell>
        </row>
        <row r="269">
          <cell r="P269">
            <v>18</v>
          </cell>
        </row>
        <row r="270">
          <cell r="P270">
            <v>18</v>
          </cell>
        </row>
        <row r="271">
          <cell r="P271">
            <v>18</v>
          </cell>
        </row>
        <row r="272">
          <cell r="P272">
            <v>19</v>
          </cell>
        </row>
        <row r="273">
          <cell r="P273">
            <v>19</v>
          </cell>
        </row>
        <row r="274">
          <cell r="P274">
            <v>19</v>
          </cell>
        </row>
        <row r="275">
          <cell r="P275">
            <v>19</v>
          </cell>
        </row>
        <row r="276">
          <cell r="P276">
            <v>20</v>
          </cell>
        </row>
        <row r="277">
          <cell r="P277">
            <v>20</v>
          </cell>
        </row>
        <row r="278">
          <cell r="P278">
            <v>20</v>
          </cell>
        </row>
        <row r="279">
          <cell r="P279">
            <v>20</v>
          </cell>
        </row>
        <row r="280">
          <cell r="P280">
            <v>20</v>
          </cell>
        </row>
        <row r="281">
          <cell r="P281">
            <v>20</v>
          </cell>
        </row>
        <row r="282">
          <cell r="P282">
            <v>20</v>
          </cell>
        </row>
        <row r="283">
          <cell r="P283">
            <v>20</v>
          </cell>
        </row>
        <row r="284">
          <cell r="P284">
            <v>20</v>
          </cell>
        </row>
        <row r="285">
          <cell r="P285">
            <v>20</v>
          </cell>
        </row>
        <row r="286">
          <cell r="P286">
            <v>20</v>
          </cell>
        </row>
        <row r="287">
          <cell r="P287">
            <v>20</v>
          </cell>
        </row>
        <row r="288">
          <cell r="P288">
            <v>21</v>
          </cell>
        </row>
        <row r="289">
          <cell r="P289">
            <v>21</v>
          </cell>
        </row>
        <row r="290">
          <cell r="P290">
            <v>21</v>
          </cell>
        </row>
        <row r="291">
          <cell r="P291">
            <v>21</v>
          </cell>
        </row>
        <row r="292">
          <cell r="P292">
            <v>21</v>
          </cell>
        </row>
        <row r="293">
          <cell r="P293">
            <v>21</v>
          </cell>
        </row>
        <row r="294">
          <cell r="P294">
            <v>22</v>
          </cell>
        </row>
        <row r="295">
          <cell r="P295">
            <v>22</v>
          </cell>
        </row>
        <row r="296">
          <cell r="P296">
            <v>22</v>
          </cell>
        </row>
        <row r="297">
          <cell r="P297">
            <v>22</v>
          </cell>
        </row>
        <row r="298">
          <cell r="P298">
            <v>22</v>
          </cell>
        </row>
        <row r="299">
          <cell r="P299">
            <v>23</v>
          </cell>
        </row>
        <row r="300">
          <cell r="P300">
            <v>23</v>
          </cell>
        </row>
        <row r="301">
          <cell r="P301">
            <v>23</v>
          </cell>
        </row>
        <row r="302">
          <cell r="P302">
            <v>23</v>
          </cell>
        </row>
        <row r="303">
          <cell r="P303">
            <v>23</v>
          </cell>
        </row>
        <row r="304">
          <cell r="P304">
            <v>24</v>
          </cell>
        </row>
        <row r="305">
          <cell r="P305">
            <v>24</v>
          </cell>
        </row>
        <row r="306">
          <cell r="P306">
            <v>24</v>
          </cell>
        </row>
        <row r="307">
          <cell r="P307">
            <v>24</v>
          </cell>
        </row>
        <row r="308">
          <cell r="P308">
            <v>24</v>
          </cell>
        </row>
        <row r="309">
          <cell r="P309">
            <v>24</v>
          </cell>
        </row>
        <row r="310">
          <cell r="P310">
            <v>25</v>
          </cell>
        </row>
        <row r="311">
          <cell r="P311">
            <v>25</v>
          </cell>
        </row>
        <row r="312">
          <cell r="P312">
            <v>25</v>
          </cell>
        </row>
        <row r="313">
          <cell r="P313">
            <v>25</v>
          </cell>
        </row>
        <row r="314">
          <cell r="P314">
            <v>26</v>
          </cell>
        </row>
        <row r="315">
          <cell r="P315">
            <v>26</v>
          </cell>
        </row>
        <row r="316">
          <cell r="P316">
            <v>26</v>
          </cell>
        </row>
        <row r="317">
          <cell r="P317">
            <v>26</v>
          </cell>
        </row>
        <row r="318">
          <cell r="P318">
            <v>26</v>
          </cell>
        </row>
        <row r="319">
          <cell r="P319">
            <v>26</v>
          </cell>
        </row>
        <row r="320">
          <cell r="P320">
            <v>27</v>
          </cell>
        </row>
        <row r="321">
          <cell r="P321">
            <v>27</v>
          </cell>
        </row>
        <row r="322">
          <cell r="P322">
            <v>27</v>
          </cell>
        </row>
        <row r="323">
          <cell r="P323">
            <v>27</v>
          </cell>
        </row>
        <row r="324">
          <cell r="P324">
            <v>27</v>
          </cell>
        </row>
        <row r="325">
          <cell r="P325">
            <v>27</v>
          </cell>
        </row>
        <row r="326">
          <cell r="P326">
            <v>27</v>
          </cell>
        </row>
        <row r="327">
          <cell r="P327">
            <v>27</v>
          </cell>
        </row>
        <row r="328">
          <cell r="P328">
            <v>28</v>
          </cell>
        </row>
        <row r="329">
          <cell r="P329">
            <v>28</v>
          </cell>
        </row>
        <row r="330">
          <cell r="P330">
            <v>28</v>
          </cell>
        </row>
        <row r="331">
          <cell r="P331">
            <v>28</v>
          </cell>
        </row>
        <row r="332">
          <cell r="P332">
            <v>28</v>
          </cell>
        </row>
        <row r="333">
          <cell r="P333">
            <v>28</v>
          </cell>
        </row>
        <row r="334">
          <cell r="P334">
            <v>28</v>
          </cell>
        </row>
        <row r="335">
          <cell r="P335">
            <v>28</v>
          </cell>
        </row>
        <row r="336">
          <cell r="P336">
            <v>28</v>
          </cell>
        </row>
        <row r="337">
          <cell r="P337">
            <v>28</v>
          </cell>
        </row>
        <row r="338">
          <cell r="P338">
            <v>28</v>
          </cell>
        </row>
        <row r="339">
          <cell r="P339">
            <v>28</v>
          </cell>
        </row>
        <row r="340">
          <cell r="P340">
            <v>28</v>
          </cell>
        </row>
        <row r="341">
          <cell r="P341">
            <v>29</v>
          </cell>
        </row>
        <row r="342">
          <cell r="P342">
            <v>29</v>
          </cell>
        </row>
        <row r="343">
          <cell r="P343">
            <v>29</v>
          </cell>
        </row>
        <row r="344">
          <cell r="P344">
            <v>29</v>
          </cell>
        </row>
        <row r="345">
          <cell r="P345">
            <v>30</v>
          </cell>
        </row>
        <row r="346">
          <cell r="P346">
            <v>30</v>
          </cell>
        </row>
        <row r="347">
          <cell r="P347">
            <v>30</v>
          </cell>
        </row>
        <row r="348">
          <cell r="P348">
            <v>30</v>
          </cell>
        </row>
        <row r="349">
          <cell r="P349">
            <v>30</v>
          </cell>
        </row>
        <row r="350">
          <cell r="P350">
            <v>30</v>
          </cell>
        </row>
        <row r="351">
          <cell r="P351">
            <v>30</v>
          </cell>
        </row>
        <row r="352">
          <cell r="P352">
            <v>30</v>
          </cell>
        </row>
        <row r="353">
          <cell r="P353">
            <v>30</v>
          </cell>
        </row>
        <row r="354">
          <cell r="P354">
            <v>30</v>
          </cell>
        </row>
        <row r="355">
          <cell r="P355">
            <v>30</v>
          </cell>
        </row>
        <row r="356">
          <cell r="P356">
            <v>30</v>
          </cell>
        </row>
        <row r="357">
          <cell r="P357">
            <v>30</v>
          </cell>
        </row>
        <row r="358">
          <cell r="P358">
            <v>31</v>
          </cell>
        </row>
        <row r="359">
          <cell r="P359">
            <v>31</v>
          </cell>
        </row>
        <row r="360">
          <cell r="P360">
            <v>31</v>
          </cell>
        </row>
        <row r="361">
          <cell r="P361">
            <v>31</v>
          </cell>
        </row>
        <row r="362">
          <cell r="P362">
            <v>31</v>
          </cell>
        </row>
        <row r="363">
          <cell r="P363">
            <v>31</v>
          </cell>
        </row>
        <row r="364">
          <cell r="P364">
            <v>32</v>
          </cell>
        </row>
        <row r="365">
          <cell r="P365">
            <v>32</v>
          </cell>
        </row>
        <row r="366">
          <cell r="P366">
            <v>32</v>
          </cell>
        </row>
        <row r="367">
          <cell r="P367">
            <v>32</v>
          </cell>
        </row>
        <row r="368">
          <cell r="P368">
            <v>32</v>
          </cell>
        </row>
        <row r="369">
          <cell r="P369">
            <v>32</v>
          </cell>
        </row>
        <row r="370">
          <cell r="P370">
            <v>32</v>
          </cell>
        </row>
        <row r="371">
          <cell r="P371">
            <v>33</v>
          </cell>
        </row>
        <row r="372">
          <cell r="P372">
            <v>33</v>
          </cell>
        </row>
        <row r="373">
          <cell r="P373">
            <v>33</v>
          </cell>
        </row>
        <row r="374">
          <cell r="P374">
            <v>33</v>
          </cell>
        </row>
        <row r="375">
          <cell r="P375">
            <v>33</v>
          </cell>
        </row>
        <row r="376">
          <cell r="P376">
            <v>33</v>
          </cell>
        </row>
        <row r="377">
          <cell r="P377">
            <v>33</v>
          </cell>
        </row>
        <row r="378">
          <cell r="P378">
            <v>33</v>
          </cell>
        </row>
        <row r="379">
          <cell r="P379">
            <v>33</v>
          </cell>
        </row>
        <row r="380">
          <cell r="P380">
            <v>33</v>
          </cell>
        </row>
        <row r="381">
          <cell r="P381">
            <v>34</v>
          </cell>
        </row>
        <row r="382">
          <cell r="P382">
            <v>34</v>
          </cell>
        </row>
        <row r="383">
          <cell r="P383">
            <v>34</v>
          </cell>
        </row>
        <row r="384">
          <cell r="P384">
            <v>34</v>
          </cell>
        </row>
        <row r="385">
          <cell r="P385">
            <v>34</v>
          </cell>
        </row>
        <row r="386">
          <cell r="P386">
            <v>34</v>
          </cell>
        </row>
        <row r="387">
          <cell r="P387">
            <v>34</v>
          </cell>
        </row>
        <row r="388">
          <cell r="P388">
            <v>34</v>
          </cell>
        </row>
        <row r="389">
          <cell r="P389">
            <v>34</v>
          </cell>
        </row>
        <row r="390">
          <cell r="P390">
            <v>35</v>
          </cell>
        </row>
        <row r="391">
          <cell r="P391">
            <v>35</v>
          </cell>
        </row>
        <row r="392">
          <cell r="P392">
            <v>35</v>
          </cell>
        </row>
        <row r="393">
          <cell r="P393">
            <v>35</v>
          </cell>
        </row>
        <row r="394">
          <cell r="P394">
            <v>35</v>
          </cell>
        </row>
        <row r="395">
          <cell r="P395">
            <v>35</v>
          </cell>
        </row>
        <row r="396">
          <cell r="P396">
            <v>35</v>
          </cell>
        </row>
        <row r="397">
          <cell r="P397">
            <v>35</v>
          </cell>
        </row>
        <row r="398">
          <cell r="P398">
            <v>35</v>
          </cell>
        </row>
        <row r="399">
          <cell r="P399">
            <v>36</v>
          </cell>
        </row>
        <row r="400">
          <cell r="P400">
            <v>36</v>
          </cell>
        </row>
        <row r="401">
          <cell r="P401">
            <v>36</v>
          </cell>
        </row>
        <row r="402">
          <cell r="P402">
            <v>36</v>
          </cell>
        </row>
        <row r="403">
          <cell r="P403">
            <v>36</v>
          </cell>
        </row>
        <row r="404">
          <cell r="P404">
            <v>36</v>
          </cell>
        </row>
        <row r="405">
          <cell r="P405">
            <v>36</v>
          </cell>
        </row>
        <row r="406">
          <cell r="P406">
            <v>36</v>
          </cell>
        </row>
        <row r="407">
          <cell r="P407">
            <v>36</v>
          </cell>
        </row>
        <row r="408">
          <cell r="P408">
            <v>36</v>
          </cell>
        </row>
        <row r="409">
          <cell r="P409">
            <v>36</v>
          </cell>
        </row>
        <row r="410">
          <cell r="P410">
            <v>36</v>
          </cell>
        </row>
        <row r="411">
          <cell r="P411">
            <v>37</v>
          </cell>
        </row>
        <row r="412">
          <cell r="P412">
            <v>37</v>
          </cell>
        </row>
        <row r="413">
          <cell r="P413">
            <v>37</v>
          </cell>
        </row>
        <row r="414">
          <cell r="P414">
            <v>37</v>
          </cell>
        </row>
        <row r="415">
          <cell r="P415">
            <v>37</v>
          </cell>
        </row>
        <row r="416">
          <cell r="P416">
            <v>37</v>
          </cell>
        </row>
        <row r="417">
          <cell r="P417">
            <v>38</v>
          </cell>
        </row>
        <row r="418">
          <cell r="P418">
            <v>38</v>
          </cell>
        </row>
        <row r="419">
          <cell r="P419">
            <v>38</v>
          </cell>
        </row>
        <row r="420">
          <cell r="P420">
            <v>38</v>
          </cell>
        </row>
        <row r="421">
          <cell r="P421">
            <v>38</v>
          </cell>
        </row>
        <row r="422">
          <cell r="P422">
            <v>38</v>
          </cell>
        </row>
        <row r="423">
          <cell r="P423">
            <v>38</v>
          </cell>
        </row>
        <row r="424">
          <cell r="P424">
            <v>39</v>
          </cell>
        </row>
        <row r="425">
          <cell r="P425">
            <v>39</v>
          </cell>
        </row>
        <row r="426">
          <cell r="P426">
            <v>39</v>
          </cell>
        </row>
        <row r="427">
          <cell r="P427">
            <v>39</v>
          </cell>
        </row>
        <row r="428">
          <cell r="P428">
            <v>39</v>
          </cell>
        </row>
        <row r="429">
          <cell r="P429">
            <v>39</v>
          </cell>
        </row>
        <row r="430">
          <cell r="P430">
            <v>39</v>
          </cell>
        </row>
        <row r="431">
          <cell r="P431">
            <v>39</v>
          </cell>
        </row>
        <row r="432">
          <cell r="P432">
            <v>39</v>
          </cell>
        </row>
        <row r="433">
          <cell r="P433">
            <v>39</v>
          </cell>
        </row>
        <row r="434">
          <cell r="P434">
            <v>40</v>
          </cell>
        </row>
        <row r="435">
          <cell r="P435">
            <v>40</v>
          </cell>
        </row>
        <row r="436">
          <cell r="P436">
            <v>40</v>
          </cell>
        </row>
        <row r="437">
          <cell r="P437">
            <v>40</v>
          </cell>
        </row>
        <row r="438">
          <cell r="P438">
            <v>40</v>
          </cell>
        </row>
        <row r="439">
          <cell r="P439">
            <v>40</v>
          </cell>
        </row>
        <row r="440">
          <cell r="P440">
            <v>40</v>
          </cell>
        </row>
        <row r="441">
          <cell r="P441">
            <v>41</v>
          </cell>
        </row>
        <row r="442">
          <cell r="P442">
            <v>41</v>
          </cell>
        </row>
        <row r="443">
          <cell r="P443">
            <v>41</v>
          </cell>
        </row>
        <row r="444">
          <cell r="P444">
            <v>41</v>
          </cell>
        </row>
        <row r="445">
          <cell r="P445">
            <v>41</v>
          </cell>
        </row>
        <row r="446">
          <cell r="P446">
            <v>41</v>
          </cell>
        </row>
        <row r="447">
          <cell r="P447">
            <v>41</v>
          </cell>
        </row>
        <row r="448">
          <cell r="P448">
            <v>41</v>
          </cell>
        </row>
        <row r="449">
          <cell r="P449">
            <v>41</v>
          </cell>
        </row>
        <row r="450">
          <cell r="P450">
            <v>42</v>
          </cell>
        </row>
        <row r="451">
          <cell r="P451">
            <v>42</v>
          </cell>
        </row>
        <row r="452">
          <cell r="P452">
            <v>42</v>
          </cell>
        </row>
        <row r="453">
          <cell r="P453">
            <v>43</v>
          </cell>
        </row>
        <row r="454">
          <cell r="P454">
            <v>43</v>
          </cell>
        </row>
        <row r="455">
          <cell r="P455">
            <v>43</v>
          </cell>
        </row>
        <row r="456">
          <cell r="P456">
            <v>43</v>
          </cell>
        </row>
        <row r="457">
          <cell r="P457">
            <v>43</v>
          </cell>
        </row>
        <row r="458">
          <cell r="P458">
            <v>43</v>
          </cell>
        </row>
        <row r="459">
          <cell r="P459">
            <v>43</v>
          </cell>
        </row>
        <row r="460">
          <cell r="P460">
            <v>44</v>
          </cell>
        </row>
        <row r="461">
          <cell r="P461">
            <v>44</v>
          </cell>
        </row>
        <row r="462">
          <cell r="P462">
            <v>44</v>
          </cell>
        </row>
        <row r="463">
          <cell r="P463">
            <v>44</v>
          </cell>
        </row>
        <row r="464">
          <cell r="P464">
            <v>44</v>
          </cell>
        </row>
        <row r="465">
          <cell r="P465">
            <v>44</v>
          </cell>
        </row>
        <row r="466">
          <cell r="P466">
            <v>44</v>
          </cell>
        </row>
        <row r="467">
          <cell r="P467">
            <v>45</v>
          </cell>
        </row>
        <row r="468">
          <cell r="P468">
            <v>45</v>
          </cell>
        </row>
        <row r="469">
          <cell r="P469">
            <v>45</v>
          </cell>
        </row>
        <row r="470">
          <cell r="P470">
            <v>45</v>
          </cell>
        </row>
        <row r="471">
          <cell r="P471">
            <v>45</v>
          </cell>
        </row>
        <row r="472">
          <cell r="P472">
            <v>45</v>
          </cell>
        </row>
        <row r="473">
          <cell r="P473">
            <v>45</v>
          </cell>
        </row>
        <row r="474">
          <cell r="P474">
            <v>45</v>
          </cell>
        </row>
        <row r="475">
          <cell r="P475">
            <v>45</v>
          </cell>
        </row>
        <row r="476">
          <cell r="P476">
            <v>46</v>
          </cell>
        </row>
        <row r="477">
          <cell r="P477">
            <v>46</v>
          </cell>
        </row>
        <row r="478">
          <cell r="P478">
            <v>46</v>
          </cell>
        </row>
        <row r="479">
          <cell r="P479">
            <v>46</v>
          </cell>
        </row>
        <row r="480">
          <cell r="P480">
            <v>47</v>
          </cell>
        </row>
        <row r="481">
          <cell r="P481">
            <v>47</v>
          </cell>
        </row>
        <row r="482">
          <cell r="P482">
            <v>47</v>
          </cell>
        </row>
        <row r="483">
          <cell r="P483">
            <v>47</v>
          </cell>
        </row>
        <row r="484">
          <cell r="P484">
            <v>47</v>
          </cell>
        </row>
        <row r="485">
          <cell r="P485">
            <v>47</v>
          </cell>
        </row>
        <row r="486">
          <cell r="P486">
            <v>47</v>
          </cell>
        </row>
        <row r="487">
          <cell r="P487">
            <v>47</v>
          </cell>
        </row>
        <row r="488">
          <cell r="P488">
            <v>47</v>
          </cell>
        </row>
        <row r="489">
          <cell r="P489">
            <v>47</v>
          </cell>
        </row>
        <row r="490">
          <cell r="P490">
            <v>47</v>
          </cell>
        </row>
        <row r="491">
          <cell r="P491">
            <v>47</v>
          </cell>
        </row>
        <row r="492">
          <cell r="P492">
            <v>48</v>
          </cell>
        </row>
        <row r="493">
          <cell r="P493">
            <v>48</v>
          </cell>
        </row>
        <row r="494">
          <cell r="P494">
            <v>48</v>
          </cell>
        </row>
        <row r="495">
          <cell r="P495">
            <v>48</v>
          </cell>
        </row>
        <row r="496">
          <cell r="P496">
            <v>48</v>
          </cell>
        </row>
        <row r="497">
          <cell r="P497">
            <v>48</v>
          </cell>
        </row>
        <row r="498">
          <cell r="P498">
            <v>48</v>
          </cell>
        </row>
        <row r="499">
          <cell r="P499">
            <v>49</v>
          </cell>
        </row>
        <row r="500">
          <cell r="P500">
            <v>49</v>
          </cell>
        </row>
        <row r="501">
          <cell r="P501">
            <v>49</v>
          </cell>
        </row>
        <row r="502">
          <cell r="P502">
            <v>49</v>
          </cell>
        </row>
        <row r="503">
          <cell r="P503">
            <v>49</v>
          </cell>
        </row>
        <row r="504">
          <cell r="P504">
            <v>49</v>
          </cell>
        </row>
        <row r="505">
          <cell r="P505">
            <v>49</v>
          </cell>
        </row>
        <row r="506">
          <cell r="P506">
            <v>50</v>
          </cell>
        </row>
        <row r="507">
          <cell r="P507">
            <v>50</v>
          </cell>
        </row>
        <row r="508">
          <cell r="P508">
            <v>50</v>
          </cell>
        </row>
        <row r="509">
          <cell r="P509">
            <v>50</v>
          </cell>
        </row>
        <row r="510">
          <cell r="P510">
            <v>50</v>
          </cell>
        </row>
        <row r="511">
          <cell r="P511">
            <v>50</v>
          </cell>
        </row>
        <row r="512">
          <cell r="P512">
            <v>51</v>
          </cell>
        </row>
        <row r="513">
          <cell r="P513">
            <v>51</v>
          </cell>
        </row>
        <row r="514">
          <cell r="P514">
            <v>51</v>
          </cell>
        </row>
        <row r="515">
          <cell r="P515">
            <v>51</v>
          </cell>
        </row>
        <row r="516">
          <cell r="P516">
            <v>51</v>
          </cell>
        </row>
        <row r="517">
          <cell r="P517">
            <v>51</v>
          </cell>
        </row>
        <row r="518">
          <cell r="P518">
            <v>51</v>
          </cell>
        </row>
        <row r="519">
          <cell r="P519">
            <v>51</v>
          </cell>
        </row>
        <row r="520">
          <cell r="P520">
            <v>51</v>
          </cell>
        </row>
        <row r="521">
          <cell r="P521">
            <v>51</v>
          </cell>
        </row>
        <row r="522">
          <cell r="P522">
            <v>52</v>
          </cell>
        </row>
        <row r="523">
          <cell r="P523">
            <v>52</v>
          </cell>
        </row>
        <row r="524">
          <cell r="P524">
            <v>52</v>
          </cell>
        </row>
        <row r="525">
          <cell r="P525">
            <v>52</v>
          </cell>
        </row>
        <row r="526">
          <cell r="P526">
            <v>52</v>
          </cell>
        </row>
        <row r="527">
          <cell r="P527">
            <v>52</v>
          </cell>
        </row>
        <row r="528">
          <cell r="P528">
            <v>52</v>
          </cell>
        </row>
        <row r="529">
          <cell r="P529">
            <v>52</v>
          </cell>
        </row>
        <row r="530">
          <cell r="P530">
            <v>52</v>
          </cell>
        </row>
        <row r="531">
          <cell r="P531">
            <v>52</v>
          </cell>
        </row>
        <row r="532">
          <cell r="P532">
            <v>52</v>
          </cell>
        </row>
        <row r="533">
          <cell r="P533">
            <v>52</v>
          </cell>
        </row>
        <row r="534">
          <cell r="P534">
            <v>52</v>
          </cell>
        </row>
        <row r="535">
          <cell r="P535">
            <v>52</v>
          </cell>
        </row>
        <row r="536">
          <cell r="P536">
            <v>53</v>
          </cell>
        </row>
        <row r="537">
          <cell r="P537">
            <v>53</v>
          </cell>
        </row>
        <row r="538">
          <cell r="P538">
            <v>53</v>
          </cell>
        </row>
        <row r="539">
          <cell r="P539">
            <v>53</v>
          </cell>
        </row>
        <row r="540">
          <cell r="P540">
            <v>53</v>
          </cell>
        </row>
        <row r="541">
          <cell r="P541">
            <v>53</v>
          </cell>
        </row>
        <row r="542">
          <cell r="P542">
            <v>53</v>
          </cell>
        </row>
        <row r="543">
          <cell r="P543">
            <v>54</v>
          </cell>
        </row>
        <row r="544">
          <cell r="P544">
            <v>54</v>
          </cell>
        </row>
        <row r="545">
          <cell r="P545">
            <v>54</v>
          </cell>
        </row>
        <row r="546">
          <cell r="P546">
            <v>54</v>
          </cell>
        </row>
        <row r="547">
          <cell r="P547">
            <v>54</v>
          </cell>
        </row>
        <row r="548">
          <cell r="P548">
            <v>54</v>
          </cell>
        </row>
        <row r="549">
          <cell r="P549">
            <v>54</v>
          </cell>
        </row>
        <row r="550">
          <cell r="P550">
            <v>54</v>
          </cell>
        </row>
        <row r="551">
          <cell r="P551">
            <v>54</v>
          </cell>
        </row>
        <row r="552">
          <cell r="P552">
            <v>55</v>
          </cell>
        </row>
        <row r="553">
          <cell r="P553">
            <v>55</v>
          </cell>
        </row>
        <row r="554">
          <cell r="P554">
            <v>55</v>
          </cell>
        </row>
        <row r="555">
          <cell r="P555">
            <v>55</v>
          </cell>
        </row>
        <row r="556">
          <cell r="P556">
            <v>55</v>
          </cell>
        </row>
        <row r="557">
          <cell r="P557">
            <v>55</v>
          </cell>
        </row>
        <row r="558">
          <cell r="P558">
            <v>55</v>
          </cell>
        </row>
        <row r="559">
          <cell r="P559">
            <v>55</v>
          </cell>
        </row>
        <row r="560">
          <cell r="P560">
            <v>55</v>
          </cell>
        </row>
        <row r="561">
          <cell r="P561">
            <v>56</v>
          </cell>
        </row>
        <row r="562">
          <cell r="P562">
            <v>56</v>
          </cell>
        </row>
        <row r="563">
          <cell r="P563">
            <v>56</v>
          </cell>
        </row>
        <row r="564">
          <cell r="P564">
            <v>56</v>
          </cell>
        </row>
        <row r="565">
          <cell r="P565">
            <v>56</v>
          </cell>
        </row>
        <row r="566">
          <cell r="P566">
            <v>56</v>
          </cell>
        </row>
        <row r="567">
          <cell r="P567">
            <v>57</v>
          </cell>
        </row>
        <row r="568">
          <cell r="P568">
            <v>57</v>
          </cell>
        </row>
        <row r="569">
          <cell r="P569">
            <v>57</v>
          </cell>
        </row>
        <row r="570">
          <cell r="P570">
            <v>57</v>
          </cell>
        </row>
        <row r="571">
          <cell r="P571">
            <v>57</v>
          </cell>
        </row>
        <row r="572">
          <cell r="P572">
            <v>57</v>
          </cell>
        </row>
        <row r="573">
          <cell r="P573">
            <v>57</v>
          </cell>
        </row>
        <row r="574">
          <cell r="P574">
            <v>57</v>
          </cell>
        </row>
        <row r="575">
          <cell r="P575">
            <v>57</v>
          </cell>
        </row>
        <row r="576">
          <cell r="P576">
            <v>57</v>
          </cell>
        </row>
        <row r="577">
          <cell r="P577">
            <v>58</v>
          </cell>
        </row>
        <row r="578">
          <cell r="P578">
            <v>58</v>
          </cell>
        </row>
        <row r="579">
          <cell r="P579">
            <v>58</v>
          </cell>
        </row>
        <row r="580">
          <cell r="P580">
            <v>58</v>
          </cell>
        </row>
        <row r="581">
          <cell r="P581">
            <v>58</v>
          </cell>
        </row>
        <row r="582">
          <cell r="P582">
            <v>59</v>
          </cell>
        </row>
        <row r="583">
          <cell r="P583">
            <v>59</v>
          </cell>
        </row>
        <row r="584">
          <cell r="P584">
            <v>59</v>
          </cell>
        </row>
        <row r="585">
          <cell r="P585">
            <v>59</v>
          </cell>
        </row>
        <row r="586">
          <cell r="P586">
            <v>59</v>
          </cell>
        </row>
        <row r="587">
          <cell r="P587">
            <v>59</v>
          </cell>
        </row>
        <row r="588">
          <cell r="P588">
            <v>59</v>
          </cell>
        </row>
        <row r="589">
          <cell r="P589">
            <v>59</v>
          </cell>
        </row>
        <row r="590">
          <cell r="P590">
            <v>59</v>
          </cell>
        </row>
        <row r="591">
          <cell r="P591">
            <v>59</v>
          </cell>
        </row>
        <row r="592">
          <cell r="P592">
            <v>59</v>
          </cell>
        </row>
        <row r="593">
          <cell r="P593">
            <v>59</v>
          </cell>
        </row>
        <row r="594">
          <cell r="P594">
            <v>59</v>
          </cell>
        </row>
        <row r="595">
          <cell r="P595">
            <v>60</v>
          </cell>
        </row>
        <row r="596">
          <cell r="P596">
            <v>60</v>
          </cell>
        </row>
        <row r="597">
          <cell r="P597">
            <v>60</v>
          </cell>
        </row>
        <row r="598">
          <cell r="P598">
            <v>60</v>
          </cell>
        </row>
        <row r="599">
          <cell r="P599">
            <v>60</v>
          </cell>
        </row>
        <row r="600">
          <cell r="P600">
            <v>60</v>
          </cell>
        </row>
        <row r="601">
          <cell r="P601">
            <v>60</v>
          </cell>
        </row>
        <row r="602">
          <cell r="P602">
            <v>61</v>
          </cell>
        </row>
        <row r="603">
          <cell r="P603">
            <v>61</v>
          </cell>
        </row>
        <row r="604">
          <cell r="P604">
            <v>61</v>
          </cell>
        </row>
        <row r="605">
          <cell r="P605">
            <v>61</v>
          </cell>
        </row>
        <row r="606">
          <cell r="P606">
            <v>61</v>
          </cell>
        </row>
        <row r="607">
          <cell r="P607">
            <v>61</v>
          </cell>
        </row>
        <row r="608">
          <cell r="P608">
            <v>61</v>
          </cell>
        </row>
        <row r="609">
          <cell r="P609">
            <v>61</v>
          </cell>
        </row>
        <row r="610">
          <cell r="P610">
            <v>61</v>
          </cell>
        </row>
        <row r="611">
          <cell r="P611">
            <v>61</v>
          </cell>
        </row>
        <row r="612">
          <cell r="P612">
            <v>62</v>
          </cell>
        </row>
        <row r="613">
          <cell r="P613">
            <v>62</v>
          </cell>
        </row>
        <row r="614">
          <cell r="P614">
            <v>62</v>
          </cell>
        </row>
        <row r="615">
          <cell r="P615">
            <v>62</v>
          </cell>
        </row>
        <row r="616">
          <cell r="P616">
            <v>62</v>
          </cell>
        </row>
        <row r="617">
          <cell r="P617">
            <v>62</v>
          </cell>
        </row>
        <row r="618">
          <cell r="P618">
            <v>62</v>
          </cell>
        </row>
        <row r="619">
          <cell r="P619">
            <v>62</v>
          </cell>
        </row>
        <row r="620">
          <cell r="P620">
            <v>62</v>
          </cell>
        </row>
        <row r="621">
          <cell r="P621">
            <v>63</v>
          </cell>
        </row>
        <row r="622">
          <cell r="P622">
            <v>63</v>
          </cell>
        </row>
        <row r="623">
          <cell r="P623">
            <v>63</v>
          </cell>
        </row>
        <row r="624">
          <cell r="P624">
            <v>63</v>
          </cell>
        </row>
        <row r="625">
          <cell r="P625">
            <v>63</v>
          </cell>
        </row>
        <row r="626">
          <cell r="P626">
            <v>63</v>
          </cell>
        </row>
        <row r="627">
          <cell r="P627">
            <v>63</v>
          </cell>
        </row>
        <row r="628">
          <cell r="P628">
            <v>63</v>
          </cell>
        </row>
        <row r="629">
          <cell r="P629">
            <v>63</v>
          </cell>
        </row>
        <row r="630">
          <cell r="P630">
            <v>64</v>
          </cell>
        </row>
        <row r="631">
          <cell r="P631">
            <v>64</v>
          </cell>
        </row>
        <row r="632">
          <cell r="P632">
            <v>64</v>
          </cell>
        </row>
        <row r="633">
          <cell r="P633">
            <v>64</v>
          </cell>
        </row>
        <row r="634">
          <cell r="P634">
            <v>64</v>
          </cell>
        </row>
        <row r="635">
          <cell r="P635">
            <v>64</v>
          </cell>
        </row>
        <row r="636">
          <cell r="P636">
            <v>64</v>
          </cell>
        </row>
        <row r="637">
          <cell r="P637">
            <v>64</v>
          </cell>
        </row>
        <row r="638">
          <cell r="P638">
            <v>64</v>
          </cell>
        </row>
        <row r="639">
          <cell r="P639">
            <v>64</v>
          </cell>
        </row>
        <row r="640">
          <cell r="P640">
            <v>64</v>
          </cell>
        </row>
        <row r="641">
          <cell r="P641">
            <v>64</v>
          </cell>
        </row>
        <row r="642">
          <cell r="P642">
            <v>64</v>
          </cell>
        </row>
        <row r="643">
          <cell r="P643">
            <v>64</v>
          </cell>
        </row>
        <row r="644">
          <cell r="P644">
            <v>64</v>
          </cell>
        </row>
        <row r="645">
          <cell r="P645">
            <v>64</v>
          </cell>
        </row>
        <row r="646">
          <cell r="P646">
            <v>65</v>
          </cell>
        </row>
        <row r="647">
          <cell r="P647">
            <v>65</v>
          </cell>
        </row>
        <row r="648">
          <cell r="P648">
            <v>65</v>
          </cell>
        </row>
        <row r="649">
          <cell r="P649">
            <v>65</v>
          </cell>
        </row>
        <row r="650">
          <cell r="P650">
            <v>65</v>
          </cell>
        </row>
        <row r="651">
          <cell r="P651">
            <v>65</v>
          </cell>
        </row>
        <row r="652">
          <cell r="P652">
            <v>65</v>
          </cell>
        </row>
        <row r="653">
          <cell r="P653">
            <v>66</v>
          </cell>
        </row>
        <row r="654">
          <cell r="P654">
            <v>67</v>
          </cell>
        </row>
        <row r="655">
          <cell r="P655">
            <v>67</v>
          </cell>
        </row>
        <row r="656">
          <cell r="P656">
            <v>67</v>
          </cell>
        </row>
        <row r="657">
          <cell r="P657">
            <v>67</v>
          </cell>
        </row>
        <row r="658">
          <cell r="P658">
            <v>67</v>
          </cell>
        </row>
        <row r="659">
          <cell r="P659">
            <v>68</v>
          </cell>
        </row>
        <row r="660">
          <cell r="P660">
            <v>68</v>
          </cell>
        </row>
        <row r="661">
          <cell r="P661">
            <v>68</v>
          </cell>
        </row>
        <row r="662">
          <cell r="P662">
            <v>68</v>
          </cell>
        </row>
        <row r="663">
          <cell r="P663">
            <v>68</v>
          </cell>
        </row>
        <row r="664">
          <cell r="P664">
            <v>68</v>
          </cell>
        </row>
        <row r="665">
          <cell r="P665">
            <v>68</v>
          </cell>
        </row>
        <row r="666">
          <cell r="P666">
            <v>68</v>
          </cell>
        </row>
        <row r="667">
          <cell r="P667">
            <v>69</v>
          </cell>
        </row>
        <row r="668">
          <cell r="P668">
            <v>69</v>
          </cell>
        </row>
        <row r="669">
          <cell r="P669">
            <v>69</v>
          </cell>
        </row>
        <row r="670">
          <cell r="P670">
            <v>69</v>
          </cell>
        </row>
        <row r="671">
          <cell r="P671">
            <v>69</v>
          </cell>
        </row>
        <row r="672">
          <cell r="P672">
            <v>69</v>
          </cell>
        </row>
        <row r="673">
          <cell r="P673">
            <v>69</v>
          </cell>
        </row>
        <row r="674">
          <cell r="P674">
            <v>70</v>
          </cell>
        </row>
        <row r="675">
          <cell r="P675">
            <v>70</v>
          </cell>
        </row>
        <row r="676">
          <cell r="P676">
            <v>70</v>
          </cell>
        </row>
        <row r="677">
          <cell r="P677">
            <v>70</v>
          </cell>
        </row>
        <row r="678">
          <cell r="P678">
            <v>70</v>
          </cell>
        </row>
        <row r="679">
          <cell r="P679">
            <v>70</v>
          </cell>
        </row>
        <row r="680">
          <cell r="P680">
            <v>70</v>
          </cell>
        </row>
        <row r="681">
          <cell r="P681">
            <v>71</v>
          </cell>
        </row>
        <row r="682">
          <cell r="P682">
            <v>71</v>
          </cell>
        </row>
        <row r="683">
          <cell r="P683">
            <v>71</v>
          </cell>
        </row>
        <row r="684">
          <cell r="P684">
            <v>71</v>
          </cell>
        </row>
        <row r="685">
          <cell r="P685">
            <v>71</v>
          </cell>
        </row>
        <row r="686">
          <cell r="P686">
            <v>72</v>
          </cell>
        </row>
        <row r="687">
          <cell r="P687">
            <v>72</v>
          </cell>
        </row>
        <row r="688">
          <cell r="P688">
            <v>72</v>
          </cell>
        </row>
        <row r="689">
          <cell r="P689">
            <v>72</v>
          </cell>
        </row>
        <row r="690">
          <cell r="P690">
            <v>72</v>
          </cell>
        </row>
        <row r="691">
          <cell r="P691">
            <v>72</v>
          </cell>
        </row>
        <row r="692">
          <cell r="P692">
            <v>72</v>
          </cell>
        </row>
        <row r="693">
          <cell r="P693">
            <v>72</v>
          </cell>
        </row>
        <row r="694">
          <cell r="P694">
            <v>72</v>
          </cell>
        </row>
        <row r="695">
          <cell r="P695">
            <v>73</v>
          </cell>
        </row>
        <row r="696">
          <cell r="P696">
            <v>73</v>
          </cell>
        </row>
        <row r="697">
          <cell r="P697">
            <v>74</v>
          </cell>
        </row>
        <row r="698">
          <cell r="P698">
            <v>74</v>
          </cell>
        </row>
        <row r="699">
          <cell r="P699">
            <v>74</v>
          </cell>
        </row>
        <row r="700">
          <cell r="P700">
            <v>74</v>
          </cell>
        </row>
        <row r="701">
          <cell r="P701">
            <v>74</v>
          </cell>
        </row>
        <row r="702">
          <cell r="P702">
            <v>74</v>
          </cell>
        </row>
        <row r="703">
          <cell r="P703">
            <v>74</v>
          </cell>
        </row>
        <row r="704">
          <cell r="P704">
            <v>74</v>
          </cell>
        </row>
        <row r="705">
          <cell r="P705">
            <v>75</v>
          </cell>
        </row>
        <row r="706">
          <cell r="P706">
            <v>75</v>
          </cell>
        </row>
        <row r="707">
          <cell r="P707">
            <v>75</v>
          </cell>
        </row>
        <row r="708">
          <cell r="P708">
            <v>75</v>
          </cell>
        </row>
        <row r="709">
          <cell r="P709">
            <v>75</v>
          </cell>
        </row>
        <row r="710">
          <cell r="P710">
            <v>75</v>
          </cell>
        </row>
        <row r="711">
          <cell r="P711">
            <v>76</v>
          </cell>
        </row>
        <row r="712">
          <cell r="P712">
            <v>76</v>
          </cell>
        </row>
        <row r="713">
          <cell r="P713">
            <v>76</v>
          </cell>
        </row>
        <row r="714">
          <cell r="P714">
            <v>76</v>
          </cell>
        </row>
        <row r="715">
          <cell r="P715">
            <v>76</v>
          </cell>
        </row>
        <row r="716">
          <cell r="P716">
            <v>76</v>
          </cell>
        </row>
        <row r="717">
          <cell r="P717">
            <v>77</v>
          </cell>
        </row>
        <row r="718">
          <cell r="P718">
            <v>77</v>
          </cell>
        </row>
        <row r="719">
          <cell r="P719">
            <v>77</v>
          </cell>
        </row>
        <row r="720">
          <cell r="P720">
            <v>77</v>
          </cell>
        </row>
        <row r="721">
          <cell r="P721">
            <v>77</v>
          </cell>
        </row>
        <row r="722">
          <cell r="P722">
            <v>78</v>
          </cell>
        </row>
        <row r="723">
          <cell r="P723">
            <v>78</v>
          </cell>
        </row>
        <row r="724">
          <cell r="P724">
            <v>78</v>
          </cell>
        </row>
        <row r="725">
          <cell r="P725">
            <v>78</v>
          </cell>
        </row>
        <row r="726">
          <cell r="P726">
            <v>78</v>
          </cell>
        </row>
        <row r="727">
          <cell r="P727">
            <v>78</v>
          </cell>
        </row>
        <row r="728">
          <cell r="P728">
            <v>78</v>
          </cell>
        </row>
        <row r="729">
          <cell r="P729">
            <v>78</v>
          </cell>
        </row>
        <row r="730">
          <cell r="P730">
            <v>78</v>
          </cell>
        </row>
        <row r="731">
          <cell r="P731">
            <v>78</v>
          </cell>
        </row>
        <row r="732">
          <cell r="P732">
            <v>79</v>
          </cell>
        </row>
        <row r="733">
          <cell r="P733">
            <v>79</v>
          </cell>
        </row>
        <row r="734">
          <cell r="P734">
            <v>79</v>
          </cell>
        </row>
        <row r="735">
          <cell r="P735">
            <v>79</v>
          </cell>
        </row>
        <row r="736">
          <cell r="P736">
            <v>80</v>
          </cell>
        </row>
        <row r="737">
          <cell r="P737">
            <v>80</v>
          </cell>
        </row>
        <row r="738">
          <cell r="P738">
            <v>80</v>
          </cell>
        </row>
        <row r="739">
          <cell r="P739">
            <v>81</v>
          </cell>
        </row>
        <row r="740">
          <cell r="P740">
            <v>81</v>
          </cell>
        </row>
        <row r="741">
          <cell r="P741">
            <v>81</v>
          </cell>
        </row>
        <row r="742">
          <cell r="P742">
            <v>82</v>
          </cell>
        </row>
        <row r="743">
          <cell r="P743">
            <v>82</v>
          </cell>
        </row>
        <row r="744">
          <cell r="P744">
            <v>82</v>
          </cell>
        </row>
        <row r="745">
          <cell r="P745">
            <v>82</v>
          </cell>
        </row>
        <row r="746">
          <cell r="P746">
            <v>83</v>
          </cell>
        </row>
        <row r="747">
          <cell r="P747">
            <v>83</v>
          </cell>
        </row>
        <row r="748">
          <cell r="P748">
            <v>83</v>
          </cell>
        </row>
        <row r="749">
          <cell r="P749">
            <v>83</v>
          </cell>
        </row>
        <row r="750">
          <cell r="P750">
            <v>83</v>
          </cell>
        </row>
        <row r="751">
          <cell r="P751">
            <v>83</v>
          </cell>
        </row>
        <row r="752">
          <cell r="P752">
            <v>83</v>
          </cell>
        </row>
        <row r="753">
          <cell r="P753">
            <v>83</v>
          </cell>
        </row>
        <row r="754">
          <cell r="P754">
            <v>83</v>
          </cell>
        </row>
        <row r="755">
          <cell r="P755">
            <v>83</v>
          </cell>
        </row>
        <row r="756">
          <cell r="P756">
            <v>84</v>
          </cell>
        </row>
        <row r="757">
          <cell r="P757">
            <v>84</v>
          </cell>
        </row>
        <row r="758">
          <cell r="P758">
            <v>84</v>
          </cell>
        </row>
        <row r="759">
          <cell r="P759">
            <v>84</v>
          </cell>
        </row>
        <row r="760">
          <cell r="P760">
            <v>84</v>
          </cell>
        </row>
        <row r="761">
          <cell r="P761">
            <v>84</v>
          </cell>
        </row>
        <row r="762">
          <cell r="P762">
            <v>84</v>
          </cell>
        </row>
        <row r="763">
          <cell r="P763">
            <v>84</v>
          </cell>
        </row>
        <row r="764">
          <cell r="P764">
            <v>84</v>
          </cell>
        </row>
        <row r="765">
          <cell r="P765">
            <v>84</v>
          </cell>
        </row>
        <row r="766">
          <cell r="P766">
            <v>84</v>
          </cell>
        </row>
        <row r="767">
          <cell r="P767">
            <v>84</v>
          </cell>
        </row>
        <row r="768">
          <cell r="P768">
            <v>84</v>
          </cell>
        </row>
        <row r="769">
          <cell r="P769">
            <v>84</v>
          </cell>
        </row>
        <row r="770">
          <cell r="P770">
            <v>86</v>
          </cell>
        </row>
        <row r="771">
          <cell r="P771">
            <v>86</v>
          </cell>
        </row>
        <row r="772">
          <cell r="P772">
            <v>86</v>
          </cell>
        </row>
        <row r="773">
          <cell r="P773">
            <v>86</v>
          </cell>
        </row>
        <row r="774">
          <cell r="P774">
            <v>86</v>
          </cell>
        </row>
        <row r="775">
          <cell r="P775">
            <v>87</v>
          </cell>
        </row>
        <row r="776">
          <cell r="P776">
            <v>87</v>
          </cell>
        </row>
        <row r="777">
          <cell r="P777">
            <v>87</v>
          </cell>
        </row>
        <row r="778">
          <cell r="P778">
            <v>87</v>
          </cell>
        </row>
        <row r="779">
          <cell r="P779">
            <v>88</v>
          </cell>
        </row>
        <row r="780">
          <cell r="P780">
            <v>88</v>
          </cell>
        </row>
        <row r="781">
          <cell r="P781">
            <v>88</v>
          </cell>
        </row>
        <row r="782">
          <cell r="P782">
            <v>88</v>
          </cell>
        </row>
        <row r="783">
          <cell r="P783">
            <v>89</v>
          </cell>
        </row>
        <row r="784">
          <cell r="P784">
            <v>89</v>
          </cell>
        </row>
        <row r="785">
          <cell r="P785">
            <v>89</v>
          </cell>
        </row>
        <row r="786">
          <cell r="P786">
            <v>89</v>
          </cell>
        </row>
        <row r="787">
          <cell r="P787">
            <v>89</v>
          </cell>
        </row>
        <row r="788">
          <cell r="P788">
            <v>90</v>
          </cell>
        </row>
        <row r="789">
          <cell r="P789">
            <v>90</v>
          </cell>
        </row>
        <row r="790">
          <cell r="P790">
            <v>90</v>
          </cell>
        </row>
        <row r="791">
          <cell r="P791">
            <v>91</v>
          </cell>
        </row>
        <row r="792">
          <cell r="P792">
            <v>91</v>
          </cell>
        </row>
        <row r="793">
          <cell r="P793">
            <v>91</v>
          </cell>
        </row>
        <row r="794">
          <cell r="P794">
            <v>91</v>
          </cell>
        </row>
        <row r="795">
          <cell r="P795">
            <v>91</v>
          </cell>
        </row>
        <row r="796">
          <cell r="P796">
            <v>92</v>
          </cell>
        </row>
        <row r="797">
          <cell r="P797">
            <v>92</v>
          </cell>
        </row>
        <row r="798">
          <cell r="P798">
            <v>92</v>
          </cell>
        </row>
        <row r="799">
          <cell r="P799">
            <v>93</v>
          </cell>
        </row>
        <row r="800">
          <cell r="P800">
            <v>93</v>
          </cell>
        </row>
        <row r="801">
          <cell r="P801">
            <v>93</v>
          </cell>
        </row>
        <row r="802">
          <cell r="P802">
            <v>93</v>
          </cell>
        </row>
        <row r="803">
          <cell r="P803">
            <v>93</v>
          </cell>
        </row>
        <row r="804">
          <cell r="P804">
            <v>93</v>
          </cell>
        </row>
        <row r="805">
          <cell r="P805">
            <v>94</v>
          </cell>
        </row>
        <row r="806">
          <cell r="P806">
            <v>94</v>
          </cell>
        </row>
        <row r="807">
          <cell r="P807">
            <v>94</v>
          </cell>
        </row>
        <row r="808">
          <cell r="P808">
            <v>95</v>
          </cell>
        </row>
        <row r="809">
          <cell r="P809">
            <v>95</v>
          </cell>
        </row>
        <row r="810">
          <cell r="P810">
            <v>95</v>
          </cell>
        </row>
        <row r="811">
          <cell r="P811">
            <v>95</v>
          </cell>
        </row>
        <row r="812">
          <cell r="P812">
            <v>95</v>
          </cell>
        </row>
        <row r="813">
          <cell r="P813">
            <v>95</v>
          </cell>
        </row>
        <row r="814">
          <cell r="P814">
            <v>95</v>
          </cell>
        </row>
        <row r="815">
          <cell r="P815">
            <v>96</v>
          </cell>
        </row>
        <row r="816">
          <cell r="P816">
            <v>96</v>
          </cell>
        </row>
        <row r="817">
          <cell r="P817">
            <v>97</v>
          </cell>
        </row>
        <row r="818">
          <cell r="P818">
            <v>97</v>
          </cell>
        </row>
        <row r="819">
          <cell r="P819">
            <v>97</v>
          </cell>
        </row>
        <row r="820">
          <cell r="P820">
            <v>97</v>
          </cell>
        </row>
        <row r="821">
          <cell r="P821">
            <v>98</v>
          </cell>
        </row>
        <row r="822">
          <cell r="P822">
            <v>98</v>
          </cell>
        </row>
        <row r="823">
          <cell r="P823">
            <v>98</v>
          </cell>
        </row>
        <row r="824">
          <cell r="P824">
            <v>99</v>
          </cell>
        </row>
        <row r="825">
          <cell r="P825">
            <v>99</v>
          </cell>
        </row>
        <row r="826">
          <cell r="P826">
            <v>99</v>
          </cell>
        </row>
        <row r="827">
          <cell r="P827">
            <v>99</v>
          </cell>
        </row>
        <row r="828">
          <cell r="P828">
            <v>99</v>
          </cell>
        </row>
        <row r="829">
          <cell r="P829">
            <v>99</v>
          </cell>
        </row>
        <row r="830">
          <cell r="P830">
            <v>99</v>
          </cell>
        </row>
        <row r="831">
          <cell r="P831">
            <v>99</v>
          </cell>
        </row>
        <row r="832">
          <cell r="P832">
            <v>99</v>
          </cell>
        </row>
        <row r="833">
          <cell r="P833">
            <v>100</v>
          </cell>
        </row>
        <row r="834">
          <cell r="P834">
            <v>100</v>
          </cell>
        </row>
        <row r="835">
          <cell r="P835">
            <v>101</v>
          </cell>
        </row>
        <row r="836">
          <cell r="P836">
            <v>101</v>
          </cell>
        </row>
        <row r="837">
          <cell r="P837">
            <v>101</v>
          </cell>
        </row>
        <row r="838">
          <cell r="P838">
            <v>101</v>
          </cell>
        </row>
        <row r="839">
          <cell r="P839">
            <v>101</v>
          </cell>
        </row>
        <row r="840">
          <cell r="P840">
            <v>102</v>
          </cell>
        </row>
        <row r="841">
          <cell r="P841">
            <v>102</v>
          </cell>
        </row>
        <row r="842">
          <cell r="P842">
            <v>103</v>
          </cell>
        </row>
        <row r="843">
          <cell r="P843">
            <v>103</v>
          </cell>
        </row>
        <row r="844">
          <cell r="P844">
            <v>103</v>
          </cell>
        </row>
        <row r="845">
          <cell r="P845">
            <v>104</v>
          </cell>
        </row>
        <row r="846">
          <cell r="P846">
            <v>104</v>
          </cell>
        </row>
        <row r="847">
          <cell r="P847">
            <v>104</v>
          </cell>
        </row>
        <row r="848">
          <cell r="P848">
            <v>105</v>
          </cell>
        </row>
        <row r="849">
          <cell r="P849">
            <v>105</v>
          </cell>
        </row>
        <row r="850">
          <cell r="P850">
            <v>106</v>
          </cell>
        </row>
        <row r="851">
          <cell r="P851">
            <v>106</v>
          </cell>
        </row>
        <row r="852">
          <cell r="P852">
            <v>106</v>
          </cell>
        </row>
        <row r="853">
          <cell r="P853">
            <v>107</v>
          </cell>
        </row>
        <row r="854">
          <cell r="P854">
            <v>108</v>
          </cell>
        </row>
        <row r="855">
          <cell r="P855">
            <v>108</v>
          </cell>
        </row>
        <row r="856">
          <cell r="P856">
            <v>109</v>
          </cell>
        </row>
        <row r="857">
          <cell r="P857">
            <v>109</v>
          </cell>
        </row>
        <row r="858">
          <cell r="P858">
            <v>109</v>
          </cell>
        </row>
        <row r="859">
          <cell r="P859">
            <v>109</v>
          </cell>
        </row>
        <row r="860">
          <cell r="P860">
            <v>110</v>
          </cell>
        </row>
        <row r="861">
          <cell r="P861">
            <v>110</v>
          </cell>
        </row>
        <row r="862">
          <cell r="P862">
            <v>110</v>
          </cell>
        </row>
        <row r="863">
          <cell r="P863">
            <v>110</v>
          </cell>
        </row>
        <row r="864">
          <cell r="P864">
            <v>111</v>
          </cell>
        </row>
        <row r="865">
          <cell r="P865">
            <v>112</v>
          </cell>
        </row>
        <row r="866">
          <cell r="P866">
            <v>112</v>
          </cell>
        </row>
        <row r="867">
          <cell r="P867">
            <v>112</v>
          </cell>
        </row>
        <row r="868">
          <cell r="P868">
            <v>112</v>
          </cell>
        </row>
        <row r="869">
          <cell r="P869">
            <v>112</v>
          </cell>
        </row>
        <row r="870">
          <cell r="P870">
            <v>112</v>
          </cell>
        </row>
        <row r="871">
          <cell r="P871">
            <v>113</v>
          </cell>
        </row>
        <row r="872">
          <cell r="P872">
            <v>114</v>
          </cell>
        </row>
        <row r="873">
          <cell r="P873">
            <v>114</v>
          </cell>
        </row>
        <row r="874">
          <cell r="P874">
            <v>115</v>
          </cell>
        </row>
        <row r="875">
          <cell r="P875">
            <v>116</v>
          </cell>
        </row>
        <row r="876">
          <cell r="P876">
            <v>116</v>
          </cell>
        </row>
        <row r="877">
          <cell r="P877">
            <v>116</v>
          </cell>
        </row>
        <row r="878">
          <cell r="P878">
            <v>117</v>
          </cell>
        </row>
        <row r="879">
          <cell r="P879">
            <v>117</v>
          </cell>
        </row>
        <row r="880">
          <cell r="P880">
            <v>118</v>
          </cell>
        </row>
        <row r="881">
          <cell r="P881">
            <v>118</v>
          </cell>
        </row>
        <row r="882">
          <cell r="P882">
            <v>118</v>
          </cell>
        </row>
        <row r="883">
          <cell r="P883">
            <v>119</v>
          </cell>
        </row>
        <row r="884">
          <cell r="P884">
            <v>120</v>
          </cell>
        </row>
        <row r="885">
          <cell r="P885">
            <v>120</v>
          </cell>
        </row>
        <row r="886">
          <cell r="P886">
            <v>120</v>
          </cell>
        </row>
        <row r="887">
          <cell r="P887">
            <v>120</v>
          </cell>
        </row>
        <row r="888">
          <cell r="P888">
            <v>121</v>
          </cell>
        </row>
        <row r="889">
          <cell r="P889">
            <v>122</v>
          </cell>
        </row>
        <row r="890">
          <cell r="P890">
            <v>122</v>
          </cell>
        </row>
        <row r="891">
          <cell r="P891">
            <v>122</v>
          </cell>
        </row>
        <row r="892">
          <cell r="P892">
            <v>123</v>
          </cell>
        </row>
        <row r="893">
          <cell r="P893">
            <v>123</v>
          </cell>
        </row>
        <row r="894">
          <cell r="P894">
            <v>123</v>
          </cell>
        </row>
        <row r="895">
          <cell r="P895">
            <v>123</v>
          </cell>
        </row>
        <row r="896">
          <cell r="P896">
            <v>125</v>
          </cell>
        </row>
        <row r="897">
          <cell r="P897">
            <v>125</v>
          </cell>
        </row>
        <row r="898">
          <cell r="P898">
            <v>125</v>
          </cell>
        </row>
        <row r="899">
          <cell r="P899">
            <v>126</v>
          </cell>
        </row>
        <row r="900">
          <cell r="P900">
            <v>127</v>
          </cell>
        </row>
        <row r="901">
          <cell r="P901">
            <v>128</v>
          </cell>
        </row>
        <row r="902">
          <cell r="P902">
            <v>128</v>
          </cell>
        </row>
        <row r="903">
          <cell r="P903">
            <v>128</v>
          </cell>
        </row>
        <row r="904">
          <cell r="P904">
            <v>129</v>
          </cell>
        </row>
        <row r="905">
          <cell r="P905">
            <v>130</v>
          </cell>
        </row>
        <row r="906">
          <cell r="P906">
            <v>132</v>
          </cell>
        </row>
        <row r="907">
          <cell r="P907">
            <v>133</v>
          </cell>
        </row>
        <row r="908">
          <cell r="P908">
            <v>133</v>
          </cell>
        </row>
        <row r="909">
          <cell r="P909">
            <v>134</v>
          </cell>
        </row>
        <row r="910">
          <cell r="P910">
            <v>134</v>
          </cell>
        </row>
        <row r="911">
          <cell r="P911">
            <v>135</v>
          </cell>
        </row>
        <row r="912">
          <cell r="P912">
            <v>135</v>
          </cell>
        </row>
        <row r="913">
          <cell r="P913">
            <v>135</v>
          </cell>
        </row>
        <row r="914">
          <cell r="P914">
            <v>136</v>
          </cell>
        </row>
        <row r="915">
          <cell r="P915">
            <v>137</v>
          </cell>
        </row>
        <row r="916">
          <cell r="P916">
            <v>137</v>
          </cell>
        </row>
        <row r="917">
          <cell r="P917">
            <v>139</v>
          </cell>
        </row>
        <row r="918">
          <cell r="P918">
            <v>139</v>
          </cell>
        </row>
        <row r="919">
          <cell r="P919">
            <v>139</v>
          </cell>
        </row>
        <row r="920">
          <cell r="P920">
            <v>140</v>
          </cell>
        </row>
        <row r="921">
          <cell r="P921">
            <v>143</v>
          </cell>
        </row>
        <row r="922">
          <cell r="P922">
            <v>144</v>
          </cell>
        </row>
        <row r="923">
          <cell r="P923">
            <v>144</v>
          </cell>
        </row>
        <row r="924">
          <cell r="P924">
            <v>145</v>
          </cell>
        </row>
        <row r="925">
          <cell r="P925">
            <v>146</v>
          </cell>
        </row>
        <row r="926">
          <cell r="P926">
            <v>147</v>
          </cell>
        </row>
        <row r="927">
          <cell r="P927">
            <v>149</v>
          </cell>
        </row>
        <row r="928">
          <cell r="P928">
            <v>152</v>
          </cell>
        </row>
        <row r="929">
          <cell r="P929">
            <v>152</v>
          </cell>
        </row>
        <row r="930">
          <cell r="P930">
            <v>152</v>
          </cell>
        </row>
        <row r="931">
          <cell r="P931">
            <v>153</v>
          </cell>
        </row>
        <row r="932">
          <cell r="P932">
            <v>154</v>
          </cell>
        </row>
        <row r="933">
          <cell r="P933">
            <v>154</v>
          </cell>
        </row>
        <row r="934">
          <cell r="P934">
            <v>155</v>
          </cell>
        </row>
        <row r="935">
          <cell r="P935">
            <v>155</v>
          </cell>
        </row>
        <row r="936">
          <cell r="P936">
            <v>155</v>
          </cell>
        </row>
        <row r="937">
          <cell r="P937">
            <v>156</v>
          </cell>
        </row>
        <row r="938">
          <cell r="P938">
            <v>157</v>
          </cell>
        </row>
        <row r="939">
          <cell r="P939">
            <v>157</v>
          </cell>
        </row>
        <row r="940">
          <cell r="P940">
            <v>157</v>
          </cell>
        </row>
        <row r="941">
          <cell r="P941">
            <v>157</v>
          </cell>
        </row>
        <row r="942">
          <cell r="P942">
            <v>158</v>
          </cell>
        </row>
        <row r="943">
          <cell r="P943">
            <v>159</v>
          </cell>
        </row>
        <row r="944">
          <cell r="P944">
            <v>160</v>
          </cell>
        </row>
        <row r="945">
          <cell r="P945">
            <v>161</v>
          </cell>
        </row>
        <row r="946">
          <cell r="P946">
            <v>161</v>
          </cell>
        </row>
        <row r="947">
          <cell r="P947">
            <v>161</v>
          </cell>
        </row>
        <row r="948">
          <cell r="P948">
            <v>161</v>
          </cell>
        </row>
        <row r="949">
          <cell r="P949">
            <v>161</v>
          </cell>
        </row>
        <row r="950">
          <cell r="P950">
            <v>162</v>
          </cell>
        </row>
        <row r="951">
          <cell r="P951">
            <v>162</v>
          </cell>
        </row>
        <row r="952">
          <cell r="P952">
            <v>163</v>
          </cell>
        </row>
        <row r="953">
          <cell r="P953">
            <v>165</v>
          </cell>
        </row>
        <row r="954">
          <cell r="P954">
            <v>166</v>
          </cell>
        </row>
        <row r="955">
          <cell r="P955">
            <v>166</v>
          </cell>
        </row>
        <row r="956">
          <cell r="P956">
            <v>168</v>
          </cell>
        </row>
        <row r="957">
          <cell r="P957">
            <v>169</v>
          </cell>
        </row>
        <row r="958">
          <cell r="P958">
            <v>170</v>
          </cell>
        </row>
        <row r="959">
          <cell r="P959">
            <v>172</v>
          </cell>
        </row>
        <row r="960">
          <cell r="P960">
            <v>174</v>
          </cell>
        </row>
        <row r="961">
          <cell r="P961">
            <v>174</v>
          </cell>
        </row>
        <row r="962">
          <cell r="P962">
            <v>174</v>
          </cell>
        </row>
        <row r="963">
          <cell r="P963">
            <v>175</v>
          </cell>
        </row>
        <row r="964">
          <cell r="P964">
            <v>175</v>
          </cell>
        </row>
        <row r="965">
          <cell r="P965">
            <v>176</v>
          </cell>
        </row>
        <row r="966">
          <cell r="P966">
            <v>176</v>
          </cell>
        </row>
        <row r="967">
          <cell r="P967">
            <v>177</v>
          </cell>
        </row>
        <row r="968">
          <cell r="P968">
            <v>178</v>
          </cell>
        </row>
        <row r="969">
          <cell r="P969">
            <v>178</v>
          </cell>
        </row>
        <row r="970">
          <cell r="P970">
            <v>179</v>
          </cell>
        </row>
        <row r="971">
          <cell r="P971">
            <v>182</v>
          </cell>
        </row>
        <row r="972">
          <cell r="P972">
            <v>182</v>
          </cell>
        </row>
        <row r="973">
          <cell r="P973">
            <v>182</v>
          </cell>
        </row>
        <row r="974">
          <cell r="P974">
            <v>182</v>
          </cell>
        </row>
        <row r="975">
          <cell r="P975">
            <v>184</v>
          </cell>
        </row>
        <row r="976">
          <cell r="P976">
            <v>185</v>
          </cell>
        </row>
        <row r="977">
          <cell r="P977">
            <v>185</v>
          </cell>
        </row>
        <row r="978">
          <cell r="P978">
            <v>187</v>
          </cell>
        </row>
        <row r="979">
          <cell r="P979">
            <v>188</v>
          </cell>
        </row>
        <row r="980">
          <cell r="P980">
            <v>188</v>
          </cell>
        </row>
        <row r="981">
          <cell r="P981">
            <v>190</v>
          </cell>
        </row>
        <row r="982">
          <cell r="P982">
            <v>190</v>
          </cell>
        </row>
        <row r="983">
          <cell r="P983">
            <v>195</v>
          </cell>
        </row>
        <row r="984">
          <cell r="P984">
            <v>197</v>
          </cell>
        </row>
        <row r="985">
          <cell r="P985">
            <v>197</v>
          </cell>
        </row>
        <row r="986">
          <cell r="P986">
            <v>199</v>
          </cell>
        </row>
        <row r="987">
          <cell r="P987">
            <v>202</v>
          </cell>
        </row>
        <row r="988">
          <cell r="P988">
            <v>205</v>
          </cell>
        </row>
        <row r="989">
          <cell r="P989">
            <v>210</v>
          </cell>
        </row>
        <row r="990">
          <cell r="P990">
            <v>211</v>
          </cell>
        </row>
        <row r="991">
          <cell r="P991">
            <v>212</v>
          </cell>
        </row>
        <row r="992">
          <cell r="P992">
            <v>215</v>
          </cell>
        </row>
        <row r="993">
          <cell r="P993">
            <v>216</v>
          </cell>
        </row>
        <row r="994">
          <cell r="P994">
            <v>216</v>
          </cell>
        </row>
        <row r="995">
          <cell r="P995">
            <v>217</v>
          </cell>
        </row>
        <row r="996">
          <cell r="P996">
            <v>217</v>
          </cell>
        </row>
        <row r="997">
          <cell r="P997">
            <v>219</v>
          </cell>
        </row>
        <row r="998">
          <cell r="P998">
            <v>220</v>
          </cell>
        </row>
        <row r="999">
          <cell r="P999">
            <v>222</v>
          </cell>
        </row>
        <row r="1000">
          <cell r="P1000">
            <v>225</v>
          </cell>
        </row>
        <row r="1001">
          <cell r="P1001">
            <v>230</v>
          </cell>
        </row>
        <row r="1002">
          <cell r="P1002">
            <v>238</v>
          </cell>
        </row>
        <row r="1003">
          <cell r="P1003">
            <v>243</v>
          </cell>
        </row>
        <row r="1004">
          <cell r="P1004">
            <v>249</v>
          </cell>
        </row>
      </sheetData>
      <sheetData sheetId="5">
        <row r="8">
          <cell r="C8" t="str">
            <v>Sum of REGISTERED CUSTOMER</v>
          </cell>
          <cell r="D8" t="str">
            <v>Sum of CASUAL  CUSTOMER</v>
          </cell>
        </row>
        <row r="9">
          <cell r="B9" t="str">
            <v>Bright sunny</v>
          </cell>
          <cell r="C9">
            <v>34162</v>
          </cell>
          <cell r="D9">
            <v>3211</v>
          </cell>
        </row>
        <row r="10">
          <cell r="B10" t="str">
            <v>Heavy rain</v>
          </cell>
          <cell r="C10">
            <v>2618</v>
          </cell>
          <cell r="D10">
            <v>171</v>
          </cell>
        </row>
        <row r="11">
          <cell r="B11" t="str">
            <v>High thunderstrom</v>
          </cell>
          <cell r="C11">
            <v>35</v>
          </cell>
          <cell r="D11">
            <v>1</v>
          </cell>
          <cell r="I11" t="str">
            <v>Jan</v>
          </cell>
          <cell r="J11" t="str">
            <v>Feb</v>
          </cell>
        </row>
        <row r="12">
          <cell r="B12" t="str">
            <v>Little cloudy</v>
          </cell>
          <cell r="C12">
            <v>16568</v>
          </cell>
          <cell r="D12">
            <v>1538</v>
          </cell>
          <cell r="H12" t="str">
            <v>Sunday</v>
          </cell>
          <cell r="I12">
            <v>4909</v>
          </cell>
          <cell r="J12">
            <v>3212</v>
          </cell>
        </row>
        <row r="13">
          <cell r="H13" t="str">
            <v>Monday</v>
          </cell>
          <cell r="I13">
            <v>6587</v>
          </cell>
          <cell r="J13">
            <v>1863</v>
          </cell>
        </row>
        <row r="14">
          <cell r="H14" t="str">
            <v>Tuesday</v>
          </cell>
          <cell r="I14">
            <v>5493</v>
          </cell>
          <cell r="J14">
            <v>2890</v>
          </cell>
        </row>
        <row r="15">
          <cell r="H15" t="str">
            <v>Wednesday</v>
          </cell>
          <cell r="I15">
            <v>4918</v>
          </cell>
          <cell r="J15">
            <v>3131</v>
          </cell>
        </row>
        <row r="16">
          <cell r="H16" t="str">
            <v>Friday</v>
          </cell>
          <cell r="I16">
            <v>5641</v>
          </cell>
          <cell r="J16">
            <v>3454</v>
          </cell>
        </row>
        <row r="17">
          <cell r="H17" t="str">
            <v>Saturday</v>
          </cell>
          <cell r="I17">
            <v>5231</v>
          </cell>
          <cell r="J17">
            <v>2517</v>
          </cell>
        </row>
        <row r="18">
          <cell r="H18" t="str">
            <v>Thusday</v>
          </cell>
          <cell r="I18">
            <v>5370</v>
          </cell>
          <cell r="J18">
            <v>3088</v>
          </cell>
        </row>
      </sheetData>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el Foundations"/>
      <sheetName val="DATASET 2"/>
      <sheetName val="DATASET 3"/>
      <sheetName val="DATASET 1"/>
      <sheetName val="Sheet9"/>
      <sheetName val="Sheet3"/>
      <sheetName val="bike data"/>
      <sheetName val="VISUALISATION"/>
      <sheetName val="DATASET A"/>
      <sheetName val="pivot table"/>
      <sheetName val="Stastical data"/>
      <sheetName val="Dashboard"/>
      <sheetName val="Pivot &amp; Statistics"/>
    </sheetNames>
    <sheetDataSet>
      <sheetData sheetId="0"/>
      <sheetData sheetId="1"/>
      <sheetData sheetId="2"/>
      <sheetData sheetId="3"/>
      <sheetData sheetId="4"/>
      <sheetData sheetId="5"/>
      <sheetData sheetId="6">
        <row r="5">
          <cell r="N5">
            <v>3</v>
          </cell>
          <cell r="O5">
            <v>13</v>
          </cell>
          <cell r="P5">
            <v>16</v>
          </cell>
        </row>
        <row r="6">
          <cell r="N6">
            <v>8</v>
          </cell>
          <cell r="O6">
            <v>32</v>
          </cell>
          <cell r="P6">
            <v>40</v>
          </cell>
        </row>
        <row r="7">
          <cell r="N7">
            <v>5</v>
          </cell>
          <cell r="O7">
            <v>27</v>
          </cell>
          <cell r="P7">
            <v>32</v>
          </cell>
        </row>
        <row r="8">
          <cell r="N8">
            <v>3</v>
          </cell>
          <cell r="O8">
            <v>10</v>
          </cell>
          <cell r="P8">
            <v>13</v>
          </cell>
        </row>
        <row r="9">
          <cell r="N9">
            <v>0</v>
          </cell>
          <cell r="O9">
            <v>1</v>
          </cell>
          <cell r="P9">
            <v>1</v>
          </cell>
        </row>
        <row r="10">
          <cell r="N10">
            <v>0</v>
          </cell>
          <cell r="O10">
            <v>1</v>
          </cell>
          <cell r="P10">
            <v>1</v>
          </cell>
        </row>
        <row r="11">
          <cell r="N11">
            <v>2</v>
          </cell>
          <cell r="O11">
            <v>0</v>
          </cell>
          <cell r="P11">
            <v>2</v>
          </cell>
        </row>
        <row r="12">
          <cell r="N12">
            <v>1</v>
          </cell>
          <cell r="O12">
            <v>2</v>
          </cell>
          <cell r="P12">
            <v>3</v>
          </cell>
        </row>
        <row r="13">
          <cell r="N13">
            <v>1</v>
          </cell>
          <cell r="O13">
            <v>7</v>
          </cell>
          <cell r="P13">
            <v>8</v>
          </cell>
        </row>
        <row r="14">
          <cell r="N14">
            <v>8</v>
          </cell>
          <cell r="O14">
            <v>6</v>
          </cell>
          <cell r="P14">
            <v>14</v>
          </cell>
        </row>
        <row r="15">
          <cell r="N15">
            <v>12</v>
          </cell>
          <cell r="O15">
            <v>24</v>
          </cell>
          <cell r="P15">
            <v>36</v>
          </cell>
        </row>
        <row r="16">
          <cell r="N16">
            <v>26</v>
          </cell>
          <cell r="O16">
            <v>30</v>
          </cell>
          <cell r="P16">
            <v>56</v>
          </cell>
        </row>
        <row r="17">
          <cell r="N17">
            <v>29</v>
          </cell>
          <cell r="O17">
            <v>55</v>
          </cell>
          <cell r="P17">
            <v>84</v>
          </cell>
        </row>
        <row r="18">
          <cell r="N18">
            <v>47</v>
          </cell>
          <cell r="O18">
            <v>47</v>
          </cell>
          <cell r="P18">
            <v>94</v>
          </cell>
        </row>
        <row r="19">
          <cell r="N19">
            <v>35</v>
          </cell>
          <cell r="O19">
            <v>71</v>
          </cell>
          <cell r="P19">
            <v>106</v>
          </cell>
        </row>
        <row r="20">
          <cell r="N20">
            <v>40</v>
          </cell>
          <cell r="O20">
            <v>70</v>
          </cell>
          <cell r="P20">
            <v>110</v>
          </cell>
        </row>
        <row r="21">
          <cell r="N21">
            <v>41</v>
          </cell>
          <cell r="O21">
            <v>52</v>
          </cell>
          <cell r="P21">
            <v>93</v>
          </cell>
        </row>
        <row r="22">
          <cell r="N22">
            <v>15</v>
          </cell>
          <cell r="O22">
            <v>52</v>
          </cell>
          <cell r="P22">
            <v>67</v>
          </cell>
        </row>
        <row r="23">
          <cell r="N23">
            <v>9</v>
          </cell>
          <cell r="O23">
            <v>26</v>
          </cell>
          <cell r="P23">
            <v>35</v>
          </cell>
        </row>
        <row r="24">
          <cell r="N24">
            <v>6</v>
          </cell>
          <cell r="O24">
            <v>31</v>
          </cell>
          <cell r="P24">
            <v>37</v>
          </cell>
        </row>
        <row r="25">
          <cell r="N25">
            <v>11</v>
          </cell>
          <cell r="O25">
            <v>25</v>
          </cell>
          <cell r="P25">
            <v>36</v>
          </cell>
        </row>
        <row r="26">
          <cell r="N26">
            <v>3</v>
          </cell>
          <cell r="O26">
            <v>31</v>
          </cell>
          <cell r="P26">
            <v>34</v>
          </cell>
        </row>
        <row r="27">
          <cell r="N27">
            <v>11</v>
          </cell>
          <cell r="O27">
            <v>17</v>
          </cell>
          <cell r="P27">
            <v>28</v>
          </cell>
        </row>
        <row r="28">
          <cell r="N28">
            <v>15</v>
          </cell>
          <cell r="O28">
            <v>24</v>
          </cell>
          <cell r="P28">
            <v>39</v>
          </cell>
        </row>
        <row r="29">
          <cell r="N29">
            <v>4</v>
          </cell>
          <cell r="O29">
            <v>13</v>
          </cell>
          <cell r="P29">
            <v>17</v>
          </cell>
        </row>
        <row r="30">
          <cell r="N30">
            <v>1</v>
          </cell>
          <cell r="O30">
            <v>16</v>
          </cell>
          <cell r="P30">
            <v>17</v>
          </cell>
        </row>
        <row r="31">
          <cell r="N31">
            <v>1</v>
          </cell>
          <cell r="O31">
            <v>8</v>
          </cell>
          <cell r="P31">
            <v>9</v>
          </cell>
        </row>
        <row r="32">
          <cell r="N32">
            <v>2</v>
          </cell>
          <cell r="O32">
            <v>4</v>
          </cell>
          <cell r="P32">
            <v>6</v>
          </cell>
        </row>
        <row r="33">
          <cell r="N33">
            <v>2</v>
          </cell>
          <cell r="O33">
            <v>1</v>
          </cell>
          <cell r="P33">
            <v>3</v>
          </cell>
        </row>
        <row r="34">
          <cell r="N34">
            <v>0</v>
          </cell>
          <cell r="O34">
            <v>2</v>
          </cell>
          <cell r="P34">
            <v>2</v>
          </cell>
        </row>
        <row r="35">
          <cell r="N35">
            <v>0</v>
          </cell>
          <cell r="O35">
            <v>1</v>
          </cell>
          <cell r="P35">
            <v>1</v>
          </cell>
        </row>
        <row r="36">
          <cell r="N36">
            <v>0</v>
          </cell>
          <cell r="O36">
            <v>8</v>
          </cell>
          <cell r="P36">
            <v>8</v>
          </cell>
        </row>
        <row r="37">
          <cell r="N37">
            <v>1</v>
          </cell>
          <cell r="O37">
            <v>19</v>
          </cell>
          <cell r="P37">
            <v>20</v>
          </cell>
        </row>
        <row r="38">
          <cell r="N38">
            <v>7</v>
          </cell>
          <cell r="O38">
            <v>46</v>
          </cell>
          <cell r="P38">
            <v>53</v>
          </cell>
        </row>
        <row r="39">
          <cell r="N39">
            <v>16</v>
          </cell>
          <cell r="O39">
            <v>54</v>
          </cell>
          <cell r="P39">
            <v>70</v>
          </cell>
        </row>
        <row r="40">
          <cell r="N40">
            <v>20</v>
          </cell>
          <cell r="O40">
            <v>73</v>
          </cell>
          <cell r="P40">
            <v>93</v>
          </cell>
        </row>
        <row r="41">
          <cell r="N41">
            <v>11</v>
          </cell>
          <cell r="O41">
            <v>64</v>
          </cell>
          <cell r="P41">
            <v>75</v>
          </cell>
        </row>
        <row r="42">
          <cell r="N42">
            <v>4</v>
          </cell>
          <cell r="O42">
            <v>55</v>
          </cell>
          <cell r="P42">
            <v>59</v>
          </cell>
        </row>
        <row r="43">
          <cell r="N43">
            <v>19</v>
          </cell>
          <cell r="O43">
            <v>55</v>
          </cell>
          <cell r="P43">
            <v>74</v>
          </cell>
        </row>
        <row r="44">
          <cell r="N44">
            <v>9</v>
          </cell>
          <cell r="O44">
            <v>67</v>
          </cell>
          <cell r="P44">
            <v>76</v>
          </cell>
        </row>
        <row r="45">
          <cell r="N45">
            <v>7</v>
          </cell>
          <cell r="O45">
            <v>58</v>
          </cell>
          <cell r="P45">
            <v>65</v>
          </cell>
        </row>
        <row r="46">
          <cell r="N46">
            <v>10</v>
          </cell>
          <cell r="O46">
            <v>43</v>
          </cell>
          <cell r="P46">
            <v>53</v>
          </cell>
        </row>
        <row r="47">
          <cell r="N47">
            <v>1</v>
          </cell>
          <cell r="O47">
            <v>29</v>
          </cell>
          <cell r="P47">
            <v>30</v>
          </cell>
        </row>
        <row r="48">
          <cell r="N48">
            <v>5</v>
          </cell>
          <cell r="O48">
            <v>17</v>
          </cell>
          <cell r="P48">
            <v>22</v>
          </cell>
        </row>
        <row r="49">
          <cell r="N49">
            <v>11</v>
          </cell>
          <cell r="O49">
            <v>20</v>
          </cell>
          <cell r="P49">
            <v>31</v>
          </cell>
        </row>
        <row r="50">
          <cell r="N50">
            <v>0</v>
          </cell>
          <cell r="O50">
            <v>9</v>
          </cell>
          <cell r="P50">
            <v>9</v>
          </cell>
        </row>
        <row r="51">
          <cell r="N51">
            <v>0</v>
          </cell>
          <cell r="O51">
            <v>8</v>
          </cell>
          <cell r="P51">
            <v>8</v>
          </cell>
        </row>
        <row r="52">
          <cell r="N52">
            <v>0</v>
          </cell>
          <cell r="O52">
            <v>5</v>
          </cell>
          <cell r="P52">
            <v>5</v>
          </cell>
        </row>
        <row r="53">
          <cell r="N53">
            <v>0</v>
          </cell>
          <cell r="O53">
            <v>2</v>
          </cell>
          <cell r="P53">
            <v>2</v>
          </cell>
        </row>
        <row r="54">
          <cell r="N54">
            <v>0</v>
          </cell>
          <cell r="O54">
            <v>1</v>
          </cell>
          <cell r="P54">
            <v>1</v>
          </cell>
        </row>
        <row r="55">
          <cell r="N55">
            <v>0</v>
          </cell>
          <cell r="O55">
            <v>3</v>
          </cell>
          <cell r="P55">
            <v>3</v>
          </cell>
        </row>
        <row r="56">
          <cell r="N56">
            <v>0</v>
          </cell>
          <cell r="O56">
            <v>30</v>
          </cell>
          <cell r="P56">
            <v>30</v>
          </cell>
        </row>
        <row r="57">
          <cell r="N57">
            <v>1</v>
          </cell>
          <cell r="O57">
            <v>63</v>
          </cell>
          <cell r="P57">
            <v>64</v>
          </cell>
        </row>
        <row r="58">
          <cell r="N58">
            <v>1</v>
          </cell>
          <cell r="O58">
            <v>153</v>
          </cell>
          <cell r="P58">
            <v>154</v>
          </cell>
        </row>
        <row r="59">
          <cell r="N59">
            <v>7</v>
          </cell>
          <cell r="O59">
            <v>81</v>
          </cell>
          <cell r="P59">
            <v>88</v>
          </cell>
        </row>
        <row r="60">
          <cell r="N60">
            <v>11</v>
          </cell>
          <cell r="O60">
            <v>33</v>
          </cell>
          <cell r="P60">
            <v>44</v>
          </cell>
        </row>
        <row r="61">
          <cell r="N61">
            <v>10</v>
          </cell>
          <cell r="O61">
            <v>41</v>
          </cell>
          <cell r="P61">
            <v>51</v>
          </cell>
        </row>
        <row r="62">
          <cell r="N62">
            <v>13</v>
          </cell>
          <cell r="O62">
            <v>48</v>
          </cell>
          <cell r="P62">
            <v>61</v>
          </cell>
        </row>
        <row r="63">
          <cell r="N63">
            <v>8</v>
          </cell>
          <cell r="O63">
            <v>53</v>
          </cell>
          <cell r="P63">
            <v>61</v>
          </cell>
        </row>
        <row r="64">
          <cell r="N64">
            <v>11</v>
          </cell>
          <cell r="O64">
            <v>66</v>
          </cell>
          <cell r="P64">
            <v>77</v>
          </cell>
        </row>
        <row r="65">
          <cell r="N65">
            <v>14</v>
          </cell>
          <cell r="O65">
            <v>58</v>
          </cell>
          <cell r="P65">
            <v>72</v>
          </cell>
        </row>
        <row r="66">
          <cell r="N66">
            <v>9</v>
          </cell>
          <cell r="O66">
            <v>67</v>
          </cell>
          <cell r="P66">
            <v>76</v>
          </cell>
        </row>
        <row r="67">
          <cell r="N67">
            <v>11</v>
          </cell>
          <cell r="O67">
            <v>146</v>
          </cell>
          <cell r="P67">
            <v>157</v>
          </cell>
        </row>
        <row r="68">
          <cell r="N68">
            <v>9</v>
          </cell>
          <cell r="O68">
            <v>148</v>
          </cell>
          <cell r="P68">
            <v>157</v>
          </cell>
        </row>
        <row r="69">
          <cell r="N69">
            <v>8</v>
          </cell>
          <cell r="O69">
            <v>102</v>
          </cell>
          <cell r="P69">
            <v>110</v>
          </cell>
        </row>
        <row r="70">
          <cell r="N70">
            <v>3</v>
          </cell>
          <cell r="O70">
            <v>49</v>
          </cell>
          <cell r="P70">
            <v>52</v>
          </cell>
        </row>
        <row r="71">
          <cell r="N71">
            <v>3</v>
          </cell>
          <cell r="O71">
            <v>49</v>
          </cell>
          <cell r="P71">
            <v>52</v>
          </cell>
        </row>
        <row r="72">
          <cell r="N72">
            <v>0</v>
          </cell>
          <cell r="O72">
            <v>20</v>
          </cell>
          <cell r="P72">
            <v>20</v>
          </cell>
        </row>
        <row r="73">
          <cell r="N73">
            <v>1</v>
          </cell>
          <cell r="O73">
            <v>11</v>
          </cell>
          <cell r="P73">
            <v>12</v>
          </cell>
        </row>
        <row r="74">
          <cell r="N74">
            <v>0</v>
          </cell>
          <cell r="O74">
            <v>5</v>
          </cell>
          <cell r="P74">
            <v>5</v>
          </cell>
        </row>
        <row r="75">
          <cell r="N75">
            <v>0</v>
          </cell>
          <cell r="O75">
            <v>2</v>
          </cell>
          <cell r="P75">
            <v>2</v>
          </cell>
        </row>
        <row r="76">
          <cell r="N76">
            <v>0</v>
          </cell>
          <cell r="O76">
            <v>1</v>
          </cell>
          <cell r="P76">
            <v>1</v>
          </cell>
        </row>
        <row r="77">
          <cell r="N77">
            <v>0</v>
          </cell>
          <cell r="O77">
            <v>2</v>
          </cell>
          <cell r="P77">
            <v>2</v>
          </cell>
        </row>
        <row r="78">
          <cell r="N78">
            <v>0</v>
          </cell>
          <cell r="O78">
            <v>4</v>
          </cell>
          <cell r="P78">
            <v>4</v>
          </cell>
        </row>
        <row r="79">
          <cell r="N79">
            <v>0</v>
          </cell>
          <cell r="O79">
            <v>36</v>
          </cell>
          <cell r="P79">
            <v>36</v>
          </cell>
        </row>
        <row r="80">
          <cell r="N80">
            <v>2</v>
          </cell>
          <cell r="O80">
            <v>92</v>
          </cell>
          <cell r="P80">
            <v>94</v>
          </cell>
        </row>
        <row r="81">
          <cell r="N81">
            <v>2</v>
          </cell>
          <cell r="O81">
            <v>177</v>
          </cell>
          <cell r="P81">
            <v>179</v>
          </cell>
        </row>
        <row r="82">
          <cell r="N82">
            <v>2</v>
          </cell>
          <cell r="O82">
            <v>98</v>
          </cell>
          <cell r="P82">
            <v>100</v>
          </cell>
        </row>
        <row r="83">
          <cell r="N83">
            <v>5</v>
          </cell>
          <cell r="O83">
            <v>37</v>
          </cell>
          <cell r="P83">
            <v>42</v>
          </cell>
        </row>
        <row r="84">
          <cell r="N84">
            <v>7</v>
          </cell>
          <cell r="O84">
            <v>50</v>
          </cell>
          <cell r="P84">
            <v>57</v>
          </cell>
        </row>
        <row r="85">
          <cell r="N85">
            <v>12</v>
          </cell>
          <cell r="O85">
            <v>66</v>
          </cell>
          <cell r="P85">
            <v>78</v>
          </cell>
        </row>
        <row r="86">
          <cell r="N86">
            <v>18</v>
          </cell>
          <cell r="O86">
            <v>79</v>
          </cell>
          <cell r="P86">
            <v>97</v>
          </cell>
        </row>
        <row r="87">
          <cell r="N87">
            <v>9</v>
          </cell>
          <cell r="O87">
            <v>54</v>
          </cell>
          <cell r="P87">
            <v>63</v>
          </cell>
        </row>
        <row r="88">
          <cell r="N88">
            <v>17</v>
          </cell>
          <cell r="O88">
            <v>48</v>
          </cell>
          <cell r="P88">
            <v>65</v>
          </cell>
        </row>
        <row r="89">
          <cell r="N89">
            <v>15</v>
          </cell>
          <cell r="O89">
            <v>68</v>
          </cell>
          <cell r="P89">
            <v>83</v>
          </cell>
        </row>
        <row r="90">
          <cell r="N90">
            <v>10</v>
          </cell>
          <cell r="O90">
            <v>202</v>
          </cell>
          <cell r="P90">
            <v>212</v>
          </cell>
        </row>
        <row r="91">
          <cell r="N91">
            <v>3</v>
          </cell>
          <cell r="O91">
            <v>179</v>
          </cell>
          <cell r="P91">
            <v>182</v>
          </cell>
        </row>
        <row r="92">
          <cell r="N92">
            <v>2</v>
          </cell>
          <cell r="O92">
            <v>110</v>
          </cell>
          <cell r="P92">
            <v>112</v>
          </cell>
        </row>
        <row r="93">
          <cell r="N93">
            <v>1</v>
          </cell>
          <cell r="O93">
            <v>53</v>
          </cell>
          <cell r="P93">
            <v>54</v>
          </cell>
        </row>
        <row r="94">
          <cell r="N94">
            <v>0</v>
          </cell>
          <cell r="O94">
            <v>48</v>
          </cell>
          <cell r="P94">
            <v>48</v>
          </cell>
        </row>
        <row r="95">
          <cell r="N95">
            <v>1</v>
          </cell>
          <cell r="O95">
            <v>34</v>
          </cell>
          <cell r="P95">
            <v>35</v>
          </cell>
        </row>
        <row r="96">
          <cell r="N96">
            <v>2</v>
          </cell>
          <cell r="O96">
            <v>9</v>
          </cell>
          <cell r="P96">
            <v>11</v>
          </cell>
        </row>
        <row r="97">
          <cell r="N97">
            <v>0</v>
          </cell>
          <cell r="O97">
            <v>6</v>
          </cell>
          <cell r="P97">
            <v>6</v>
          </cell>
        </row>
        <row r="98">
          <cell r="N98">
            <v>0</v>
          </cell>
          <cell r="O98">
            <v>6</v>
          </cell>
          <cell r="P98">
            <v>6</v>
          </cell>
        </row>
        <row r="99">
          <cell r="N99">
            <v>0</v>
          </cell>
          <cell r="O99">
            <v>2</v>
          </cell>
          <cell r="P99">
            <v>2</v>
          </cell>
        </row>
        <row r="100">
          <cell r="N100">
            <v>0</v>
          </cell>
          <cell r="O100">
            <v>2</v>
          </cell>
          <cell r="P100">
            <v>2</v>
          </cell>
        </row>
        <row r="101">
          <cell r="N101">
            <v>0</v>
          </cell>
          <cell r="O101">
            <v>3</v>
          </cell>
          <cell r="P101">
            <v>3</v>
          </cell>
        </row>
        <row r="102">
          <cell r="N102">
            <v>0</v>
          </cell>
          <cell r="O102">
            <v>33</v>
          </cell>
          <cell r="P102">
            <v>33</v>
          </cell>
        </row>
        <row r="103">
          <cell r="N103">
            <v>1</v>
          </cell>
          <cell r="O103">
            <v>87</v>
          </cell>
          <cell r="P103">
            <v>88</v>
          </cell>
        </row>
        <row r="104">
          <cell r="N104">
            <v>3</v>
          </cell>
          <cell r="O104">
            <v>192</v>
          </cell>
          <cell r="P104">
            <v>195</v>
          </cell>
        </row>
        <row r="105">
          <cell r="N105">
            <v>6</v>
          </cell>
          <cell r="O105">
            <v>109</v>
          </cell>
          <cell r="P105">
            <v>115</v>
          </cell>
        </row>
        <row r="106">
          <cell r="N106">
            <v>4</v>
          </cell>
          <cell r="O106">
            <v>53</v>
          </cell>
          <cell r="P106">
            <v>57</v>
          </cell>
        </row>
        <row r="107">
          <cell r="N107">
            <v>12</v>
          </cell>
          <cell r="O107">
            <v>34</v>
          </cell>
          <cell r="P107">
            <v>46</v>
          </cell>
        </row>
        <row r="108">
          <cell r="N108">
            <v>5</v>
          </cell>
          <cell r="O108">
            <v>74</v>
          </cell>
          <cell r="P108">
            <v>79</v>
          </cell>
        </row>
        <row r="109">
          <cell r="N109">
            <v>6</v>
          </cell>
          <cell r="O109">
            <v>65</v>
          </cell>
          <cell r="P109">
            <v>71</v>
          </cell>
        </row>
        <row r="110">
          <cell r="N110">
            <v>10</v>
          </cell>
          <cell r="O110">
            <v>52</v>
          </cell>
          <cell r="P110">
            <v>62</v>
          </cell>
        </row>
        <row r="111">
          <cell r="N111">
            <v>7</v>
          </cell>
          <cell r="O111">
            <v>55</v>
          </cell>
          <cell r="P111">
            <v>62</v>
          </cell>
        </row>
        <row r="112">
          <cell r="N112">
            <v>4</v>
          </cell>
          <cell r="O112">
            <v>85</v>
          </cell>
          <cell r="P112">
            <v>89</v>
          </cell>
        </row>
        <row r="113">
          <cell r="N113">
            <v>4</v>
          </cell>
          <cell r="O113">
            <v>186</v>
          </cell>
          <cell r="P113">
            <v>190</v>
          </cell>
        </row>
        <row r="114">
          <cell r="N114">
            <v>3</v>
          </cell>
          <cell r="O114">
            <v>166</v>
          </cell>
          <cell r="P114">
            <v>169</v>
          </cell>
        </row>
        <row r="115">
          <cell r="N115">
            <v>5</v>
          </cell>
          <cell r="O115">
            <v>127</v>
          </cell>
          <cell r="P115">
            <v>132</v>
          </cell>
        </row>
        <row r="116">
          <cell r="N116">
            <v>7</v>
          </cell>
          <cell r="O116">
            <v>82</v>
          </cell>
          <cell r="P116">
            <v>89</v>
          </cell>
        </row>
        <row r="117">
          <cell r="N117">
            <v>3</v>
          </cell>
          <cell r="O117">
            <v>40</v>
          </cell>
          <cell r="P117">
            <v>43</v>
          </cell>
        </row>
        <row r="118">
          <cell r="N118">
            <v>1</v>
          </cell>
          <cell r="O118">
            <v>41</v>
          </cell>
          <cell r="P118">
            <v>42</v>
          </cell>
        </row>
        <row r="119">
          <cell r="N119">
            <v>1</v>
          </cell>
          <cell r="O119">
            <v>18</v>
          </cell>
          <cell r="P119">
            <v>19</v>
          </cell>
        </row>
        <row r="120">
          <cell r="N120">
            <v>0</v>
          </cell>
          <cell r="O120">
            <v>11</v>
          </cell>
          <cell r="P120">
            <v>11</v>
          </cell>
        </row>
        <row r="121">
          <cell r="N121">
            <v>0</v>
          </cell>
          <cell r="O121">
            <v>4</v>
          </cell>
          <cell r="P121">
            <v>4</v>
          </cell>
        </row>
        <row r="122">
          <cell r="N122">
            <v>0</v>
          </cell>
          <cell r="O122">
            <v>2</v>
          </cell>
          <cell r="P122">
            <v>2</v>
          </cell>
        </row>
        <row r="123">
          <cell r="N123">
            <v>0</v>
          </cell>
          <cell r="O123">
            <v>1</v>
          </cell>
          <cell r="P123">
            <v>1</v>
          </cell>
        </row>
        <row r="124">
          <cell r="N124">
            <v>0</v>
          </cell>
          <cell r="O124">
            <v>4</v>
          </cell>
          <cell r="P124">
            <v>4</v>
          </cell>
        </row>
        <row r="125">
          <cell r="N125">
            <v>0</v>
          </cell>
          <cell r="O125">
            <v>36</v>
          </cell>
          <cell r="P125">
            <v>36</v>
          </cell>
        </row>
        <row r="126">
          <cell r="N126">
            <v>0</v>
          </cell>
          <cell r="O126">
            <v>95</v>
          </cell>
          <cell r="P126">
            <v>95</v>
          </cell>
        </row>
        <row r="127">
          <cell r="N127">
            <v>3</v>
          </cell>
          <cell r="O127">
            <v>216</v>
          </cell>
          <cell r="P127">
            <v>219</v>
          </cell>
        </row>
        <row r="128">
          <cell r="N128">
            <v>6</v>
          </cell>
          <cell r="O128">
            <v>116</v>
          </cell>
          <cell r="P128">
            <v>122</v>
          </cell>
        </row>
        <row r="129">
          <cell r="N129">
            <v>3</v>
          </cell>
          <cell r="O129">
            <v>42</v>
          </cell>
          <cell r="P129">
            <v>45</v>
          </cell>
        </row>
        <row r="130">
          <cell r="N130">
            <v>2</v>
          </cell>
          <cell r="O130">
            <v>57</v>
          </cell>
          <cell r="P130">
            <v>59</v>
          </cell>
        </row>
        <row r="131">
          <cell r="N131">
            <v>6</v>
          </cell>
          <cell r="O131">
            <v>78</v>
          </cell>
          <cell r="P131">
            <v>84</v>
          </cell>
        </row>
        <row r="132">
          <cell r="N132">
            <v>12</v>
          </cell>
          <cell r="O132">
            <v>55</v>
          </cell>
          <cell r="P132">
            <v>67</v>
          </cell>
        </row>
        <row r="133">
          <cell r="N133">
            <v>11</v>
          </cell>
          <cell r="O133">
            <v>59</v>
          </cell>
          <cell r="P133">
            <v>70</v>
          </cell>
        </row>
        <row r="134">
          <cell r="N134">
            <v>8</v>
          </cell>
          <cell r="O134">
            <v>54</v>
          </cell>
          <cell r="P134">
            <v>62</v>
          </cell>
        </row>
        <row r="135">
          <cell r="N135">
            <v>12</v>
          </cell>
          <cell r="O135">
            <v>74</v>
          </cell>
          <cell r="P135">
            <v>86</v>
          </cell>
        </row>
        <row r="136">
          <cell r="N136">
            <v>9</v>
          </cell>
          <cell r="O136">
            <v>163</v>
          </cell>
          <cell r="P136">
            <v>172</v>
          </cell>
        </row>
        <row r="137">
          <cell r="N137">
            <v>5</v>
          </cell>
          <cell r="O137">
            <v>158</v>
          </cell>
          <cell r="P137">
            <v>163</v>
          </cell>
        </row>
        <row r="138">
          <cell r="N138">
            <v>3</v>
          </cell>
          <cell r="O138">
            <v>109</v>
          </cell>
          <cell r="P138">
            <v>112</v>
          </cell>
        </row>
        <row r="139">
          <cell r="N139">
            <v>3</v>
          </cell>
          <cell r="O139">
            <v>66</v>
          </cell>
          <cell r="P139">
            <v>69</v>
          </cell>
        </row>
        <row r="140">
          <cell r="N140">
            <v>0</v>
          </cell>
          <cell r="O140">
            <v>48</v>
          </cell>
          <cell r="P140">
            <v>48</v>
          </cell>
        </row>
        <row r="141">
          <cell r="N141">
            <v>1</v>
          </cell>
          <cell r="O141">
            <v>51</v>
          </cell>
          <cell r="P141">
            <v>52</v>
          </cell>
        </row>
        <row r="142">
          <cell r="N142">
            <v>4</v>
          </cell>
          <cell r="O142">
            <v>19</v>
          </cell>
          <cell r="P142">
            <v>23</v>
          </cell>
        </row>
        <row r="143">
          <cell r="N143">
            <v>4</v>
          </cell>
          <cell r="O143">
            <v>13</v>
          </cell>
          <cell r="P143">
            <v>17</v>
          </cell>
        </row>
        <row r="144">
          <cell r="N144">
            <v>2</v>
          </cell>
          <cell r="O144">
            <v>5</v>
          </cell>
          <cell r="P144">
            <v>7</v>
          </cell>
        </row>
        <row r="145">
          <cell r="N145">
            <v>0</v>
          </cell>
          <cell r="O145">
            <v>1</v>
          </cell>
          <cell r="P145">
            <v>1</v>
          </cell>
        </row>
        <row r="146">
          <cell r="N146">
            <v>0</v>
          </cell>
          <cell r="O146">
            <v>1</v>
          </cell>
          <cell r="P146">
            <v>1</v>
          </cell>
        </row>
        <row r="147">
          <cell r="N147">
            <v>0</v>
          </cell>
          <cell r="O147">
            <v>5</v>
          </cell>
          <cell r="P147">
            <v>5</v>
          </cell>
        </row>
        <row r="148">
          <cell r="N148">
            <v>8</v>
          </cell>
          <cell r="O148">
            <v>26</v>
          </cell>
          <cell r="P148">
            <v>34</v>
          </cell>
        </row>
        <row r="149">
          <cell r="N149">
            <v>8</v>
          </cell>
          <cell r="O149">
            <v>76</v>
          </cell>
          <cell r="P149">
            <v>84</v>
          </cell>
        </row>
        <row r="150">
          <cell r="N150">
            <v>20</v>
          </cell>
          <cell r="O150">
            <v>190</v>
          </cell>
          <cell r="P150">
            <v>210</v>
          </cell>
        </row>
        <row r="151">
          <cell r="N151">
            <v>9</v>
          </cell>
          <cell r="O151">
            <v>125</v>
          </cell>
          <cell r="P151">
            <v>134</v>
          </cell>
        </row>
        <row r="152">
          <cell r="N152">
            <v>16</v>
          </cell>
          <cell r="O152">
            <v>47</v>
          </cell>
          <cell r="P152">
            <v>63</v>
          </cell>
        </row>
        <row r="153">
          <cell r="N153">
            <v>19</v>
          </cell>
          <cell r="O153">
            <v>48</v>
          </cell>
          <cell r="P153">
            <v>67</v>
          </cell>
        </row>
        <row r="154">
          <cell r="N154">
            <v>9</v>
          </cell>
          <cell r="O154">
            <v>50</v>
          </cell>
          <cell r="P154">
            <v>59</v>
          </cell>
        </row>
        <row r="155">
          <cell r="N155">
            <v>9</v>
          </cell>
          <cell r="O155">
            <v>64</v>
          </cell>
          <cell r="P155">
            <v>73</v>
          </cell>
        </row>
        <row r="156">
          <cell r="N156">
            <v>7</v>
          </cell>
          <cell r="O156">
            <v>43</v>
          </cell>
          <cell r="P156">
            <v>50</v>
          </cell>
        </row>
        <row r="157">
          <cell r="N157">
            <v>9</v>
          </cell>
          <cell r="O157">
            <v>63</v>
          </cell>
          <cell r="P157">
            <v>72</v>
          </cell>
        </row>
        <row r="158">
          <cell r="N158">
            <v>5</v>
          </cell>
          <cell r="O158">
            <v>82</v>
          </cell>
          <cell r="P158">
            <v>87</v>
          </cell>
        </row>
        <row r="159">
          <cell r="N159">
            <v>9</v>
          </cell>
          <cell r="O159">
            <v>178</v>
          </cell>
          <cell r="P159">
            <v>187</v>
          </cell>
        </row>
        <row r="160">
          <cell r="N160">
            <v>7</v>
          </cell>
          <cell r="O160">
            <v>116</v>
          </cell>
          <cell r="P160">
            <v>123</v>
          </cell>
        </row>
        <row r="161">
          <cell r="N161">
            <v>3</v>
          </cell>
          <cell r="O161">
            <v>92</v>
          </cell>
          <cell r="P161">
            <v>95</v>
          </cell>
        </row>
        <row r="162">
          <cell r="N162">
            <v>1</v>
          </cell>
          <cell r="O162">
            <v>50</v>
          </cell>
          <cell r="P162">
            <v>51</v>
          </cell>
        </row>
        <row r="163">
          <cell r="N163">
            <v>0</v>
          </cell>
          <cell r="O163">
            <v>39</v>
          </cell>
          <cell r="P163">
            <v>39</v>
          </cell>
        </row>
        <row r="164">
          <cell r="N164">
            <v>2</v>
          </cell>
          <cell r="O164">
            <v>34</v>
          </cell>
          <cell r="P164">
            <v>36</v>
          </cell>
        </row>
        <row r="165">
          <cell r="N165">
            <v>1</v>
          </cell>
          <cell r="O165">
            <v>14</v>
          </cell>
          <cell r="P165">
            <v>15</v>
          </cell>
        </row>
        <row r="166">
          <cell r="N166">
            <v>1</v>
          </cell>
          <cell r="O166">
            <v>24</v>
          </cell>
          <cell r="P166">
            <v>25</v>
          </cell>
        </row>
        <row r="167">
          <cell r="N167">
            <v>1</v>
          </cell>
          <cell r="O167">
            <v>15</v>
          </cell>
          <cell r="P167">
            <v>16</v>
          </cell>
        </row>
        <row r="168">
          <cell r="N168">
            <v>3</v>
          </cell>
          <cell r="O168">
            <v>13</v>
          </cell>
          <cell r="P168">
            <v>16</v>
          </cell>
        </row>
        <row r="169">
          <cell r="N169">
            <v>0</v>
          </cell>
          <cell r="O169">
            <v>7</v>
          </cell>
          <cell r="P169">
            <v>7</v>
          </cell>
        </row>
        <row r="170">
          <cell r="N170">
            <v>0</v>
          </cell>
          <cell r="O170">
            <v>1</v>
          </cell>
          <cell r="P170">
            <v>1</v>
          </cell>
        </row>
        <row r="171">
          <cell r="N171">
            <v>0</v>
          </cell>
          <cell r="O171">
            <v>5</v>
          </cell>
          <cell r="P171">
            <v>5</v>
          </cell>
        </row>
        <row r="172">
          <cell r="N172">
            <v>0</v>
          </cell>
          <cell r="O172">
            <v>2</v>
          </cell>
          <cell r="P172">
            <v>2</v>
          </cell>
        </row>
        <row r="173">
          <cell r="N173">
            <v>1</v>
          </cell>
          <cell r="O173">
            <v>8</v>
          </cell>
          <cell r="P173">
            <v>9</v>
          </cell>
        </row>
        <row r="174">
          <cell r="N174">
            <v>0</v>
          </cell>
          <cell r="O174">
            <v>15</v>
          </cell>
          <cell r="P174">
            <v>15</v>
          </cell>
        </row>
        <row r="175">
          <cell r="N175">
            <v>0</v>
          </cell>
          <cell r="O175">
            <v>20</v>
          </cell>
          <cell r="P175">
            <v>20</v>
          </cell>
        </row>
        <row r="176">
          <cell r="N176">
            <v>5</v>
          </cell>
          <cell r="O176">
            <v>56</v>
          </cell>
          <cell r="P176">
            <v>61</v>
          </cell>
        </row>
        <row r="177">
          <cell r="N177">
            <v>2</v>
          </cell>
          <cell r="O177">
            <v>60</v>
          </cell>
          <cell r="P177">
            <v>62</v>
          </cell>
        </row>
        <row r="178">
          <cell r="N178">
            <v>8</v>
          </cell>
          <cell r="O178">
            <v>90</v>
          </cell>
          <cell r="P178">
            <v>98</v>
          </cell>
        </row>
        <row r="179">
          <cell r="N179">
            <v>7</v>
          </cell>
          <cell r="O179">
            <v>95</v>
          </cell>
          <cell r="P179">
            <v>102</v>
          </cell>
        </row>
        <row r="180">
          <cell r="N180">
            <v>12</v>
          </cell>
          <cell r="O180">
            <v>83</v>
          </cell>
          <cell r="P180">
            <v>95</v>
          </cell>
        </row>
        <row r="181">
          <cell r="N181">
            <v>5</v>
          </cell>
          <cell r="O181">
            <v>69</v>
          </cell>
          <cell r="P181">
            <v>74</v>
          </cell>
        </row>
        <row r="182">
          <cell r="N182">
            <v>8</v>
          </cell>
          <cell r="O182">
            <v>68</v>
          </cell>
          <cell r="P182">
            <v>76</v>
          </cell>
        </row>
        <row r="183">
          <cell r="N183">
            <v>5</v>
          </cell>
          <cell r="O183">
            <v>64</v>
          </cell>
          <cell r="P183">
            <v>69</v>
          </cell>
        </row>
        <row r="184">
          <cell r="N184">
            <v>3</v>
          </cell>
          <cell r="O184">
            <v>52</v>
          </cell>
          <cell r="P184">
            <v>55</v>
          </cell>
        </row>
        <row r="185">
          <cell r="N185">
            <v>4</v>
          </cell>
          <cell r="O185">
            <v>26</v>
          </cell>
          <cell r="P185">
            <v>30</v>
          </cell>
        </row>
        <row r="186">
          <cell r="N186">
            <v>0</v>
          </cell>
          <cell r="O186">
            <v>28</v>
          </cell>
          <cell r="P186">
            <v>28</v>
          </cell>
        </row>
        <row r="187">
          <cell r="N187">
            <v>2</v>
          </cell>
          <cell r="O187">
            <v>35</v>
          </cell>
          <cell r="P187">
            <v>37</v>
          </cell>
        </row>
        <row r="188">
          <cell r="N188">
            <v>1</v>
          </cell>
          <cell r="O188">
            <v>33</v>
          </cell>
          <cell r="P188">
            <v>34</v>
          </cell>
        </row>
        <row r="189">
          <cell r="N189">
            <v>0</v>
          </cell>
          <cell r="O189">
            <v>22</v>
          </cell>
          <cell r="P189">
            <v>22</v>
          </cell>
        </row>
        <row r="190">
          <cell r="N190">
            <v>1</v>
          </cell>
          <cell r="O190">
            <v>24</v>
          </cell>
          <cell r="P190">
            <v>25</v>
          </cell>
        </row>
        <row r="191">
          <cell r="N191">
            <v>0</v>
          </cell>
          <cell r="O191">
            <v>12</v>
          </cell>
          <cell r="P191">
            <v>12</v>
          </cell>
        </row>
        <row r="192">
          <cell r="N192">
            <v>0</v>
          </cell>
          <cell r="O192">
            <v>11</v>
          </cell>
          <cell r="P192">
            <v>11</v>
          </cell>
        </row>
        <row r="193">
          <cell r="N193">
            <v>0</v>
          </cell>
          <cell r="O193">
            <v>4</v>
          </cell>
          <cell r="P193">
            <v>4</v>
          </cell>
        </row>
        <row r="194">
          <cell r="N194">
            <v>0</v>
          </cell>
          <cell r="O194">
            <v>1</v>
          </cell>
          <cell r="P194">
            <v>1</v>
          </cell>
        </row>
        <row r="195">
          <cell r="N195">
            <v>0</v>
          </cell>
          <cell r="O195">
            <v>1</v>
          </cell>
          <cell r="P195">
            <v>1</v>
          </cell>
        </row>
        <row r="196">
          <cell r="N196">
            <v>0</v>
          </cell>
          <cell r="O196">
            <v>1</v>
          </cell>
          <cell r="P196">
            <v>1</v>
          </cell>
        </row>
        <row r="197">
          <cell r="N197">
            <v>1</v>
          </cell>
          <cell r="O197">
            <v>5</v>
          </cell>
          <cell r="P197">
            <v>6</v>
          </cell>
        </row>
        <row r="198">
          <cell r="N198">
            <v>0</v>
          </cell>
          <cell r="O198">
            <v>10</v>
          </cell>
          <cell r="P198">
            <v>10</v>
          </cell>
        </row>
        <row r="199">
          <cell r="N199">
            <v>0</v>
          </cell>
          <cell r="O199">
            <v>19</v>
          </cell>
          <cell r="P199">
            <v>19</v>
          </cell>
        </row>
        <row r="200">
          <cell r="N200">
            <v>0</v>
          </cell>
          <cell r="O200">
            <v>49</v>
          </cell>
          <cell r="P200">
            <v>49</v>
          </cell>
        </row>
        <row r="201">
          <cell r="N201">
            <v>2</v>
          </cell>
          <cell r="O201">
            <v>47</v>
          </cell>
          <cell r="P201">
            <v>49</v>
          </cell>
        </row>
        <row r="202">
          <cell r="N202">
            <v>4</v>
          </cell>
          <cell r="O202">
            <v>79</v>
          </cell>
          <cell r="P202">
            <v>83</v>
          </cell>
        </row>
        <row r="203">
          <cell r="N203">
            <v>6</v>
          </cell>
          <cell r="O203">
            <v>69</v>
          </cell>
          <cell r="P203">
            <v>75</v>
          </cell>
        </row>
        <row r="204">
          <cell r="N204">
            <v>8</v>
          </cell>
          <cell r="O204">
            <v>64</v>
          </cell>
          <cell r="P204">
            <v>72</v>
          </cell>
        </row>
        <row r="205">
          <cell r="N205">
            <v>5</v>
          </cell>
          <cell r="O205">
            <v>77</v>
          </cell>
          <cell r="P205">
            <v>82</v>
          </cell>
        </row>
        <row r="206">
          <cell r="N206">
            <v>13</v>
          </cell>
          <cell r="O206">
            <v>79</v>
          </cell>
          <cell r="P206">
            <v>92</v>
          </cell>
        </row>
        <row r="207">
          <cell r="N207">
            <v>3</v>
          </cell>
          <cell r="O207">
            <v>59</v>
          </cell>
          <cell r="P207">
            <v>62</v>
          </cell>
        </row>
        <row r="208">
          <cell r="N208">
            <v>4</v>
          </cell>
          <cell r="O208">
            <v>44</v>
          </cell>
          <cell r="P208">
            <v>48</v>
          </cell>
        </row>
        <row r="209">
          <cell r="N209">
            <v>1</v>
          </cell>
          <cell r="O209">
            <v>40</v>
          </cell>
          <cell r="P209">
            <v>41</v>
          </cell>
        </row>
        <row r="210">
          <cell r="N210">
            <v>0</v>
          </cell>
          <cell r="O210">
            <v>38</v>
          </cell>
          <cell r="P210">
            <v>38</v>
          </cell>
        </row>
        <row r="211">
          <cell r="N211">
            <v>1</v>
          </cell>
          <cell r="O211">
            <v>19</v>
          </cell>
          <cell r="P211">
            <v>20</v>
          </cell>
        </row>
        <row r="212">
          <cell r="N212">
            <v>5</v>
          </cell>
          <cell r="O212">
            <v>10</v>
          </cell>
          <cell r="P212">
            <v>15</v>
          </cell>
        </row>
        <row r="213">
          <cell r="N213">
            <v>0</v>
          </cell>
          <cell r="O213">
            <v>6</v>
          </cell>
          <cell r="P213">
            <v>6</v>
          </cell>
        </row>
        <row r="214">
          <cell r="N214">
            <v>2</v>
          </cell>
          <cell r="O214">
            <v>3</v>
          </cell>
          <cell r="P214">
            <v>5</v>
          </cell>
        </row>
        <row r="215">
          <cell r="N215">
            <v>1</v>
          </cell>
          <cell r="O215">
            <v>0</v>
          </cell>
          <cell r="P215">
            <v>1</v>
          </cell>
        </row>
        <row r="216">
          <cell r="N216">
            <v>0</v>
          </cell>
          <cell r="O216">
            <v>3</v>
          </cell>
          <cell r="P216">
            <v>3</v>
          </cell>
        </row>
        <row r="217">
          <cell r="N217">
            <v>0</v>
          </cell>
          <cell r="O217">
            <v>1</v>
          </cell>
          <cell r="P217">
            <v>1</v>
          </cell>
        </row>
        <row r="218">
          <cell r="N218">
            <v>1</v>
          </cell>
          <cell r="O218">
            <v>2</v>
          </cell>
          <cell r="P218">
            <v>3</v>
          </cell>
        </row>
        <row r="219">
          <cell r="N219">
            <v>0</v>
          </cell>
          <cell r="O219">
            <v>3</v>
          </cell>
          <cell r="P219">
            <v>3</v>
          </cell>
        </row>
        <row r="220">
          <cell r="N220">
            <v>0</v>
          </cell>
          <cell r="O220">
            <v>31</v>
          </cell>
          <cell r="P220">
            <v>31</v>
          </cell>
        </row>
        <row r="221">
          <cell r="N221">
            <v>2</v>
          </cell>
          <cell r="O221">
            <v>75</v>
          </cell>
          <cell r="P221">
            <v>77</v>
          </cell>
        </row>
        <row r="222">
          <cell r="N222">
            <v>4</v>
          </cell>
          <cell r="O222">
            <v>184</v>
          </cell>
          <cell r="P222">
            <v>188</v>
          </cell>
        </row>
        <row r="223">
          <cell r="N223">
            <v>2</v>
          </cell>
          <cell r="O223">
            <v>92</v>
          </cell>
          <cell r="P223">
            <v>94</v>
          </cell>
        </row>
        <row r="224">
          <cell r="N224">
            <v>0</v>
          </cell>
          <cell r="O224">
            <v>31</v>
          </cell>
          <cell r="P224">
            <v>31</v>
          </cell>
        </row>
        <row r="225">
          <cell r="N225">
            <v>2</v>
          </cell>
          <cell r="O225">
            <v>28</v>
          </cell>
          <cell r="P225">
            <v>30</v>
          </cell>
        </row>
        <row r="226">
          <cell r="N226">
            <v>5</v>
          </cell>
          <cell r="O226">
            <v>47</v>
          </cell>
          <cell r="P226">
            <v>52</v>
          </cell>
        </row>
        <row r="227">
          <cell r="N227">
            <v>4</v>
          </cell>
          <cell r="O227">
            <v>50</v>
          </cell>
          <cell r="P227">
            <v>54</v>
          </cell>
        </row>
        <row r="228">
          <cell r="N228">
            <v>0</v>
          </cell>
          <cell r="O228">
            <v>47</v>
          </cell>
          <cell r="P228">
            <v>47</v>
          </cell>
        </row>
        <row r="229">
          <cell r="N229">
            <v>2</v>
          </cell>
          <cell r="O229">
            <v>43</v>
          </cell>
          <cell r="P229">
            <v>45</v>
          </cell>
        </row>
        <row r="230">
          <cell r="N230">
            <v>4</v>
          </cell>
          <cell r="O230">
            <v>70</v>
          </cell>
          <cell r="P230">
            <v>74</v>
          </cell>
        </row>
        <row r="231">
          <cell r="N231">
            <v>4</v>
          </cell>
          <cell r="O231">
            <v>174</v>
          </cell>
          <cell r="P231">
            <v>178</v>
          </cell>
        </row>
        <row r="232">
          <cell r="N232">
            <v>1</v>
          </cell>
          <cell r="O232">
            <v>154</v>
          </cell>
          <cell r="P232">
            <v>155</v>
          </cell>
        </row>
        <row r="233">
          <cell r="N233">
            <v>3</v>
          </cell>
          <cell r="O233">
            <v>92</v>
          </cell>
          <cell r="P233">
            <v>95</v>
          </cell>
        </row>
        <row r="234">
          <cell r="N234">
            <v>1</v>
          </cell>
          <cell r="O234">
            <v>73</v>
          </cell>
          <cell r="P234">
            <v>74</v>
          </cell>
        </row>
        <row r="235">
          <cell r="N235">
            <v>1</v>
          </cell>
          <cell r="O235">
            <v>37</v>
          </cell>
          <cell r="P235">
            <v>38</v>
          </cell>
        </row>
        <row r="236">
          <cell r="N236">
            <v>2</v>
          </cell>
          <cell r="O236">
            <v>22</v>
          </cell>
          <cell r="P236">
            <v>24</v>
          </cell>
        </row>
        <row r="237">
          <cell r="N237">
            <v>0</v>
          </cell>
          <cell r="O237">
            <v>18</v>
          </cell>
          <cell r="P237">
            <v>18</v>
          </cell>
        </row>
        <row r="238">
          <cell r="N238">
            <v>2</v>
          </cell>
          <cell r="O238">
            <v>10</v>
          </cell>
          <cell r="P238">
            <v>12</v>
          </cell>
        </row>
        <row r="239">
          <cell r="N239">
            <v>0</v>
          </cell>
          <cell r="O239">
            <v>3</v>
          </cell>
          <cell r="P239">
            <v>3</v>
          </cell>
        </row>
        <row r="240">
          <cell r="N240">
            <v>0</v>
          </cell>
          <cell r="O240">
            <v>3</v>
          </cell>
          <cell r="P240">
            <v>3</v>
          </cell>
        </row>
        <row r="241">
          <cell r="N241">
            <v>0</v>
          </cell>
          <cell r="O241">
            <v>6</v>
          </cell>
          <cell r="P241">
            <v>6</v>
          </cell>
        </row>
        <row r="242">
          <cell r="N242">
            <v>0</v>
          </cell>
          <cell r="O242">
            <v>27</v>
          </cell>
          <cell r="P242">
            <v>27</v>
          </cell>
        </row>
        <row r="243">
          <cell r="N243">
            <v>2</v>
          </cell>
          <cell r="O243">
            <v>97</v>
          </cell>
          <cell r="P243">
            <v>99</v>
          </cell>
        </row>
        <row r="244">
          <cell r="N244">
            <v>3</v>
          </cell>
          <cell r="O244">
            <v>214</v>
          </cell>
          <cell r="P244">
            <v>217</v>
          </cell>
        </row>
        <row r="245">
          <cell r="N245">
            <v>3</v>
          </cell>
          <cell r="O245">
            <v>127</v>
          </cell>
          <cell r="P245">
            <v>130</v>
          </cell>
        </row>
        <row r="246">
          <cell r="N246">
            <v>3</v>
          </cell>
          <cell r="O246">
            <v>51</v>
          </cell>
          <cell r="P246">
            <v>54</v>
          </cell>
        </row>
        <row r="247">
          <cell r="N247">
            <v>4</v>
          </cell>
          <cell r="O247">
            <v>31</v>
          </cell>
          <cell r="P247">
            <v>35</v>
          </cell>
        </row>
        <row r="248">
          <cell r="N248">
            <v>2</v>
          </cell>
          <cell r="O248">
            <v>55</v>
          </cell>
          <cell r="P248">
            <v>57</v>
          </cell>
        </row>
        <row r="249">
          <cell r="N249">
            <v>6</v>
          </cell>
          <cell r="O249">
            <v>46</v>
          </cell>
          <cell r="P249">
            <v>52</v>
          </cell>
        </row>
        <row r="250">
          <cell r="N250">
            <v>3</v>
          </cell>
          <cell r="O250">
            <v>60</v>
          </cell>
          <cell r="P250">
            <v>63</v>
          </cell>
        </row>
        <row r="251">
          <cell r="N251">
            <v>2</v>
          </cell>
          <cell r="O251">
            <v>45</v>
          </cell>
          <cell r="P251">
            <v>47</v>
          </cell>
        </row>
        <row r="252">
          <cell r="N252">
            <v>4</v>
          </cell>
          <cell r="O252">
            <v>72</v>
          </cell>
          <cell r="P252">
            <v>76</v>
          </cell>
        </row>
        <row r="253">
          <cell r="N253">
            <v>6</v>
          </cell>
          <cell r="O253">
            <v>130</v>
          </cell>
          <cell r="P253">
            <v>136</v>
          </cell>
        </row>
        <row r="254">
          <cell r="N254">
            <v>1</v>
          </cell>
          <cell r="O254">
            <v>94</v>
          </cell>
          <cell r="P254">
            <v>95</v>
          </cell>
        </row>
        <row r="255">
          <cell r="N255">
            <v>0</v>
          </cell>
          <cell r="O255">
            <v>51</v>
          </cell>
          <cell r="P255">
            <v>51</v>
          </cell>
        </row>
        <row r="256">
          <cell r="N256">
            <v>0</v>
          </cell>
          <cell r="O256">
            <v>32</v>
          </cell>
          <cell r="P256">
            <v>32</v>
          </cell>
        </row>
        <row r="257">
          <cell r="N257">
            <v>0</v>
          </cell>
          <cell r="O257">
            <v>20</v>
          </cell>
          <cell r="P257">
            <v>20</v>
          </cell>
        </row>
        <row r="258">
          <cell r="N258">
            <v>1</v>
          </cell>
          <cell r="O258">
            <v>28</v>
          </cell>
          <cell r="P258">
            <v>29</v>
          </cell>
        </row>
        <row r="259">
          <cell r="N259">
            <v>1</v>
          </cell>
          <cell r="O259">
            <v>18</v>
          </cell>
          <cell r="P259">
            <v>19</v>
          </cell>
        </row>
        <row r="260">
          <cell r="N260">
            <v>0</v>
          </cell>
          <cell r="O260">
            <v>7</v>
          </cell>
          <cell r="P260">
            <v>7</v>
          </cell>
        </row>
        <row r="261">
          <cell r="N261">
            <v>0</v>
          </cell>
          <cell r="O261">
            <v>6</v>
          </cell>
          <cell r="P261">
            <v>6</v>
          </cell>
        </row>
        <row r="262">
          <cell r="N262">
            <v>0</v>
          </cell>
          <cell r="O262">
            <v>1</v>
          </cell>
          <cell r="P262">
            <v>1</v>
          </cell>
        </row>
        <row r="263">
          <cell r="N263">
            <v>0</v>
          </cell>
          <cell r="O263">
            <v>5</v>
          </cell>
          <cell r="P263">
            <v>5</v>
          </cell>
        </row>
        <row r="264">
          <cell r="N264">
            <v>0</v>
          </cell>
          <cell r="O264">
            <v>16</v>
          </cell>
          <cell r="P264">
            <v>16</v>
          </cell>
        </row>
        <row r="265">
          <cell r="N265">
            <v>0</v>
          </cell>
          <cell r="O265">
            <v>54</v>
          </cell>
          <cell r="P265">
            <v>54</v>
          </cell>
        </row>
        <row r="266">
          <cell r="N266">
            <v>3</v>
          </cell>
          <cell r="O266">
            <v>125</v>
          </cell>
          <cell r="P266">
            <v>128</v>
          </cell>
        </row>
        <row r="267">
          <cell r="N267">
            <v>3</v>
          </cell>
          <cell r="O267">
            <v>78</v>
          </cell>
          <cell r="P267">
            <v>81</v>
          </cell>
        </row>
        <row r="268">
          <cell r="N268">
            <v>0</v>
          </cell>
          <cell r="O268">
            <v>39</v>
          </cell>
          <cell r="P268">
            <v>39</v>
          </cell>
        </row>
        <row r="269">
          <cell r="N269">
            <v>3</v>
          </cell>
          <cell r="O269">
            <v>32</v>
          </cell>
          <cell r="P269">
            <v>35</v>
          </cell>
        </row>
        <row r="270">
          <cell r="N270">
            <v>3</v>
          </cell>
          <cell r="O270">
            <v>52</v>
          </cell>
          <cell r="P270">
            <v>55</v>
          </cell>
        </row>
        <row r="271">
          <cell r="N271">
            <v>0</v>
          </cell>
          <cell r="O271">
            <v>49</v>
          </cell>
          <cell r="P271">
            <v>49</v>
          </cell>
        </row>
        <row r="272">
          <cell r="N272">
            <v>0</v>
          </cell>
          <cell r="O272">
            <v>44</v>
          </cell>
          <cell r="P272">
            <v>44</v>
          </cell>
        </row>
        <row r="273">
          <cell r="N273">
            <v>1</v>
          </cell>
          <cell r="O273">
            <v>48</v>
          </cell>
          <cell r="P273">
            <v>49</v>
          </cell>
        </row>
        <row r="274">
          <cell r="N274">
            <v>5</v>
          </cell>
          <cell r="O274">
            <v>63</v>
          </cell>
          <cell r="P274">
            <v>68</v>
          </cell>
        </row>
        <row r="275">
          <cell r="N275">
            <v>0</v>
          </cell>
          <cell r="O275">
            <v>139</v>
          </cell>
          <cell r="P275">
            <v>139</v>
          </cell>
        </row>
        <row r="276">
          <cell r="N276">
            <v>2</v>
          </cell>
          <cell r="O276">
            <v>135</v>
          </cell>
          <cell r="P276">
            <v>137</v>
          </cell>
        </row>
        <row r="277">
          <cell r="N277">
            <v>1</v>
          </cell>
          <cell r="O277">
            <v>82</v>
          </cell>
          <cell r="P277">
            <v>83</v>
          </cell>
        </row>
        <row r="278">
          <cell r="N278">
            <v>2</v>
          </cell>
          <cell r="O278">
            <v>54</v>
          </cell>
          <cell r="P278">
            <v>56</v>
          </cell>
        </row>
        <row r="279">
          <cell r="N279">
            <v>0</v>
          </cell>
          <cell r="O279">
            <v>57</v>
          </cell>
          <cell r="P279">
            <v>57</v>
          </cell>
        </row>
        <row r="280">
          <cell r="N280">
            <v>1</v>
          </cell>
          <cell r="O280">
            <v>32</v>
          </cell>
          <cell r="P280">
            <v>33</v>
          </cell>
        </row>
        <row r="281">
          <cell r="N281">
            <v>1</v>
          </cell>
          <cell r="O281">
            <v>19</v>
          </cell>
          <cell r="P281">
            <v>20</v>
          </cell>
        </row>
        <row r="282">
          <cell r="N282">
            <v>1</v>
          </cell>
          <cell r="O282">
            <v>6</v>
          </cell>
          <cell r="P282">
            <v>7</v>
          </cell>
        </row>
        <row r="283">
          <cell r="N283">
            <v>0</v>
          </cell>
          <cell r="O283">
            <v>2</v>
          </cell>
          <cell r="P283">
            <v>2</v>
          </cell>
        </row>
        <row r="284">
          <cell r="N284">
            <v>0</v>
          </cell>
          <cell r="O284">
            <v>2</v>
          </cell>
          <cell r="P284">
            <v>2</v>
          </cell>
        </row>
        <row r="285">
          <cell r="N285">
            <v>0</v>
          </cell>
          <cell r="O285">
            <v>3</v>
          </cell>
          <cell r="P285">
            <v>3</v>
          </cell>
        </row>
        <row r="286">
          <cell r="N286">
            <v>0</v>
          </cell>
          <cell r="O286">
            <v>4</v>
          </cell>
          <cell r="P286">
            <v>4</v>
          </cell>
        </row>
        <row r="287">
          <cell r="N287">
            <v>0</v>
          </cell>
          <cell r="O287">
            <v>3</v>
          </cell>
          <cell r="P287">
            <v>3</v>
          </cell>
        </row>
        <row r="288">
          <cell r="N288">
            <v>0</v>
          </cell>
          <cell r="O288">
            <v>28</v>
          </cell>
          <cell r="P288">
            <v>28</v>
          </cell>
        </row>
        <row r="289">
          <cell r="N289">
            <v>0</v>
          </cell>
          <cell r="O289">
            <v>72</v>
          </cell>
          <cell r="P289">
            <v>72</v>
          </cell>
        </row>
        <row r="290">
          <cell r="N290">
            <v>5</v>
          </cell>
          <cell r="O290">
            <v>197</v>
          </cell>
          <cell r="P290">
            <v>202</v>
          </cell>
        </row>
        <row r="291">
          <cell r="N291">
            <v>2</v>
          </cell>
          <cell r="O291">
            <v>137</v>
          </cell>
          <cell r="P291">
            <v>139</v>
          </cell>
        </row>
        <row r="292">
          <cell r="N292">
            <v>2</v>
          </cell>
          <cell r="O292">
            <v>36</v>
          </cell>
          <cell r="P292">
            <v>38</v>
          </cell>
        </row>
        <row r="293">
          <cell r="N293">
            <v>4</v>
          </cell>
          <cell r="O293">
            <v>33</v>
          </cell>
          <cell r="P293">
            <v>37</v>
          </cell>
        </row>
        <row r="294">
          <cell r="N294">
            <v>3</v>
          </cell>
          <cell r="O294">
            <v>49</v>
          </cell>
          <cell r="P294">
            <v>52</v>
          </cell>
        </row>
        <row r="295">
          <cell r="N295">
            <v>2</v>
          </cell>
          <cell r="O295">
            <v>81</v>
          </cell>
          <cell r="P295">
            <v>83</v>
          </cell>
        </row>
        <row r="296">
          <cell r="N296">
            <v>3</v>
          </cell>
          <cell r="O296">
            <v>39</v>
          </cell>
          <cell r="P296">
            <v>42</v>
          </cell>
        </row>
        <row r="297">
          <cell r="N297">
            <v>5</v>
          </cell>
          <cell r="O297">
            <v>55</v>
          </cell>
          <cell r="P297">
            <v>60</v>
          </cell>
        </row>
        <row r="298">
          <cell r="N298">
            <v>2</v>
          </cell>
          <cell r="O298">
            <v>76</v>
          </cell>
          <cell r="P298">
            <v>78</v>
          </cell>
        </row>
        <row r="299">
          <cell r="N299">
            <v>4</v>
          </cell>
          <cell r="O299">
            <v>158</v>
          </cell>
          <cell r="P299">
            <v>162</v>
          </cell>
        </row>
        <row r="300">
          <cell r="N300">
            <v>3</v>
          </cell>
          <cell r="O300">
            <v>141</v>
          </cell>
          <cell r="P300">
            <v>144</v>
          </cell>
        </row>
        <row r="301">
          <cell r="N301">
            <v>1</v>
          </cell>
          <cell r="O301">
            <v>98</v>
          </cell>
          <cell r="P301">
            <v>99</v>
          </cell>
        </row>
        <row r="302">
          <cell r="N302">
            <v>0</v>
          </cell>
          <cell r="O302">
            <v>64</v>
          </cell>
          <cell r="P302">
            <v>64</v>
          </cell>
        </row>
        <row r="303">
          <cell r="N303">
            <v>0</v>
          </cell>
          <cell r="O303">
            <v>40</v>
          </cell>
          <cell r="P303">
            <v>40</v>
          </cell>
        </row>
        <row r="304">
          <cell r="N304">
            <v>0</v>
          </cell>
          <cell r="O304">
            <v>30</v>
          </cell>
          <cell r="P304">
            <v>30</v>
          </cell>
        </row>
        <row r="305">
          <cell r="N305">
            <v>1</v>
          </cell>
          <cell r="O305">
            <v>14</v>
          </cell>
          <cell r="P305">
            <v>15</v>
          </cell>
        </row>
        <row r="306">
          <cell r="N306">
            <v>0</v>
          </cell>
          <cell r="O306">
            <v>14</v>
          </cell>
          <cell r="P306">
            <v>14</v>
          </cell>
        </row>
        <row r="307">
          <cell r="N307">
            <v>0</v>
          </cell>
          <cell r="O307">
            <v>5</v>
          </cell>
          <cell r="P307">
            <v>5</v>
          </cell>
        </row>
        <row r="308">
          <cell r="N308">
            <v>0</v>
          </cell>
          <cell r="O308">
            <v>1</v>
          </cell>
          <cell r="P308">
            <v>1</v>
          </cell>
        </row>
        <row r="309">
          <cell r="N309">
            <v>0</v>
          </cell>
          <cell r="O309">
            <v>1</v>
          </cell>
          <cell r="P309">
            <v>1</v>
          </cell>
        </row>
        <row r="310">
          <cell r="N310">
            <v>0</v>
          </cell>
          <cell r="O310">
            <v>8</v>
          </cell>
          <cell r="P310">
            <v>8</v>
          </cell>
        </row>
        <row r="311">
          <cell r="N311">
            <v>0</v>
          </cell>
          <cell r="O311">
            <v>17</v>
          </cell>
          <cell r="P311">
            <v>17</v>
          </cell>
        </row>
        <row r="312">
          <cell r="N312">
            <v>0</v>
          </cell>
          <cell r="O312">
            <v>70</v>
          </cell>
          <cell r="P312">
            <v>70</v>
          </cell>
        </row>
        <row r="313">
          <cell r="N313">
            <v>2</v>
          </cell>
          <cell r="O313">
            <v>156</v>
          </cell>
          <cell r="P313">
            <v>158</v>
          </cell>
        </row>
        <row r="314">
          <cell r="N314">
            <v>0</v>
          </cell>
          <cell r="O314">
            <v>117</v>
          </cell>
          <cell r="P314">
            <v>117</v>
          </cell>
        </row>
        <row r="315">
          <cell r="N315">
            <v>4</v>
          </cell>
          <cell r="O315">
            <v>40</v>
          </cell>
          <cell r="P315">
            <v>44</v>
          </cell>
        </row>
        <row r="316">
          <cell r="N316">
            <v>6</v>
          </cell>
          <cell r="O316">
            <v>47</v>
          </cell>
          <cell r="P316">
            <v>53</v>
          </cell>
        </row>
        <row r="317">
          <cell r="N317">
            <v>2</v>
          </cell>
          <cell r="O317">
            <v>59</v>
          </cell>
          <cell r="P317">
            <v>61</v>
          </cell>
        </row>
        <row r="318">
          <cell r="N318">
            <v>4</v>
          </cell>
          <cell r="O318">
            <v>73</v>
          </cell>
          <cell r="P318">
            <v>77</v>
          </cell>
        </row>
        <row r="319">
          <cell r="N319">
            <v>5</v>
          </cell>
          <cell r="O319">
            <v>59</v>
          </cell>
          <cell r="P319">
            <v>64</v>
          </cell>
        </row>
        <row r="320">
          <cell r="N320">
            <v>9</v>
          </cell>
          <cell r="O320">
            <v>59</v>
          </cell>
          <cell r="P320">
            <v>68</v>
          </cell>
        </row>
        <row r="321">
          <cell r="N321">
            <v>3</v>
          </cell>
          <cell r="O321">
            <v>87</v>
          </cell>
          <cell r="P321">
            <v>90</v>
          </cell>
        </row>
        <row r="322">
          <cell r="N322">
            <v>4</v>
          </cell>
          <cell r="O322">
            <v>155</v>
          </cell>
          <cell r="P322">
            <v>159</v>
          </cell>
        </row>
        <row r="323">
          <cell r="N323">
            <v>5</v>
          </cell>
          <cell r="O323">
            <v>134</v>
          </cell>
          <cell r="P323">
            <v>139</v>
          </cell>
        </row>
        <row r="324">
          <cell r="N324">
            <v>3</v>
          </cell>
          <cell r="O324">
            <v>89</v>
          </cell>
          <cell r="P324">
            <v>92</v>
          </cell>
        </row>
        <row r="325">
          <cell r="N325">
            <v>0</v>
          </cell>
          <cell r="O325">
            <v>68</v>
          </cell>
          <cell r="P325">
            <v>68</v>
          </cell>
        </row>
        <row r="326">
          <cell r="N326">
            <v>4</v>
          </cell>
          <cell r="O326">
            <v>48</v>
          </cell>
          <cell r="P326">
            <v>52</v>
          </cell>
        </row>
        <row r="327">
          <cell r="N327">
            <v>2</v>
          </cell>
          <cell r="O327">
            <v>34</v>
          </cell>
          <cell r="P327">
            <v>36</v>
          </cell>
        </row>
        <row r="328">
          <cell r="N328">
            <v>1</v>
          </cell>
          <cell r="O328">
            <v>26</v>
          </cell>
          <cell r="P328">
            <v>27</v>
          </cell>
        </row>
        <row r="329">
          <cell r="N329">
            <v>3</v>
          </cell>
          <cell r="O329">
            <v>25</v>
          </cell>
          <cell r="P329">
            <v>28</v>
          </cell>
        </row>
        <row r="330">
          <cell r="N330">
            <v>2</v>
          </cell>
          <cell r="O330">
            <v>18</v>
          </cell>
          <cell r="P330">
            <v>20</v>
          </cell>
        </row>
        <row r="331">
          <cell r="N331">
            <v>0</v>
          </cell>
          <cell r="O331">
            <v>12</v>
          </cell>
          <cell r="P331">
            <v>12</v>
          </cell>
        </row>
        <row r="332">
          <cell r="N332">
            <v>1</v>
          </cell>
          <cell r="O332">
            <v>7</v>
          </cell>
          <cell r="P332">
            <v>8</v>
          </cell>
        </row>
        <row r="333">
          <cell r="N333">
            <v>0</v>
          </cell>
          <cell r="O333">
            <v>5</v>
          </cell>
          <cell r="P333">
            <v>5</v>
          </cell>
        </row>
        <row r="334">
          <cell r="N334">
            <v>0</v>
          </cell>
          <cell r="O334">
            <v>1</v>
          </cell>
          <cell r="P334">
            <v>1</v>
          </cell>
        </row>
        <row r="335">
          <cell r="N335">
            <v>1</v>
          </cell>
          <cell r="O335">
            <v>2</v>
          </cell>
          <cell r="P335">
            <v>3</v>
          </cell>
        </row>
        <row r="336">
          <cell r="N336">
            <v>1</v>
          </cell>
          <cell r="O336">
            <v>9</v>
          </cell>
          <cell r="P336">
            <v>10</v>
          </cell>
        </row>
        <row r="337">
          <cell r="N337">
            <v>1</v>
          </cell>
          <cell r="O337">
            <v>22</v>
          </cell>
          <cell r="P337">
            <v>23</v>
          </cell>
        </row>
        <row r="338">
          <cell r="N338">
            <v>2</v>
          </cell>
          <cell r="O338">
            <v>31</v>
          </cell>
          <cell r="P338">
            <v>33</v>
          </cell>
        </row>
        <row r="339">
          <cell r="N339">
            <v>2</v>
          </cell>
          <cell r="O339">
            <v>57</v>
          </cell>
          <cell r="P339">
            <v>59</v>
          </cell>
        </row>
        <row r="340">
          <cell r="N340">
            <v>18</v>
          </cell>
          <cell r="O340">
            <v>54</v>
          </cell>
          <cell r="P340">
            <v>72</v>
          </cell>
        </row>
        <row r="341">
          <cell r="N341">
            <v>15</v>
          </cell>
          <cell r="O341">
            <v>74</v>
          </cell>
          <cell r="P341">
            <v>89</v>
          </cell>
        </row>
        <row r="342">
          <cell r="N342">
            <v>21</v>
          </cell>
          <cell r="O342">
            <v>80</v>
          </cell>
          <cell r="P342">
            <v>101</v>
          </cell>
        </row>
        <row r="343">
          <cell r="N343">
            <v>26</v>
          </cell>
          <cell r="O343">
            <v>92</v>
          </cell>
          <cell r="P343">
            <v>118</v>
          </cell>
        </row>
        <row r="344">
          <cell r="N344">
            <v>21</v>
          </cell>
          <cell r="O344">
            <v>108</v>
          </cell>
          <cell r="P344">
            <v>129</v>
          </cell>
        </row>
        <row r="345">
          <cell r="N345">
            <v>33</v>
          </cell>
          <cell r="O345">
            <v>95</v>
          </cell>
          <cell r="P345">
            <v>128</v>
          </cell>
        </row>
        <row r="346">
          <cell r="N346">
            <v>29</v>
          </cell>
          <cell r="O346">
            <v>54</v>
          </cell>
          <cell r="P346">
            <v>83</v>
          </cell>
        </row>
        <row r="347">
          <cell r="N347">
            <v>15</v>
          </cell>
          <cell r="O347">
            <v>69</v>
          </cell>
          <cell r="P347">
            <v>84</v>
          </cell>
        </row>
        <row r="348">
          <cell r="N348">
            <v>14</v>
          </cell>
          <cell r="O348">
            <v>60</v>
          </cell>
          <cell r="P348">
            <v>74</v>
          </cell>
        </row>
        <row r="349">
          <cell r="N349">
            <v>6</v>
          </cell>
          <cell r="O349">
            <v>35</v>
          </cell>
          <cell r="P349">
            <v>41</v>
          </cell>
        </row>
        <row r="350">
          <cell r="N350">
            <v>6</v>
          </cell>
          <cell r="O350">
            <v>51</v>
          </cell>
          <cell r="P350">
            <v>57</v>
          </cell>
        </row>
        <row r="351">
          <cell r="N351">
            <v>0</v>
          </cell>
          <cell r="O351">
            <v>26</v>
          </cell>
          <cell r="P351">
            <v>26</v>
          </cell>
        </row>
        <row r="352">
          <cell r="N352">
            <v>5</v>
          </cell>
          <cell r="O352">
            <v>39</v>
          </cell>
          <cell r="P352">
            <v>44</v>
          </cell>
        </row>
        <row r="353">
          <cell r="N353">
            <v>6</v>
          </cell>
          <cell r="O353">
            <v>33</v>
          </cell>
          <cell r="P353">
            <v>39</v>
          </cell>
        </row>
        <row r="354">
          <cell r="N354">
            <v>4</v>
          </cell>
          <cell r="O354">
            <v>19</v>
          </cell>
          <cell r="P354">
            <v>23</v>
          </cell>
        </row>
        <row r="355">
          <cell r="N355">
            <v>3</v>
          </cell>
          <cell r="O355">
            <v>13</v>
          </cell>
          <cell r="P355">
            <v>16</v>
          </cell>
        </row>
        <row r="356">
          <cell r="N356">
            <v>9</v>
          </cell>
          <cell r="O356">
            <v>6</v>
          </cell>
          <cell r="P356">
            <v>15</v>
          </cell>
        </row>
        <row r="357">
          <cell r="N357">
            <v>0</v>
          </cell>
          <cell r="O357">
            <v>1</v>
          </cell>
          <cell r="P357">
            <v>1</v>
          </cell>
        </row>
        <row r="358">
          <cell r="N358">
            <v>1</v>
          </cell>
          <cell r="O358">
            <v>1</v>
          </cell>
          <cell r="P358">
            <v>2</v>
          </cell>
        </row>
        <row r="359">
          <cell r="N359">
            <v>0</v>
          </cell>
          <cell r="O359">
            <v>1</v>
          </cell>
          <cell r="P359">
            <v>1</v>
          </cell>
        </row>
        <row r="360">
          <cell r="N360">
            <v>0</v>
          </cell>
          <cell r="O360">
            <v>3</v>
          </cell>
          <cell r="P360">
            <v>3</v>
          </cell>
        </row>
        <row r="361">
          <cell r="N361">
            <v>0</v>
          </cell>
          <cell r="O361">
            <v>18</v>
          </cell>
          <cell r="P361">
            <v>18</v>
          </cell>
        </row>
        <row r="362">
          <cell r="N362">
            <v>3</v>
          </cell>
          <cell r="O362">
            <v>29</v>
          </cell>
          <cell r="P362">
            <v>32</v>
          </cell>
        </row>
        <row r="363">
          <cell r="N363">
            <v>8</v>
          </cell>
          <cell r="O363">
            <v>71</v>
          </cell>
          <cell r="P363">
            <v>79</v>
          </cell>
        </row>
        <row r="364">
          <cell r="N364">
            <v>23</v>
          </cell>
          <cell r="O364">
            <v>70</v>
          </cell>
          <cell r="P364">
            <v>93</v>
          </cell>
        </row>
        <row r="365">
          <cell r="N365">
            <v>29</v>
          </cell>
          <cell r="O365">
            <v>75</v>
          </cell>
          <cell r="P365">
            <v>104</v>
          </cell>
        </row>
        <row r="366">
          <cell r="N366">
            <v>23</v>
          </cell>
          <cell r="O366">
            <v>95</v>
          </cell>
          <cell r="P366">
            <v>118</v>
          </cell>
        </row>
        <row r="367">
          <cell r="N367">
            <v>22</v>
          </cell>
          <cell r="O367">
            <v>69</v>
          </cell>
          <cell r="P367">
            <v>91</v>
          </cell>
        </row>
        <row r="368">
          <cell r="N368">
            <v>35</v>
          </cell>
          <cell r="O368">
            <v>78</v>
          </cell>
          <cell r="P368">
            <v>113</v>
          </cell>
        </row>
        <row r="369">
          <cell r="N369">
            <v>22</v>
          </cell>
          <cell r="O369">
            <v>77</v>
          </cell>
          <cell r="P369">
            <v>99</v>
          </cell>
        </row>
        <row r="370">
          <cell r="N370">
            <v>23</v>
          </cell>
          <cell r="O370">
            <v>82</v>
          </cell>
          <cell r="P370">
            <v>105</v>
          </cell>
        </row>
        <row r="371">
          <cell r="N371">
            <v>11</v>
          </cell>
          <cell r="O371">
            <v>56</v>
          </cell>
          <cell r="P371">
            <v>67</v>
          </cell>
        </row>
        <row r="372">
          <cell r="N372">
            <v>14</v>
          </cell>
          <cell r="O372">
            <v>47</v>
          </cell>
          <cell r="P372">
            <v>61</v>
          </cell>
        </row>
        <row r="373">
          <cell r="N373">
            <v>7</v>
          </cell>
          <cell r="O373">
            <v>50</v>
          </cell>
          <cell r="P373">
            <v>57</v>
          </cell>
        </row>
        <row r="374">
          <cell r="N374">
            <v>6</v>
          </cell>
          <cell r="O374">
            <v>22</v>
          </cell>
          <cell r="P374">
            <v>28</v>
          </cell>
        </row>
        <row r="375">
          <cell r="N375">
            <v>2</v>
          </cell>
          <cell r="O375">
            <v>19</v>
          </cell>
          <cell r="P375">
            <v>21</v>
          </cell>
        </row>
        <row r="376">
          <cell r="N376">
            <v>0</v>
          </cell>
          <cell r="O376">
            <v>18</v>
          </cell>
          <cell r="P376">
            <v>18</v>
          </cell>
        </row>
        <row r="377">
          <cell r="N377">
            <v>1</v>
          </cell>
          <cell r="O377">
            <v>16</v>
          </cell>
          <cell r="P377">
            <v>17</v>
          </cell>
        </row>
        <row r="378">
          <cell r="N378">
            <v>1</v>
          </cell>
          <cell r="O378">
            <v>15</v>
          </cell>
          <cell r="P378">
            <v>16</v>
          </cell>
        </row>
        <row r="379">
          <cell r="N379">
            <v>0</v>
          </cell>
          <cell r="O379">
            <v>8</v>
          </cell>
          <cell r="P379">
            <v>8</v>
          </cell>
        </row>
        <row r="380">
          <cell r="N380">
            <v>0</v>
          </cell>
          <cell r="O380">
            <v>2</v>
          </cell>
          <cell r="P380">
            <v>2</v>
          </cell>
        </row>
        <row r="381">
          <cell r="N381">
            <v>1</v>
          </cell>
          <cell r="O381">
            <v>2</v>
          </cell>
          <cell r="P381">
            <v>3</v>
          </cell>
        </row>
        <row r="382">
          <cell r="N382">
            <v>0</v>
          </cell>
          <cell r="O382">
            <v>1</v>
          </cell>
          <cell r="P382">
            <v>1</v>
          </cell>
        </row>
        <row r="383">
          <cell r="N383">
            <v>0</v>
          </cell>
          <cell r="O383">
            <v>5</v>
          </cell>
          <cell r="P383">
            <v>5</v>
          </cell>
        </row>
        <row r="384">
          <cell r="N384">
            <v>4</v>
          </cell>
          <cell r="O384">
            <v>9</v>
          </cell>
          <cell r="P384">
            <v>13</v>
          </cell>
        </row>
        <row r="385">
          <cell r="N385">
            <v>3</v>
          </cell>
          <cell r="O385">
            <v>30</v>
          </cell>
          <cell r="P385">
            <v>33</v>
          </cell>
        </row>
        <row r="386">
          <cell r="N386">
            <v>8</v>
          </cell>
          <cell r="O386">
            <v>39</v>
          </cell>
          <cell r="P386">
            <v>47</v>
          </cell>
        </row>
        <row r="387">
          <cell r="N387">
            <v>7</v>
          </cell>
          <cell r="O387">
            <v>50</v>
          </cell>
          <cell r="P387">
            <v>57</v>
          </cell>
        </row>
        <row r="388">
          <cell r="N388">
            <v>9</v>
          </cell>
          <cell r="O388">
            <v>55</v>
          </cell>
          <cell r="P388">
            <v>64</v>
          </cell>
        </row>
        <row r="389">
          <cell r="N389">
            <v>10</v>
          </cell>
          <cell r="O389">
            <v>70</v>
          </cell>
          <cell r="P389">
            <v>80</v>
          </cell>
        </row>
        <row r="390">
          <cell r="N390">
            <v>13</v>
          </cell>
          <cell r="O390">
            <v>80</v>
          </cell>
          <cell r="P390">
            <v>93</v>
          </cell>
        </row>
        <row r="391">
          <cell r="N391">
            <v>12</v>
          </cell>
          <cell r="O391">
            <v>74</v>
          </cell>
          <cell r="P391">
            <v>86</v>
          </cell>
        </row>
        <row r="392">
          <cell r="N392">
            <v>21</v>
          </cell>
          <cell r="O392">
            <v>72</v>
          </cell>
          <cell r="P392">
            <v>93</v>
          </cell>
        </row>
        <row r="393">
          <cell r="N393">
            <v>6</v>
          </cell>
          <cell r="O393">
            <v>76</v>
          </cell>
          <cell r="P393">
            <v>82</v>
          </cell>
        </row>
        <row r="394">
          <cell r="N394">
            <v>4</v>
          </cell>
          <cell r="O394">
            <v>67</v>
          </cell>
          <cell r="P394">
            <v>71</v>
          </cell>
        </row>
        <row r="395">
          <cell r="N395">
            <v>7</v>
          </cell>
          <cell r="O395">
            <v>85</v>
          </cell>
          <cell r="P395">
            <v>92</v>
          </cell>
        </row>
        <row r="396">
          <cell r="N396">
            <v>2</v>
          </cell>
          <cell r="O396">
            <v>58</v>
          </cell>
          <cell r="P396">
            <v>60</v>
          </cell>
        </row>
        <row r="397">
          <cell r="N397">
            <v>4</v>
          </cell>
          <cell r="O397">
            <v>29</v>
          </cell>
          <cell r="P397">
            <v>33</v>
          </cell>
        </row>
        <row r="398">
          <cell r="N398">
            <v>3</v>
          </cell>
          <cell r="O398">
            <v>24</v>
          </cell>
          <cell r="P398">
            <v>27</v>
          </cell>
        </row>
        <row r="399">
          <cell r="N399">
            <v>0</v>
          </cell>
          <cell r="O399">
            <v>13</v>
          </cell>
          <cell r="P399">
            <v>13</v>
          </cell>
        </row>
        <row r="400">
          <cell r="N400">
            <v>1</v>
          </cell>
          <cell r="O400">
            <v>3</v>
          </cell>
          <cell r="P400">
            <v>4</v>
          </cell>
        </row>
        <row r="401">
          <cell r="N401">
            <v>0</v>
          </cell>
          <cell r="O401">
            <v>3</v>
          </cell>
          <cell r="P401">
            <v>3</v>
          </cell>
        </row>
        <row r="402">
          <cell r="N402">
            <v>0</v>
          </cell>
          <cell r="O402">
            <v>22</v>
          </cell>
          <cell r="P402">
            <v>22</v>
          </cell>
        </row>
        <row r="403">
          <cell r="N403">
            <v>2</v>
          </cell>
          <cell r="O403">
            <v>26</v>
          </cell>
          <cell r="P403">
            <v>28</v>
          </cell>
        </row>
        <row r="404">
          <cell r="N404">
            <v>3</v>
          </cell>
          <cell r="O404">
            <v>32</v>
          </cell>
          <cell r="P404">
            <v>35</v>
          </cell>
        </row>
        <row r="405">
          <cell r="N405">
            <v>0</v>
          </cell>
          <cell r="O405">
            <v>61</v>
          </cell>
          <cell r="P405">
            <v>61</v>
          </cell>
        </row>
        <row r="406">
          <cell r="N406">
            <v>1</v>
          </cell>
          <cell r="O406">
            <v>124</v>
          </cell>
          <cell r="P406">
            <v>125</v>
          </cell>
        </row>
        <row r="407">
          <cell r="N407">
            <v>1</v>
          </cell>
          <cell r="O407">
            <v>132</v>
          </cell>
          <cell r="P407">
            <v>133</v>
          </cell>
        </row>
        <row r="408">
          <cell r="N408">
            <v>1</v>
          </cell>
          <cell r="O408">
            <v>98</v>
          </cell>
          <cell r="P408">
            <v>99</v>
          </cell>
        </row>
        <row r="409">
          <cell r="N409">
            <v>0</v>
          </cell>
          <cell r="O409">
            <v>83</v>
          </cell>
          <cell r="P409">
            <v>83</v>
          </cell>
        </row>
        <row r="410">
          <cell r="N410">
            <v>0</v>
          </cell>
          <cell r="O410">
            <v>41</v>
          </cell>
          <cell r="P410">
            <v>41</v>
          </cell>
        </row>
        <row r="411">
          <cell r="N411">
            <v>0</v>
          </cell>
          <cell r="O411">
            <v>33</v>
          </cell>
          <cell r="P411">
            <v>33</v>
          </cell>
        </row>
        <row r="412">
          <cell r="N412">
            <v>1</v>
          </cell>
          <cell r="O412">
            <v>19</v>
          </cell>
          <cell r="P412">
            <v>20</v>
          </cell>
        </row>
        <row r="413">
          <cell r="N413">
            <v>0</v>
          </cell>
          <cell r="O413">
            <v>3</v>
          </cell>
          <cell r="P413">
            <v>3</v>
          </cell>
        </row>
        <row r="414">
          <cell r="N414">
            <v>1</v>
          </cell>
          <cell r="O414">
            <v>6</v>
          </cell>
          <cell r="P414">
            <v>7</v>
          </cell>
        </row>
        <row r="415">
          <cell r="N415">
            <v>0</v>
          </cell>
          <cell r="O415">
            <v>3</v>
          </cell>
          <cell r="P415">
            <v>3</v>
          </cell>
        </row>
        <row r="416">
          <cell r="N416">
            <v>1</v>
          </cell>
          <cell r="O416">
            <v>1</v>
          </cell>
          <cell r="P416">
            <v>2</v>
          </cell>
        </row>
        <row r="417">
          <cell r="N417">
            <v>0</v>
          </cell>
          <cell r="O417">
            <v>7</v>
          </cell>
          <cell r="P417">
            <v>7</v>
          </cell>
        </row>
        <row r="418">
          <cell r="N418">
            <v>0</v>
          </cell>
          <cell r="O418">
            <v>32</v>
          </cell>
          <cell r="P418">
            <v>32</v>
          </cell>
        </row>
        <row r="419">
          <cell r="N419">
            <v>1</v>
          </cell>
          <cell r="O419">
            <v>89</v>
          </cell>
          <cell r="P419">
            <v>90</v>
          </cell>
        </row>
        <row r="420">
          <cell r="N420">
            <v>1</v>
          </cell>
          <cell r="O420">
            <v>196</v>
          </cell>
          <cell r="P420">
            <v>197</v>
          </cell>
        </row>
        <row r="421">
          <cell r="N421">
            <v>2</v>
          </cell>
          <cell r="O421">
            <v>107</v>
          </cell>
          <cell r="P421">
            <v>109</v>
          </cell>
        </row>
        <row r="422">
          <cell r="N422">
            <v>1</v>
          </cell>
          <cell r="O422">
            <v>46</v>
          </cell>
          <cell r="P422">
            <v>47</v>
          </cell>
        </row>
        <row r="423">
          <cell r="N423">
            <v>5</v>
          </cell>
          <cell r="O423">
            <v>47</v>
          </cell>
          <cell r="P423">
            <v>52</v>
          </cell>
        </row>
        <row r="424">
          <cell r="N424">
            <v>5</v>
          </cell>
          <cell r="O424">
            <v>65</v>
          </cell>
          <cell r="P424">
            <v>70</v>
          </cell>
        </row>
        <row r="425">
          <cell r="N425">
            <v>11</v>
          </cell>
          <cell r="O425">
            <v>67</v>
          </cell>
          <cell r="P425">
            <v>78</v>
          </cell>
        </row>
        <row r="426">
          <cell r="N426">
            <v>7</v>
          </cell>
          <cell r="O426">
            <v>68</v>
          </cell>
          <cell r="P426">
            <v>75</v>
          </cell>
        </row>
        <row r="427">
          <cell r="N427">
            <v>4</v>
          </cell>
          <cell r="O427">
            <v>78</v>
          </cell>
          <cell r="P427">
            <v>82</v>
          </cell>
        </row>
        <row r="428">
          <cell r="N428">
            <v>10</v>
          </cell>
          <cell r="O428">
            <v>94</v>
          </cell>
          <cell r="P428">
            <v>104</v>
          </cell>
        </row>
        <row r="429">
          <cell r="N429">
            <v>7</v>
          </cell>
          <cell r="O429">
            <v>190</v>
          </cell>
          <cell r="P429">
            <v>197</v>
          </cell>
        </row>
        <row r="430">
          <cell r="N430">
            <v>5</v>
          </cell>
          <cell r="O430">
            <v>156</v>
          </cell>
          <cell r="P430">
            <v>161</v>
          </cell>
        </row>
        <row r="431">
          <cell r="N431">
            <v>4</v>
          </cell>
          <cell r="O431">
            <v>108</v>
          </cell>
          <cell r="P431">
            <v>112</v>
          </cell>
        </row>
        <row r="432">
          <cell r="N432">
            <v>2</v>
          </cell>
          <cell r="O432">
            <v>74</v>
          </cell>
          <cell r="P432">
            <v>76</v>
          </cell>
        </row>
        <row r="433">
          <cell r="N433">
            <v>4</v>
          </cell>
          <cell r="O433">
            <v>55</v>
          </cell>
          <cell r="P433">
            <v>59</v>
          </cell>
        </row>
        <row r="434">
          <cell r="N434">
            <v>6</v>
          </cell>
          <cell r="O434">
            <v>53</v>
          </cell>
          <cell r="P434">
            <v>59</v>
          </cell>
        </row>
        <row r="435">
          <cell r="N435">
            <v>1</v>
          </cell>
          <cell r="O435">
            <v>27</v>
          </cell>
          <cell r="P435">
            <v>28</v>
          </cell>
        </row>
        <row r="436">
          <cell r="N436">
            <v>5</v>
          </cell>
          <cell r="O436">
            <v>8</v>
          </cell>
          <cell r="P436">
            <v>13</v>
          </cell>
        </row>
        <row r="437">
          <cell r="N437">
            <v>2</v>
          </cell>
          <cell r="O437">
            <v>3</v>
          </cell>
          <cell r="P437">
            <v>5</v>
          </cell>
        </row>
        <row r="438">
          <cell r="N438">
            <v>0</v>
          </cell>
          <cell r="O438">
            <v>2</v>
          </cell>
          <cell r="P438">
            <v>2</v>
          </cell>
        </row>
        <row r="439">
          <cell r="N439">
            <v>0</v>
          </cell>
          <cell r="O439">
            <v>1</v>
          </cell>
          <cell r="P439">
            <v>1</v>
          </cell>
        </row>
        <row r="440">
          <cell r="N440">
            <v>0</v>
          </cell>
          <cell r="O440">
            <v>1</v>
          </cell>
          <cell r="P440">
            <v>1</v>
          </cell>
        </row>
        <row r="441">
          <cell r="N441">
            <v>0</v>
          </cell>
          <cell r="O441">
            <v>6</v>
          </cell>
          <cell r="P441">
            <v>6</v>
          </cell>
        </row>
        <row r="442">
          <cell r="N442">
            <v>0</v>
          </cell>
          <cell r="O442">
            <v>35</v>
          </cell>
          <cell r="P442">
            <v>35</v>
          </cell>
        </row>
        <row r="443">
          <cell r="N443">
            <v>1</v>
          </cell>
          <cell r="O443">
            <v>100</v>
          </cell>
          <cell r="P443">
            <v>101</v>
          </cell>
        </row>
        <row r="444">
          <cell r="N444">
            <v>2</v>
          </cell>
          <cell r="O444">
            <v>247</v>
          </cell>
          <cell r="P444">
            <v>249</v>
          </cell>
        </row>
        <row r="445">
          <cell r="N445">
            <v>3</v>
          </cell>
          <cell r="O445">
            <v>140</v>
          </cell>
          <cell r="P445">
            <v>143</v>
          </cell>
        </row>
        <row r="446">
          <cell r="N446">
            <v>1</v>
          </cell>
          <cell r="O446">
            <v>56</v>
          </cell>
          <cell r="P446">
            <v>57</v>
          </cell>
        </row>
        <row r="447">
          <cell r="N447">
            <v>5</v>
          </cell>
          <cell r="O447">
            <v>63</v>
          </cell>
          <cell r="P447">
            <v>68</v>
          </cell>
        </row>
        <row r="448">
          <cell r="N448">
            <v>7</v>
          </cell>
          <cell r="O448">
            <v>77</v>
          </cell>
          <cell r="P448">
            <v>84</v>
          </cell>
        </row>
        <row r="449">
          <cell r="N449">
            <v>12</v>
          </cell>
          <cell r="O449">
            <v>86</v>
          </cell>
          <cell r="P449">
            <v>98</v>
          </cell>
        </row>
        <row r="450">
          <cell r="N450">
            <v>6</v>
          </cell>
          <cell r="O450">
            <v>75</v>
          </cell>
          <cell r="P450">
            <v>81</v>
          </cell>
        </row>
        <row r="451">
          <cell r="N451">
            <v>8</v>
          </cell>
          <cell r="O451">
            <v>62</v>
          </cell>
          <cell r="P451">
            <v>70</v>
          </cell>
        </row>
        <row r="452">
          <cell r="N452">
            <v>8</v>
          </cell>
          <cell r="O452">
            <v>83</v>
          </cell>
          <cell r="P452">
            <v>91</v>
          </cell>
        </row>
        <row r="453">
          <cell r="N453">
            <v>8</v>
          </cell>
          <cell r="O453">
            <v>207</v>
          </cell>
          <cell r="P453">
            <v>215</v>
          </cell>
        </row>
        <row r="454">
          <cell r="N454">
            <v>1</v>
          </cell>
          <cell r="O454">
            <v>184</v>
          </cell>
          <cell r="P454">
            <v>185</v>
          </cell>
        </row>
        <row r="455">
          <cell r="N455">
            <v>6</v>
          </cell>
          <cell r="O455">
            <v>146</v>
          </cell>
          <cell r="P455">
            <v>152</v>
          </cell>
        </row>
        <row r="456">
          <cell r="N456">
            <v>2</v>
          </cell>
          <cell r="O456">
            <v>124</v>
          </cell>
          <cell r="P456">
            <v>126</v>
          </cell>
        </row>
        <row r="457">
          <cell r="N457">
            <v>3</v>
          </cell>
          <cell r="O457">
            <v>54</v>
          </cell>
          <cell r="P457">
            <v>57</v>
          </cell>
        </row>
        <row r="458">
          <cell r="N458">
            <v>0</v>
          </cell>
          <cell r="O458">
            <v>56</v>
          </cell>
          <cell r="P458">
            <v>56</v>
          </cell>
        </row>
        <row r="459">
          <cell r="N459">
            <v>3</v>
          </cell>
          <cell r="O459">
            <v>28</v>
          </cell>
          <cell r="P459">
            <v>31</v>
          </cell>
        </row>
        <row r="460">
          <cell r="N460">
            <v>1</v>
          </cell>
          <cell r="O460">
            <v>20</v>
          </cell>
          <cell r="P460">
            <v>21</v>
          </cell>
        </row>
        <row r="461">
          <cell r="N461">
            <v>0</v>
          </cell>
          <cell r="O461">
            <v>6</v>
          </cell>
          <cell r="P461">
            <v>6</v>
          </cell>
        </row>
        <row r="462">
          <cell r="N462">
            <v>0</v>
          </cell>
          <cell r="O462">
            <v>2</v>
          </cell>
          <cell r="P462">
            <v>2</v>
          </cell>
        </row>
        <row r="463">
          <cell r="N463">
            <v>0</v>
          </cell>
          <cell r="O463">
            <v>1</v>
          </cell>
          <cell r="P463">
            <v>1</v>
          </cell>
        </row>
        <row r="464">
          <cell r="N464">
            <v>0</v>
          </cell>
          <cell r="O464">
            <v>1</v>
          </cell>
          <cell r="P464">
            <v>1</v>
          </cell>
        </row>
        <row r="465">
          <cell r="N465">
            <v>1</v>
          </cell>
          <cell r="O465">
            <v>4</v>
          </cell>
          <cell r="P465">
            <v>5</v>
          </cell>
        </row>
        <row r="466">
          <cell r="N466">
            <v>0</v>
          </cell>
          <cell r="O466">
            <v>27</v>
          </cell>
          <cell r="P466">
            <v>27</v>
          </cell>
        </row>
        <row r="467">
          <cell r="N467">
            <v>2</v>
          </cell>
          <cell r="O467">
            <v>66</v>
          </cell>
          <cell r="P467">
            <v>68</v>
          </cell>
        </row>
        <row r="468">
          <cell r="N468">
            <v>7</v>
          </cell>
          <cell r="O468">
            <v>210</v>
          </cell>
          <cell r="P468">
            <v>217</v>
          </cell>
        </row>
        <row r="469">
          <cell r="N469">
            <v>7</v>
          </cell>
          <cell r="O469">
            <v>159</v>
          </cell>
          <cell r="P469">
            <v>166</v>
          </cell>
        </row>
        <row r="470">
          <cell r="N470">
            <v>6</v>
          </cell>
          <cell r="O470">
            <v>57</v>
          </cell>
          <cell r="P470">
            <v>63</v>
          </cell>
        </row>
        <row r="471">
          <cell r="N471">
            <v>6</v>
          </cell>
          <cell r="O471">
            <v>53</v>
          </cell>
          <cell r="P471">
            <v>59</v>
          </cell>
        </row>
        <row r="472">
          <cell r="N472">
            <v>11</v>
          </cell>
          <cell r="O472">
            <v>67</v>
          </cell>
          <cell r="P472">
            <v>78</v>
          </cell>
        </row>
        <row r="473">
          <cell r="N473">
            <v>8</v>
          </cell>
          <cell r="O473">
            <v>65</v>
          </cell>
          <cell r="P473">
            <v>73</v>
          </cell>
        </row>
        <row r="474">
          <cell r="N474">
            <v>6</v>
          </cell>
          <cell r="O474">
            <v>56</v>
          </cell>
          <cell r="P474">
            <v>62</v>
          </cell>
        </row>
        <row r="475">
          <cell r="N475">
            <v>4</v>
          </cell>
          <cell r="O475">
            <v>61</v>
          </cell>
          <cell r="P475">
            <v>65</v>
          </cell>
        </row>
        <row r="476">
          <cell r="N476">
            <v>0</v>
          </cell>
          <cell r="O476">
            <v>97</v>
          </cell>
          <cell r="P476">
            <v>97</v>
          </cell>
        </row>
        <row r="477">
          <cell r="N477">
            <v>10</v>
          </cell>
          <cell r="O477">
            <v>151</v>
          </cell>
          <cell r="P477">
            <v>161</v>
          </cell>
        </row>
        <row r="478">
          <cell r="N478">
            <v>1</v>
          </cell>
          <cell r="O478">
            <v>119</v>
          </cell>
          <cell r="P478">
            <v>120</v>
          </cell>
        </row>
        <row r="479">
          <cell r="N479">
            <v>3</v>
          </cell>
          <cell r="O479">
            <v>93</v>
          </cell>
          <cell r="P479">
            <v>96</v>
          </cell>
        </row>
        <row r="480">
          <cell r="N480">
            <v>1</v>
          </cell>
          <cell r="O480">
            <v>52</v>
          </cell>
          <cell r="P480">
            <v>53</v>
          </cell>
        </row>
        <row r="481">
          <cell r="N481">
            <v>0</v>
          </cell>
          <cell r="O481">
            <v>41</v>
          </cell>
          <cell r="P481">
            <v>41</v>
          </cell>
        </row>
        <row r="482">
          <cell r="N482">
            <v>1</v>
          </cell>
          <cell r="O482">
            <v>33</v>
          </cell>
          <cell r="P482">
            <v>34</v>
          </cell>
        </row>
        <row r="483">
          <cell r="N483">
            <v>0</v>
          </cell>
          <cell r="O483">
            <v>27</v>
          </cell>
          <cell r="P483">
            <v>27</v>
          </cell>
        </row>
        <row r="484">
          <cell r="N484">
            <v>0</v>
          </cell>
          <cell r="O484">
            <v>13</v>
          </cell>
          <cell r="P484">
            <v>13</v>
          </cell>
        </row>
        <row r="485">
          <cell r="N485">
            <v>3</v>
          </cell>
          <cell r="O485">
            <v>9</v>
          </cell>
          <cell r="P485">
            <v>12</v>
          </cell>
        </row>
        <row r="486">
          <cell r="N486">
            <v>0</v>
          </cell>
          <cell r="O486">
            <v>11</v>
          </cell>
          <cell r="P486">
            <v>11</v>
          </cell>
        </row>
        <row r="487">
          <cell r="N487">
            <v>1</v>
          </cell>
          <cell r="O487">
            <v>6</v>
          </cell>
          <cell r="P487">
            <v>7</v>
          </cell>
        </row>
        <row r="488">
          <cell r="N488">
            <v>0</v>
          </cell>
          <cell r="O488">
            <v>3</v>
          </cell>
          <cell r="P488">
            <v>3</v>
          </cell>
        </row>
        <row r="489">
          <cell r="N489">
            <v>0</v>
          </cell>
          <cell r="O489">
            <v>2</v>
          </cell>
          <cell r="P489">
            <v>2</v>
          </cell>
        </row>
        <row r="490">
          <cell r="N490">
            <v>0</v>
          </cell>
          <cell r="O490">
            <v>8</v>
          </cell>
          <cell r="P490">
            <v>8</v>
          </cell>
        </row>
        <row r="491">
          <cell r="N491">
            <v>1</v>
          </cell>
          <cell r="O491">
            <v>26</v>
          </cell>
          <cell r="P491">
            <v>27</v>
          </cell>
        </row>
        <row r="492">
          <cell r="N492">
            <v>3</v>
          </cell>
          <cell r="O492">
            <v>37</v>
          </cell>
          <cell r="P492">
            <v>40</v>
          </cell>
        </row>
        <row r="493">
          <cell r="N493">
            <v>3</v>
          </cell>
          <cell r="O493">
            <v>50</v>
          </cell>
          <cell r="P493">
            <v>53</v>
          </cell>
        </row>
        <row r="494">
          <cell r="N494">
            <v>4</v>
          </cell>
          <cell r="O494">
            <v>59</v>
          </cell>
          <cell r="P494">
            <v>63</v>
          </cell>
        </row>
        <row r="495">
          <cell r="N495">
            <v>10</v>
          </cell>
          <cell r="O495">
            <v>60</v>
          </cell>
          <cell r="P495">
            <v>70</v>
          </cell>
        </row>
        <row r="496">
          <cell r="N496">
            <v>12</v>
          </cell>
          <cell r="O496">
            <v>72</v>
          </cell>
          <cell r="P496">
            <v>84</v>
          </cell>
        </row>
        <row r="497">
          <cell r="N497">
            <v>11</v>
          </cell>
          <cell r="O497">
            <v>64</v>
          </cell>
          <cell r="P497">
            <v>75</v>
          </cell>
        </row>
        <row r="498">
          <cell r="N498">
            <v>10</v>
          </cell>
          <cell r="O498">
            <v>93</v>
          </cell>
          <cell r="P498">
            <v>103</v>
          </cell>
        </row>
        <row r="499">
          <cell r="N499">
            <v>11</v>
          </cell>
          <cell r="O499">
            <v>72</v>
          </cell>
          <cell r="P499">
            <v>83</v>
          </cell>
        </row>
        <row r="500">
          <cell r="N500">
            <v>8</v>
          </cell>
          <cell r="O500">
            <v>59</v>
          </cell>
          <cell r="P500">
            <v>67</v>
          </cell>
        </row>
        <row r="501">
          <cell r="N501">
            <v>0</v>
          </cell>
          <cell r="O501">
            <v>54</v>
          </cell>
          <cell r="P501">
            <v>54</v>
          </cell>
        </row>
        <row r="502">
          <cell r="N502">
            <v>6</v>
          </cell>
          <cell r="O502">
            <v>53</v>
          </cell>
          <cell r="P502">
            <v>59</v>
          </cell>
        </row>
        <row r="503">
          <cell r="N503">
            <v>1</v>
          </cell>
          <cell r="O503">
            <v>44</v>
          </cell>
          <cell r="P503">
            <v>45</v>
          </cell>
        </row>
        <row r="504">
          <cell r="N504">
            <v>0</v>
          </cell>
          <cell r="O504">
            <v>39</v>
          </cell>
          <cell r="P504">
            <v>39</v>
          </cell>
        </row>
        <row r="505">
          <cell r="N505">
            <v>7</v>
          </cell>
          <cell r="O505">
            <v>23</v>
          </cell>
          <cell r="P505">
            <v>30</v>
          </cell>
        </row>
        <row r="506">
          <cell r="N506">
            <v>2</v>
          </cell>
          <cell r="O506">
            <v>31</v>
          </cell>
          <cell r="P506">
            <v>33</v>
          </cell>
        </row>
        <row r="507">
          <cell r="N507">
            <v>2</v>
          </cell>
          <cell r="O507">
            <v>20</v>
          </cell>
          <cell r="P507">
            <v>22</v>
          </cell>
        </row>
        <row r="508">
          <cell r="N508">
            <v>1</v>
          </cell>
          <cell r="O508">
            <v>12</v>
          </cell>
          <cell r="P508">
            <v>13</v>
          </cell>
        </row>
        <row r="509">
          <cell r="N509">
            <v>3</v>
          </cell>
          <cell r="O509">
            <v>15</v>
          </cell>
          <cell r="P509">
            <v>18</v>
          </cell>
        </row>
        <row r="510">
          <cell r="N510">
            <v>1</v>
          </cell>
          <cell r="O510">
            <v>4</v>
          </cell>
          <cell r="P510">
            <v>5</v>
          </cell>
        </row>
        <row r="511">
          <cell r="N511">
            <v>0</v>
          </cell>
          <cell r="O511">
            <v>3</v>
          </cell>
          <cell r="P511">
            <v>3</v>
          </cell>
        </row>
        <row r="512">
          <cell r="N512">
            <v>0</v>
          </cell>
          <cell r="O512">
            <v>1</v>
          </cell>
          <cell r="P512">
            <v>1</v>
          </cell>
        </row>
        <row r="513">
          <cell r="N513">
            <v>1</v>
          </cell>
          <cell r="O513">
            <v>1</v>
          </cell>
          <cell r="P513">
            <v>2</v>
          </cell>
        </row>
        <row r="514">
          <cell r="N514">
            <v>2</v>
          </cell>
          <cell r="O514">
            <v>17</v>
          </cell>
          <cell r="P514">
            <v>19</v>
          </cell>
        </row>
        <row r="515">
          <cell r="N515">
            <v>3</v>
          </cell>
          <cell r="O515">
            <v>25</v>
          </cell>
          <cell r="P515">
            <v>28</v>
          </cell>
        </row>
        <row r="516">
          <cell r="N516">
            <v>7</v>
          </cell>
          <cell r="O516">
            <v>51</v>
          </cell>
          <cell r="P516">
            <v>58</v>
          </cell>
        </row>
        <row r="517">
          <cell r="N517">
            <v>22</v>
          </cell>
          <cell r="O517">
            <v>77</v>
          </cell>
          <cell r="P517">
            <v>99</v>
          </cell>
        </row>
        <row r="518">
          <cell r="N518">
            <v>24</v>
          </cell>
          <cell r="O518">
            <v>92</v>
          </cell>
          <cell r="P518">
            <v>116</v>
          </cell>
        </row>
        <row r="519">
          <cell r="N519">
            <v>12</v>
          </cell>
          <cell r="O519">
            <v>75</v>
          </cell>
          <cell r="P519">
            <v>87</v>
          </cell>
        </row>
        <row r="520">
          <cell r="N520">
            <v>17</v>
          </cell>
          <cell r="O520">
            <v>93</v>
          </cell>
          <cell r="P520">
            <v>110</v>
          </cell>
        </row>
        <row r="521">
          <cell r="N521">
            <v>13</v>
          </cell>
          <cell r="O521">
            <v>64</v>
          </cell>
          <cell r="P521">
            <v>77</v>
          </cell>
        </row>
        <row r="522">
          <cell r="N522">
            <v>9</v>
          </cell>
          <cell r="O522">
            <v>56</v>
          </cell>
          <cell r="P522">
            <v>65</v>
          </cell>
        </row>
        <row r="523">
          <cell r="N523">
            <v>5</v>
          </cell>
          <cell r="O523">
            <v>50</v>
          </cell>
          <cell r="P523">
            <v>55</v>
          </cell>
        </row>
        <row r="524">
          <cell r="N524">
            <v>5</v>
          </cell>
          <cell r="O524">
            <v>44</v>
          </cell>
          <cell r="P524">
            <v>49</v>
          </cell>
        </row>
        <row r="525">
          <cell r="N525">
            <v>5</v>
          </cell>
          <cell r="O525">
            <v>45</v>
          </cell>
          <cell r="P525">
            <v>50</v>
          </cell>
        </row>
        <row r="526">
          <cell r="N526">
            <v>4</v>
          </cell>
          <cell r="O526">
            <v>31</v>
          </cell>
          <cell r="P526">
            <v>35</v>
          </cell>
        </row>
        <row r="527">
          <cell r="N527">
            <v>5</v>
          </cell>
          <cell r="O527">
            <v>20</v>
          </cell>
          <cell r="P527">
            <v>25</v>
          </cell>
        </row>
        <row r="528">
          <cell r="N528">
            <v>5</v>
          </cell>
          <cell r="O528">
            <v>23</v>
          </cell>
          <cell r="P528">
            <v>28</v>
          </cell>
        </row>
        <row r="529">
          <cell r="N529">
            <v>4</v>
          </cell>
          <cell r="O529">
            <v>17</v>
          </cell>
          <cell r="P529">
            <v>21</v>
          </cell>
        </row>
        <row r="530">
          <cell r="N530">
            <v>0</v>
          </cell>
          <cell r="O530">
            <v>7</v>
          </cell>
          <cell r="P530">
            <v>7</v>
          </cell>
        </row>
        <row r="531">
          <cell r="N531">
            <v>0</v>
          </cell>
          <cell r="O531">
            <v>1</v>
          </cell>
          <cell r="P531">
            <v>1</v>
          </cell>
        </row>
        <row r="532">
          <cell r="N532">
            <v>0</v>
          </cell>
          <cell r="O532">
            <v>1</v>
          </cell>
          <cell r="P532">
            <v>1</v>
          </cell>
        </row>
        <row r="533">
          <cell r="N533">
            <v>0</v>
          </cell>
          <cell r="O533">
            <v>1</v>
          </cell>
          <cell r="P533">
            <v>1</v>
          </cell>
        </row>
        <row r="534">
          <cell r="N534">
            <v>0</v>
          </cell>
          <cell r="O534">
            <v>5</v>
          </cell>
          <cell r="P534">
            <v>5</v>
          </cell>
        </row>
        <row r="535">
          <cell r="N535">
            <v>0</v>
          </cell>
          <cell r="O535">
            <v>15</v>
          </cell>
          <cell r="P535">
            <v>15</v>
          </cell>
        </row>
        <row r="536">
          <cell r="N536">
            <v>5</v>
          </cell>
          <cell r="O536">
            <v>79</v>
          </cell>
          <cell r="P536">
            <v>84</v>
          </cell>
        </row>
        <row r="537">
          <cell r="N537">
            <v>6</v>
          </cell>
          <cell r="O537">
            <v>171</v>
          </cell>
          <cell r="P537">
            <v>177</v>
          </cell>
        </row>
        <row r="538">
          <cell r="N538">
            <v>4</v>
          </cell>
          <cell r="O538">
            <v>98</v>
          </cell>
          <cell r="P538">
            <v>102</v>
          </cell>
        </row>
        <row r="539">
          <cell r="N539">
            <v>6</v>
          </cell>
          <cell r="O539">
            <v>34</v>
          </cell>
          <cell r="P539">
            <v>40</v>
          </cell>
        </row>
        <row r="540">
          <cell r="N540">
            <v>3</v>
          </cell>
          <cell r="O540">
            <v>43</v>
          </cell>
          <cell r="P540">
            <v>46</v>
          </cell>
        </row>
        <row r="541">
          <cell r="N541">
            <v>11</v>
          </cell>
          <cell r="O541">
            <v>52</v>
          </cell>
          <cell r="P541">
            <v>63</v>
          </cell>
        </row>
        <row r="542">
          <cell r="N542">
            <v>6</v>
          </cell>
          <cell r="O542">
            <v>54</v>
          </cell>
          <cell r="P542">
            <v>60</v>
          </cell>
        </row>
        <row r="543">
          <cell r="N543">
            <v>2</v>
          </cell>
          <cell r="O543">
            <v>43</v>
          </cell>
          <cell r="P543">
            <v>45</v>
          </cell>
        </row>
        <row r="544">
          <cell r="N544">
            <v>7</v>
          </cell>
          <cell r="O544">
            <v>50</v>
          </cell>
          <cell r="P544">
            <v>57</v>
          </cell>
        </row>
        <row r="545">
          <cell r="N545">
            <v>4</v>
          </cell>
          <cell r="O545">
            <v>66</v>
          </cell>
          <cell r="P545">
            <v>70</v>
          </cell>
        </row>
        <row r="546">
          <cell r="N546">
            <v>6</v>
          </cell>
          <cell r="O546">
            <v>178</v>
          </cell>
          <cell r="P546">
            <v>184</v>
          </cell>
        </row>
        <row r="547">
          <cell r="N547">
            <v>8</v>
          </cell>
          <cell r="O547">
            <v>145</v>
          </cell>
          <cell r="P547">
            <v>153</v>
          </cell>
        </row>
        <row r="548">
          <cell r="N548">
            <v>5</v>
          </cell>
          <cell r="O548">
            <v>101</v>
          </cell>
          <cell r="P548">
            <v>106</v>
          </cell>
        </row>
        <row r="549">
          <cell r="N549">
            <v>1</v>
          </cell>
          <cell r="O549">
            <v>80</v>
          </cell>
          <cell r="P549">
            <v>81</v>
          </cell>
        </row>
        <row r="550">
          <cell r="N550">
            <v>6</v>
          </cell>
          <cell r="O550">
            <v>53</v>
          </cell>
          <cell r="P550">
            <v>59</v>
          </cell>
        </row>
        <row r="551">
          <cell r="N551">
            <v>3</v>
          </cell>
          <cell r="O551">
            <v>32</v>
          </cell>
          <cell r="P551">
            <v>35</v>
          </cell>
        </row>
        <row r="552">
          <cell r="N552">
            <v>3</v>
          </cell>
          <cell r="O552">
            <v>21</v>
          </cell>
          <cell r="P552">
            <v>24</v>
          </cell>
        </row>
        <row r="553">
          <cell r="N553">
            <v>3</v>
          </cell>
          <cell r="O553">
            <v>6</v>
          </cell>
          <cell r="P553">
            <v>9</v>
          </cell>
        </row>
        <row r="554">
          <cell r="N554">
            <v>0</v>
          </cell>
          <cell r="O554">
            <v>5</v>
          </cell>
          <cell r="P554">
            <v>5</v>
          </cell>
        </row>
        <row r="555">
          <cell r="N555">
            <v>0</v>
          </cell>
          <cell r="O555">
            <v>2</v>
          </cell>
          <cell r="P555">
            <v>2</v>
          </cell>
        </row>
        <row r="556">
          <cell r="N556">
            <v>0</v>
          </cell>
          <cell r="O556">
            <v>1</v>
          </cell>
          <cell r="P556">
            <v>1</v>
          </cell>
        </row>
        <row r="557">
          <cell r="N557">
            <v>0</v>
          </cell>
          <cell r="O557">
            <v>9</v>
          </cell>
          <cell r="P557">
            <v>9</v>
          </cell>
        </row>
        <row r="558">
          <cell r="N558">
            <v>1</v>
          </cell>
          <cell r="O558">
            <v>35</v>
          </cell>
          <cell r="P558">
            <v>36</v>
          </cell>
        </row>
        <row r="559">
          <cell r="N559">
            <v>5</v>
          </cell>
          <cell r="O559">
            <v>103</v>
          </cell>
          <cell r="P559">
            <v>108</v>
          </cell>
        </row>
        <row r="560">
          <cell r="N560">
            <v>5</v>
          </cell>
          <cell r="O560">
            <v>233</v>
          </cell>
          <cell r="P560">
            <v>238</v>
          </cell>
        </row>
        <row r="561">
          <cell r="N561">
            <v>10</v>
          </cell>
          <cell r="O561">
            <v>134</v>
          </cell>
          <cell r="P561">
            <v>144</v>
          </cell>
        </row>
        <row r="562">
          <cell r="N562">
            <v>6</v>
          </cell>
          <cell r="O562">
            <v>49</v>
          </cell>
          <cell r="P562">
            <v>55</v>
          </cell>
        </row>
        <row r="563">
          <cell r="N563">
            <v>6</v>
          </cell>
          <cell r="O563">
            <v>55</v>
          </cell>
          <cell r="P563">
            <v>61</v>
          </cell>
        </row>
        <row r="564">
          <cell r="N564">
            <v>21</v>
          </cell>
          <cell r="O564">
            <v>85</v>
          </cell>
          <cell r="P564">
            <v>106</v>
          </cell>
        </row>
        <row r="565">
          <cell r="N565">
            <v>21</v>
          </cell>
          <cell r="O565">
            <v>72</v>
          </cell>
          <cell r="P565">
            <v>93</v>
          </cell>
        </row>
        <row r="566">
          <cell r="N566">
            <v>11</v>
          </cell>
          <cell r="O566">
            <v>57</v>
          </cell>
          <cell r="P566">
            <v>68</v>
          </cell>
        </row>
        <row r="567">
          <cell r="N567">
            <v>21</v>
          </cell>
          <cell r="O567">
            <v>63</v>
          </cell>
          <cell r="P567">
            <v>84</v>
          </cell>
        </row>
        <row r="568">
          <cell r="N568">
            <v>14</v>
          </cell>
          <cell r="O568">
            <v>102</v>
          </cell>
          <cell r="P568">
            <v>116</v>
          </cell>
        </row>
        <row r="569">
          <cell r="N569">
            <v>14</v>
          </cell>
          <cell r="O569">
            <v>208</v>
          </cell>
          <cell r="P569">
            <v>222</v>
          </cell>
        </row>
        <row r="570">
          <cell r="N570">
            <v>7</v>
          </cell>
          <cell r="O570">
            <v>218</v>
          </cell>
          <cell r="P570">
            <v>225</v>
          </cell>
        </row>
        <row r="571">
          <cell r="N571">
            <v>13</v>
          </cell>
          <cell r="O571">
            <v>133</v>
          </cell>
          <cell r="P571">
            <v>146</v>
          </cell>
        </row>
        <row r="572">
          <cell r="N572">
            <v>16</v>
          </cell>
          <cell r="O572">
            <v>103</v>
          </cell>
          <cell r="P572">
            <v>119</v>
          </cell>
        </row>
        <row r="573">
          <cell r="N573">
            <v>5</v>
          </cell>
          <cell r="O573">
            <v>40</v>
          </cell>
          <cell r="P573">
            <v>45</v>
          </cell>
        </row>
        <row r="574">
          <cell r="N574">
            <v>4</v>
          </cell>
          <cell r="O574">
            <v>49</v>
          </cell>
          <cell r="P574">
            <v>53</v>
          </cell>
        </row>
        <row r="575">
          <cell r="N575">
            <v>3</v>
          </cell>
          <cell r="O575">
            <v>37</v>
          </cell>
          <cell r="P575">
            <v>40</v>
          </cell>
        </row>
        <row r="576">
          <cell r="N576">
            <v>3</v>
          </cell>
          <cell r="O576">
            <v>14</v>
          </cell>
          <cell r="P576">
            <v>17</v>
          </cell>
        </row>
        <row r="577">
          <cell r="N577">
            <v>0</v>
          </cell>
          <cell r="O577">
            <v>5</v>
          </cell>
          <cell r="P577">
            <v>5</v>
          </cell>
        </row>
        <row r="578">
          <cell r="N578">
            <v>3</v>
          </cell>
          <cell r="O578">
            <v>7</v>
          </cell>
          <cell r="P578">
            <v>10</v>
          </cell>
        </row>
        <row r="579">
          <cell r="N579">
            <v>0</v>
          </cell>
          <cell r="O579">
            <v>1</v>
          </cell>
          <cell r="P579">
            <v>1</v>
          </cell>
        </row>
        <row r="580">
          <cell r="N580">
            <v>0</v>
          </cell>
          <cell r="O580">
            <v>8</v>
          </cell>
          <cell r="P580">
            <v>8</v>
          </cell>
        </row>
        <row r="581">
          <cell r="N581">
            <v>1</v>
          </cell>
          <cell r="O581">
            <v>29</v>
          </cell>
          <cell r="P581">
            <v>30</v>
          </cell>
        </row>
        <row r="582">
          <cell r="N582">
            <v>3</v>
          </cell>
          <cell r="O582">
            <v>69</v>
          </cell>
          <cell r="P582">
            <v>72</v>
          </cell>
        </row>
        <row r="583">
          <cell r="N583">
            <v>3</v>
          </cell>
          <cell r="O583">
            <v>55</v>
          </cell>
          <cell r="P583">
            <v>58</v>
          </cell>
        </row>
        <row r="584">
          <cell r="N584">
            <v>2</v>
          </cell>
          <cell r="O584">
            <v>26</v>
          </cell>
          <cell r="P584">
            <v>28</v>
          </cell>
        </row>
        <row r="585">
          <cell r="N585">
            <v>6</v>
          </cell>
          <cell r="O585">
            <v>35</v>
          </cell>
          <cell r="P585">
            <v>41</v>
          </cell>
        </row>
        <row r="586">
          <cell r="N586">
            <v>7</v>
          </cell>
          <cell r="O586">
            <v>41</v>
          </cell>
          <cell r="P586">
            <v>48</v>
          </cell>
        </row>
        <row r="587">
          <cell r="N587">
            <v>4</v>
          </cell>
          <cell r="O587">
            <v>43</v>
          </cell>
          <cell r="P587">
            <v>47</v>
          </cell>
        </row>
        <row r="588">
          <cell r="N588">
            <v>0</v>
          </cell>
          <cell r="O588">
            <v>36</v>
          </cell>
          <cell r="P588">
            <v>36</v>
          </cell>
        </row>
        <row r="589">
          <cell r="N589">
            <v>1</v>
          </cell>
          <cell r="O589">
            <v>42</v>
          </cell>
          <cell r="P589">
            <v>43</v>
          </cell>
        </row>
        <row r="590">
          <cell r="N590">
            <v>1</v>
          </cell>
          <cell r="O590">
            <v>35</v>
          </cell>
          <cell r="P590">
            <v>36</v>
          </cell>
        </row>
        <row r="591">
          <cell r="N591">
            <v>0</v>
          </cell>
          <cell r="O591">
            <v>26</v>
          </cell>
          <cell r="P591">
            <v>26</v>
          </cell>
        </row>
        <row r="592">
          <cell r="N592">
            <v>1</v>
          </cell>
          <cell r="O592">
            <v>23</v>
          </cell>
          <cell r="P592">
            <v>24</v>
          </cell>
        </row>
        <row r="593">
          <cell r="N593">
            <v>2</v>
          </cell>
          <cell r="O593">
            <v>82</v>
          </cell>
          <cell r="P593">
            <v>84</v>
          </cell>
        </row>
        <row r="594">
          <cell r="N594">
            <v>3</v>
          </cell>
          <cell r="O594">
            <v>101</v>
          </cell>
          <cell r="P594">
            <v>104</v>
          </cell>
        </row>
        <row r="595">
          <cell r="N595">
            <v>3</v>
          </cell>
          <cell r="O595">
            <v>76</v>
          </cell>
          <cell r="P595">
            <v>79</v>
          </cell>
        </row>
        <row r="596">
          <cell r="N596">
            <v>4</v>
          </cell>
          <cell r="O596">
            <v>55</v>
          </cell>
          <cell r="P596">
            <v>59</v>
          </cell>
        </row>
        <row r="597">
          <cell r="N597">
            <v>2</v>
          </cell>
          <cell r="O597">
            <v>36</v>
          </cell>
          <cell r="P597">
            <v>38</v>
          </cell>
        </row>
        <row r="598">
          <cell r="N598">
            <v>0</v>
          </cell>
          <cell r="O598">
            <v>27</v>
          </cell>
          <cell r="P598">
            <v>27</v>
          </cell>
        </row>
        <row r="599">
          <cell r="N599">
            <v>0</v>
          </cell>
          <cell r="O599">
            <v>16</v>
          </cell>
          <cell r="P599">
            <v>16</v>
          </cell>
        </row>
        <row r="600">
          <cell r="N600">
            <v>0</v>
          </cell>
          <cell r="O600">
            <v>9</v>
          </cell>
          <cell r="P600">
            <v>9</v>
          </cell>
        </row>
        <row r="601">
          <cell r="N601">
            <v>1</v>
          </cell>
          <cell r="O601">
            <v>2</v>
          </cell>
          <cell r="P601">
            <v>3</v>
          </cell>
        </row>
        <row r="602">
          <cell r="N602">
            <v>0</v>
          </cell>
          <cell r="O602">
            <v>2</v>
          </cell>
          <cell r="P602">
            <v>2</v>
          </cell>
        </row>
        <row r="603">
          <cell r="N603">
            <v>1</v>
          </cell>
          <cell r="O603">
            <v>0</v>
          </cell>
          <cell r="P603">
            <v>1</v>
          </cell>
        </row>
        <row r="604">
          <cell r="N604">
            <v>0</v>
          </cell>
          <cell r="O604">
            <v>4</v>
          </cell>
          <cell r="P604">
            <v>4</v>
          </cell>
        </row>
        <row r="605">
          <cell r="N605">
            <v>0</v>
          </cell>
          <cell r="O605">
            <v>16</v>
          </cell>
          <cell r="P605">
            <v>16</v>
          </cell>
        </row>
        <row r="606">
          <cell r="N606">
            <v>2</v>
          </cell>
          <cell r="O606">
            <v>58</v>
          </cell>
          <cell r="P606">
            <v>60</v>
          </cell>
        </row>
        <row r="607">
          <cell r="N607">
            <v>2</v>
          </cell>
          <cell r="O607">
            <v>155</v>
          </cell>
          <cell r="P607">
            <v>157</v>
          </cell>
        </row>
        <row r="608">
          <cell r="N608">
            <v>6</v>
          </cell>
          <cell r="O608">
            <v>95</v>
          </cell>
          <cell r="P608">
            <v>101</v>
          </cell>
        </row>
        <row r="609">
          <cell r="N609">
            <v>0</v>
          </cell>
          <cell r="O609">
            <v>49</v>
          </cell>
          <cell r="P609">
            <v>49</v>
          </cell>
        </row>
        <row r="610">
          <cell r="N610">
            <v>0</v>
          </cell>
          <cell r="O610">
            <v>30</v>
          </cell>
          <cell r="P610">
            <v>30</v>
          </cell>
        </row>
        <row r="611">
          <cell r="N611">
            <v>1</v>
          </cell>
          <cell r="O611">
            <v>28</v>
          </cell>
          <cell r="P611">
            <v>29</v>
          </cell>
        </row>
        <row r="612">
          <cell r="N612">
            <v>0</v>
          </cell>
          <cell r="O612">
            <v>31</v>
          </cell>
          <cell r="P612">
            <v>31</v>
          </cell>
        </row>
        <row r="613">
          <cell r="N613">
            <v>2</v>
          </cell>
          <cell r="O613">
            <v>36</v>
          </cell>
          <cell r="P613">
            <v>38</v>
          </cell>
        </row>
        <row r="614">
          <cell r="N614">
            <v>1</v>
          </cell>
          <cell r="O614">
            <v>40</v>
          </cell>
          <cell r="P614">
            <v>41</v>
          </cell>
        </row>
        <row r="615">
          <cell r="N615">
            <v>10</v>
          </cell>
          <cell r="O615">
            <v>70</v>
          </cell>
          <cell r="P615">
            <v>80</v>
          </cell>
        </row>
        <row r="616">
          <cell r="N616">
            <v>2</v>
          </cell>
          <cell r="O616">
            <v>147</v>
          </cell>
          <cell r="P616">
            <v>149</v>
          </cell>
        </row>
        <row r="617">
          <cell r="N617">
            <v>2</v>
          </cell>
          <cell r="O617">
            <v>107</v>
          </cell>
          <cell r="P617">
            <v>109</v>
          </cell>
        </row>
        <row r="618">
          <cell r="N618">
            <v>5</v>
          </cell>
          <cell r="O618">
            <v>84</v>
          </cell>
          <cell r="P618">
            <v>89</v>
          </cell>
        </row>
        <row r="619">
          <cell r="N619">
            <v>1</v>
          </cell>
          <cell r="O619">
            <v>61</v>
          </cell>
          <cell r="P619">
            <v>62</v>
          </cell>
        </row>
        <row r="620">
          <cell r="N620">
            <v>1</v>
          </cell>
          <cell r="O620">
            <v>57</v>
          </cell>
          <cell r="P620">
            <v>58</v>
          </cell>
        </row>
        <row r="621">
          <cell r="N621">
            <v>0</v>
          </cell>
          <cell r="O621">
            <v>26</v>
          </cell>
          <cell r="P621">
            <v>26</v>
          </cell>
        </row>
        <row r="622">
          <cell r="N622">
            <v>1</v>
          </cell>
          <cell r="O622">
            <v>22</v>
          </cell>
          <cell r="P622">
            <v>23</v>
          </cell>
        </row>
        <row r="623">
          <cell r="N623">
            <v>2</v>
          </cell>
          <cell r="O623">
            <v>26</v>
          </cell>
          <cell r="P623">
            <v>28</v>
          </cell>
        </row>
        <row r="624">
          <cell r="N624">
            <v>0</v>
          </cell>
          <cell r="O624">
            <v>20</v>
          </cell>
          <cell r="P624">
            <v>20</v>
          </cell>
        </row>
        <row r="625">
          <cell r="N625">
            <v>0</v>
          </cell>
          <cell r="O625">
            <v>15</v>
          </cell>
          <cell r="P625">
            <v>15</v>
          </cell>
        </row>
        <row r="626">
          <cell r="N626">
            <v>3</v>
          </cell>
          <cell r="O626">
            <v>5</v>
          </cell>
          <cell r="P626">
            <v>8</v>
          </cell>
        </row>
        <row r="627">
          <cell r="N627">
            <v>1</v>
          </cell>
          <cell r="O627">
            <v>2</v>
          </cell>
          <cell r="P627">
            <v>3</v>
          </cell>
        </row>
        <row r="628">
          <cell r="N628">
            <v>0</v>
          </cell>
          <cell r="O628">
            <v>2</v>
          </cell>
          <cell r="P628">
            <v>2</v>
          </cell>
        </row>
        <row r="629">
          <cell r="N629">
            <v>1</v>
          </cell>
          <cell r="O629">
            <v>4</v>
          </cell>
          <cell r="P629">
            <v>5</v>
          </cell>
        </row>
        <row r="630">
          <cell r="N630">
            <v>3</v>
          </cell>
          <cell r="O630">
            <v>31</v>
          </cell>
          <cell r="P630">
            <v>34</v>
          </cell>
        </row>
        <row r="631">
          <cell r="N631">
            <v>0</v>
          </cell>
          <cell r="O631">
            <v>34</v>
          </cell>
          <cell r="P631">
            <v>34</v>
          </cell>
        </row>
        <row r="632">
          <cell r="N632">
            <v>4</v>
          </cell>
          <cell r="O632">
            <v>51</v>
          </cell>
          <cell r="P632">
            <v>55</v>
          </cell>
        </row>
        <row r="633">
          <cell r="N633">
            <v>4</v>
          </cell>
          <cell r="O633">
            <v>60</v>
          </cell>
          <cell r="P633">
            <v>64</v>
          </cell>
        </row>
        <row r="634">
          <cell r="N634">
            <v>12</v>
          </cell>
          <cell r="O634">
            <v>66</v>
          </cell>
          <cell r="P634">
            <v>78</v>
          </cell>
        </row>
        <row r="635">
          <cell r="N635">
            <v>9</v>
          </cell>
          <cell r="O635">
            <v>56</v>
          </cell>
          <cell r="P635">
            <v>65</v>
          </cell>
        </row>
        <row r="636">
          <cell r="N636">
            <v>10</v>
          </cell>
          <cell r="O636">
            <v>89</v>
          </cell>
          <cell r="P636">
            <v>99</v>
          </cell>
        </row>
        <row r="637">
          <cell r="N637">
            <v>22</v>
          </cell>
          <cell r="O637">
            <v>98</v>
          </cell>
          <cell r="P637">
            <v>120</v>
          </cell>
        </row>
        <row r="638">
          <cell r="N638">
            <v>19</v>
          </cell>
          <cell r="O638">
            <v>88</v>
          </cell>
          <cell r="P638">
            <v>107</v>
          </cell>
        </row>
        <row r="639">
          <cell r="N639">
            <v>9</v>
          </cell>
          <cell r="O639">
            <v>82</v>
          </cell>
          <cell r="P639">
            <v>91</v>
          </cell>
        </row>
        <row r="640">
          <cell r="N640">
            <v>9</v>
          </cell>
          <cell r="O640">
            <v>59</v>
          </cell>
          <cell r="P640">
            <v>68</v>
          </cell>
        </row>
        <row r="641">
          <cell r="N641">
            <v>6</v>
          </cell>
          <cell r="O641">
            <v>52</v>
          </cell>
          <cell r="P641">
            <v>58</v>
          </cell>
        </row>
        <row r="642">
          <cell r="N642">
            <v>1</v>
          </cell>
          <cell r="O642">
            <v>42</v>
          </cell>
          <cell r="P642">
            <v>43</v>
          </cell>
        </row>
        <row r="643">
          <cell r="N643">
            <v>1</v>
          </cell>
          <cell r="O643">
            <v>35</v>
          </cell>
          <cell r="P643">
            <v>36</v>
          </cell>
        </row>
        <row r="644">
          <cell r="N644">
            <v>4</v>
          </cell>
          <cell r="O644">
            <v>28</v>
          </cell>
          <cell r="P644">
            <v>32</v>
          </cell>
        </row>
        <row r="645">
          <cell r="N645">
            <v>3</v>
          </cell>
          <cell r="O645">
            <v>30</v>
          </cell>
          <cell r="P645">
            <v>33</v>
          </cell>
        </row>
        <row r="646">
          <cell r="N646">
            <v>0</v>
          </cell>
          <cell r="O646">
            <v>33</v>
          </cell>
          <cell r="P646">
            <v>33</v>
          </cell>
        </row>
        <row r="647">
          <cell r="N647">
            <v>7</v>
          </cell>
          <cell r="O647">
            <v>22</v>
          </cell>
          <cell r="P647">
            <v>29</v>
          </cell>
        </row>
        <row r="648">
          <cell r="N648">
            <v>1</v>
          </cell>
          <cell r="O648">
            <v>10</v>
          </cell>
          <cell r="P648">
            <v>11</v>
          </cell>
        </row>
        <row r="649">
          <cell r="N649">
            <v>1</v>
          </cell>
          <cell r="O649">
            <v>7</v>
          </cell>
          <cell r="P649">
            <v>8</v>
          </cell>
        </row>
        <row r="650">
          <cell r="N650">
            <v>0</v>
          </cell>
          <cell r="O650">
            <v>1</v>
          </cell>
          <cell r="P650">
            <v>1</v>
          </cell>
        </row>
        <row r="651">
          <cell r="N651">
            <v>0</v>
          </cell>
          <cell r="O651">
            <v>3</v>
          </cell>
          <cell r="P651">
            <v>3</v>
          </cell>
        </row>
        <row r="652">
          <cell r="N652">
            <v>0</v>
          </cell>
          <cell r="O652">
            <v>3</v>
          </cell>
          <cell r="P652">
            <v>3</v>
          </cell>
        </row>
        <row r="653">
          <cell r="N653">
            <v>1</v>
          </cell>
          <cell r="O653">
            <v>11</v>
          </cell>
          <cell r="P653">
            <v>12</v>
          </cell>
        </row>
        <row r="654">
          <cell r="N654">
            <v>4</v>
          </cell>
          <cell r="O654">
            <v>34</v>
          </cell>
          <cell r="P654">
            <v>38</v>
          </cell>
        </row>
        <row r="655">
          <cell r="N655">
            <v>7</v>
          </cell>
          <cell r="O655">
            <v>57</v>
          </cell>
          <cell r="P655">
            <v>64</v>
          </cell>
        </row>
        <row r="656">
          <cell r="N656">
            <v>9</v>
          </cell>
          <cell r="O656">
            <v>50</v>
          </cell>
          <cell r="P656">
            <v>59</v>
          </cell>
        </row>
        <row r="657">
          <cell r="N657">
            <v>10</v>
          </cell>
          <cell r="O657">
            <v>87</v>
          </cell>
          <cell r="P657">
            <v>97</v>
          </cell>
        </row>
        <row r="658">
          <cell r="N658">
            <v>13</v>
          </cell>
          <cell r="O658">
            <v>71</v>
          </cell>
          <cell r="P658">
            <v>84</v>
          </cell>
        </row>
        <row r="659">
          <cell r="N659">
            <v>18</v>
          </cell>
          <cell r="O659">
            <v>104</v>
          </cell>
          <cell r="P659">
            <v>122</v>
          </cell>
        </row>
        <row r="660">
          <cell r="N660">
            <v>14</v>
          </cell>
          <cell r="O660">
            <v>95</v>
          </cell>
          <cell r="P660">
            <v>109</v>
          </cell>
        </row>
        <row r="661">
          <cell r="N661">
            <v>19</v>
          </cell>
          <cell r="O661">
            <v>104</v>
          </cell>
          <cell r="P661">
            <v>123</v>
          </cell>
        </row>
        <row r="662">
          <cell r="N662">
            <v>6</v>
          </cell>
          <cell r="O662">
            <v>71</v>
          </cell>
          <cell r="P662">
            <v>77</v>
          </cell>
        </row>
        <row r="663">
          <cell r="N663">
            <v>8</v>
          </cell>
          <cell r="O663">
            <v>57</v>
          </cell>
          <cell r="P663">
            <v>65</v>
          </cell>
        </row>
        <row r="664">
          <cell r="N664">
            <v>9</v>
          </cell>
          <cell r="O664">
            <v>46</v>
          </cell>
          <cell r="P664">
            <v>55</v>
          </cell>
        </row>
        <row r="665">
          <cell r="N665">
            <v>3</v>
          </cell>
          <cell r="O665">
            <v>30</v>
          </cell>
          <cell r="P665">
            <v>33</v>
          </cell>
        </row>
        <row r="666">
          <cell r="N666">
            <v>3</v>
          </cell>
          <cell r="O666">
            <v>25</v>
          </cell>
          <cell r="P666">
            <v>28</v>
          </cell>
        </row>
        <row r="667">
          <cell r="N667">
            <v>2</v>
          </cell>
          <cell r="O667">
            <v>19</v>
          </cell>
          <cell r="P667">
            <v>21</v>
          </cell>
        </row>
        <row r="668">
          <cell r="N668">
            <v>5</v>
          </cell>
          <cell r="O668">
            <v>16</v>
          </cell>
          <cell r="P668">
            <v>21</v>
          </cell>
        </row>
        <row r="669">
          <cell r="N669">
            <v>1</v>
          </cell>
          <cell r="O669">
            <v>6</v>
          </cell>
          <cell r="P669">
            <v>7</v>
          </cell>
        </row>
        <row r="670">
          <cell r="N670">
            <v>2</v>
          </cell>
          <cell r="O670">
            <v>5</v>
          </cell>
          <cell r="P670">
            <v>7</v>
          </cell>
        </row>
        <row r="671">
          <cell r="N671">
            <v>0</v>
          </cell>
          <cell r="O671">
            <v>1</v>
          </cell>
          <cell r="P671">
            <v>1</v>
          </cell>
        </row>
        <row r="672">
          <cell r="N672">
            <v>0</v>
          </cell>
          <cell r="O672">
            <v>2</v>
          </cell>
          <cell r="P672">
            <v>2</v>
          </cell>
        </row>
        <row r="673">
          <cell r="N673">
            <v>0</v>
          </cell>
          <cell r="O673">
            <v>2</v>
          </cell>
          <cell r="P673">
            <v>2</v>
          </cell>
        </row>
        <row r="674">
          <cell r="N674">
            <v>0</v>
          </cell>
          <cell r="O674">
            <v>8</v>
          </cell>
          <cell r="P674">
            <v>8</v>
          </cell>
        </row>
        <row r="675">
          <cell r="N675">
            <v>0</v>
          </cell>
          <cell r="O675">
            <v>37</v>
          </cell>
          <cell r="P675">
            <v>37</v>
          </cell>
        </row>
        <row r="676">
          <cell r="N676">
            <v>1</v>
          </cell>
          <cell r="O676">
            <v>71</v>
          </cell>
          <cell r="P676">
            <v>72</v>
          </cell>
        </row>
        <row r="677">
          <cell r="N677">
            <v>3</v>
          </cell>
          <cell r="O677">
            <v>182</v>
          </cell>
          <cell r="P677">
            <v>185</v>
          </cell>
        </row>
        <row r="678">
          <cell r="N678">
            <v>0</v>
          </cell>
          <cell r="O678">
            <v>112</v>
          </cell>
          <cell r="P678">
            <v>112</v>
          </cell>
        </row>
        <row r="679">
          <cell r="N679">
            <v>1</v>
          </cell>
          <cell r="O679">
            <v>68</v>
          </cell>
          <cell r="P679">
            <v>69</v>
          </cell>
        </row>
        <row r="680">
          <cell r="N680">
            <v>2</v>
          </cell>
          <cell r="O680">
            <v>46</v>
          </cell>
          <cell r="P680">
            <v>48</v>
          </cell>
        </row>
        <row r="681">
          <cell r="N681">
            <v>6</v>
          </cell>
          <cell r="O681">
            <v>62</v>
          </cell>
          <cell r="P681">
            <v>68</v>
          </cell>
        </row>
        <row r="682">
          <cell r="N682">
            <v>2</v>
          </cell>
          <cell r="O682">
            <v>52</v>
          </cell>
          <cell r="P682">
            <v>54</v>
          </cell>
        </row>
        <row r="683">
          <cell r="N683">
            <v>1</v>
          </cell>
          <cell r="O683">
            <v>85</v>
          </cell>
          <cell r="P683">
            <v>86</v>
          </cell>
        </row>
        <row r="684">
          <cell r="N684">
            <v>3</v>
          </cell>
          <cell r="O684">
            <v>41</v>
          </cell>
          <cell r="P684">
            <v>44</v>
          </cell>
        </row>
        <row r="685">
          <cell r="N685">
            <v>3</v>
          </cell>
          <cell r="O685">
            <v>83</v>
          </cell>
          <cell r="P685">
            <v>86</v>
          </cell>
        </row>
        <row r="686">
          <cell r="N686">
            <v>6</v>
          </cell>
          <cell r="O686">
            <v>155</v>
          </cell>
          <cell r="P686">
            <v>161</v>
          </cell>
        </row>
        <row r="687">
          <cell r="N687">
            <v>3</v>
          </cell>
          <cell r="O687">
            <v>153</v>
          </cell>
          <cell r="P687">
            <v>156</v>
          </cell>
        </row>
        <row r="688">
          <cell r="N688">
            <v>3</v>
          </cell>
          <cell r="O688">
            <v>108</v>
          </cell>
          <cell r="P688">
            <v>111</v>
          </cell>
        </row>
        <row r="689">
          <cell r="N689">
            <v>0</v>
          </cell>
          <cell r="O689">
            <v>78</v>
          </cell>
          <cell r="P689">
            <v>78</v>
          </cell>
        </row>
        <row r="690">
          <cell r="N690">
            <v>3</v>
          </cell>
          <cell r="O690">
            <v>53</v>
          </cell>
          <cell r="P690">
            <v>56</v>
          </cell>
        </row>
        <row r="691">
          <cell r="N691">
            <v>0</v>
          </cell>
          <cell r="O691">
            <v>34</v>
          </cell>
          <cell r="P691">
            <v>34</v>
          </cell>
        </row>
        <row r="692">
          <cell r="N692">
            <v>2</v>
          </cell>
          <cell r="O692">
            <v>15</v>
          </cell>
          <cell r="P692">
            <v>17</v>
          </cell>
        </row>
        <row r="693">
          <cell r="N693">
            <v>2</v>
          </cell>
          <cell r="O693">
            <v>6</v>
          </cell>
          <cell r="P693">
            <v>8</v>
          </cell>
        </row>
        <row r="694">
          <cell r="N694">
            <v>0</v>
          </cell>
          <cell r="O694">
            <v>3</v>
          </cell>
          <cell r="P694">
            <v>3</v>
          </cell>
        </row>
        <row r="695">
          <cell r="N695">
            <v>0</v>
          </cell>
          <cell r="O695">
            <v>2</v>
          </cell>
          <cell r="P695">
            <v>2</v>
          </cell>
        </row>
        <row r="696">
          <cell r="N696">
            <v>0</v>
          </cell>
          <cell r="O696">
            <v>2</v>
          </cell>
          <cell r="P696">
            <v>2</v>
          </cell>
        </row>
        <row r="697">
          <cell r="N697">
            <v>0</v>
          </cell>
          <cell r="O697">
            <v>3</v>
          </cell>
          <cell r="P697">
            <v>3</v>
          </cell>
        </row>
        <row r="698">
          <cell r="N698">
            <v>0</v>
          </cell>
          <cell r="O698">
            <v>22</v>
          </cell>
          <cell r="P698">
            <v>22</v>
          </cell>
        </row>
        <row r="699">
          <cell r="N699">
            <v>0</v>
          </cell>
          <cell r="O699">
            <v>52</v>
          </cell>
          <cell r="P699">
            <v>52</v>
          </cell>
        </row>
        <row r="700">
          <cell r="N700">
            <v>3</v>
          </cell>
          <cell r="O700">
            <v>132</v>
          </cell>
          <cell r="P700">
            <v>135</v>
          </cell>
        </row>
        <row r="701">
          <cell r="N701">
            <v>2</v>
          </cell>
          <cell r="O701">
            <v>114</v>
          </cell>
          <cell r="P701">
            <v>116</v>
          </cell>
        </row>
        <row r="702">
          <cell r="N702">
            <v>0</v>
          </cell>
          <cell r="O702">
            <v>47</v>
          </cell>
          <cell r="P702">
            <v>47</v>
          </cell>
        </row>
        <row r="703">
          <cell r="N703">
            <v>2</v>
          </cell>
          <cell r="O703">
            <v>49</v>
          </cell>
          <cell r="P703">
            <v>51</v>
          </cell>
        </row>
        <row r="704">
          <cell r="N704">
            <v>2</v>
          </cell>
          <cell r="O704">
            <v>53</v>
          </cell>
          <cell r="P704">
            <v>55</v>
          </cell>
        </row>
        <row r="705">
          <cell r="N705">
            <v>3</v>
          </cell>
          <cell r="O705">
            <v>49</v>
          </cell>
          <cell r="P705">
            <v>52</v>
          </cell>
        </row>
        <row r="706">
          <cell r="N706">
            <v>5</v>
          </cell>
          <cell r="O706">
            <v>49</v>
          </cell>
          <cell r="P706">
            <v>54</v>
          </cell>
        </row>
        <row r="707">
          <cell r="N707">
            <v>7</v>
          </cell>
          <cell r="O707">
            <v>45</v>
          </cell>
          <cell r="P707">
            <v>52</v>
          </cell>
        </row>
        <row r="708">
          <cell r="N708">
            <v>3</v>
          </cell>
          <cell r="O708">
            <v>61</v>
          </cell>
          <cell r="P708">
            <v>64</v>
          </cell>
        </row>
        <row r="709">
          <cell r="N709">
            <v>4</v>
          </cell>
          <cell r="O709">
            <v>172</v>
          </cell>
          <cell r="P709">
            <v>176</v>
          </cell>
        </row>
        <row r="710">
          <cell r="N710">
            <v>3</v>
          </cell>
          <cell r="O710">
            <v>165</v>
          </cell>
          <cell r="P710">
            <v>168</v>
          </cell>
        </row>
        <row r="711">
          <cell r="N711">
            <v>3</v>
          </cell>
          <cell r="O711">
            <v>105</v>
          </cell>
          <cell r="P711">
            <v>108</v>
          </cell>
        </row>
        <row r="712">
          <cell r="N712">
            <v>5</v>
          </cell>
          <cell r="O712">
            <v>69</v>
          </cell>
          <cell r="P712">
            <v>74</v>
          </cell>
        </row>
        <row r="713">
          <cell r="N713">
            <v>0</v>
          </cell>
          <cell r="O713">
            <v>64</v>
          </cell>
          <cell r="P713">
            <v>64</v>
          </cell>
        </row>
        <row r="714">
          <cell r="N714">
            <v>2</v>
          </cell>
          <cell r="O714">
            <v>34</v>
          </cell>
          <cell r="P714">
            <v>36</v>
          </cell>
        </row>
        <row r="715">
          <cell r="N715">
            <v>1</v>
          </cell>
          <cell r="O715">
            <v>15</v>
          </cell>
          <cell r="P715">
            <v>16</v>
          </cell>
        </row>
        <row r="716">
          <cell r="N716">
            <v>0</v>
          </cell>
          <cell r="O716">
            <v>2</v>
          </cell>
          <cell r="P716">
            <v>2</v>
          </cell>
        </row>
        <row r="717">
          <cell r="N717">
            <v>0</v>
          </cell>
          <cell r="O717">
            <v>3</v>
          </cell>
          <cell r="P717">
            <v>3</v>
          </cell>
        </row>
        <row r="718">
          <cell r="N718">
            <v>4</v>
          </cell>
          <cell r="O718">
            <v>0</v>
          </cell>
          <cell r="P718">
            <v>4</v>
          </cell>
        </row>
        <row r="719">
          <cell r="N719">
            <v>0</v>
          </cell>
          <cell r="O719">
            <v>1</v>
          </cell>
          <cell r="P719">
            <v>1</v>
          </cell>
        </row>
        <row r="720">
          <cell r="N720">
            <v>0</v>
          </cell>
          <cell r="O720">
            <v>1</v>
          </cell>
          <cell r="P720">
            <v>1</v>
          </cell>
        </row>
        <row r="721">
          <cell r="N721">
            <v>0</v>
          </cell>
          <cell r="O721">
            <v>3</v>
          </cell>
          <cell r="P721">
            <v>3</v>
          </cell>
        </row>
        <row r="722">
          <cell r="N722">
            <v>1</v>
          </cell>
          <cell r="O722">
            <v>17</v>
          </cell>
          <cell r="P722">
            <v>18</v>
          </cell>
        </row>
        <row r="723">
          <cell r="N723">
            <v>1</v>
          </cell>
          <cell r="O723">
            <v>48</v>
          </cell>
          <cell r="P723">
            <v>49</v>
          </cell>
        </row>
        <row r="724">
          <cell r="N724">
            <v>1</v>
          </cell>
          <cell r="O724">
            <v>154</v>
          </cell>
          <cell r="P724">
            <v>155</v>
          </cell>
        </row>
        <row r="725">
          <cell r="N725">
            <v>4</v>
          </cell>
          <cell r="O725">
            <v>119</v>
          </cell>
          <cell r="P725">
            <v>123</v>
          </cell>
        </row>
        <row r="726">
          <cell r="N726">
            <v>2</v>
          </cell>
          <cell r="O726">
            <v>59</v>
          </cell>
          <cell r="P726">
            <v>61</v>
          </cell>
        </row>
        <row r="727">
          <cell r="N727">
            <v>5</v>
          </cell>
          <cell r="O727">
            <v>47</v>
          </cell>
          <cell r="P727">
            <v>52</v>
          </cell>
        </row>
        <row r="728">
          <cell r="N728">
            <v>3</v>
          </cell>
          <cell r="O728">
            <v>61</v>
          </cell>
          <cell r="P728">
            <v>64</v>
          </cell>
        </row>
        <row r="729">
          <cell r="N729">
            <v>1</v>
          </cell>
          <cell r="O729">
            <v>74</v>
          </cell>
          <cell r="P729">
            <v>75</v>
          </cell>
        </row>
        <row r="730">
          <cell r="N730">
            <v>2</v>
          </cell>
          <cell r="O730">
            <v>61</v>
          </cell>
          <cell r="P730">
            <v>63</v>
          </cell>
        </row>
        <row r="731">
          <cell r="N731">
            <v>10</v>
          </cell>
          <cell r="O731">
            <v>66</v>
          </cell>
          <cell r="P731">
            <v>76</v>
          </cell>
        </row>
        <row r="732">
          <cell r="N732">
            <v>8</v>
          </cell>
          <cell r="O732">
            <v>95</v>
          </cell>
          <cell r="P732">
            <v>103</v>
          </cell>
        </row>
        <row r="733">
          <cell r="N733">
            <v>7</v>
          </cell>
          <cell r="O733">
            <v>183</v>
          </cell>
          <cell r="P733">
            <v>190</v>
          </cell>
        </row>
        <row r="734">
          <cell r="N734">
            <v>7</v>
          </cell>
          <cell r="O734">
            <v>175</v>
          </cell>
          <cell r="P734">
            <v>182</v>
          </cell>
        </row>
        <row r="735">
          <cell r="N735">
            <v>3</v>
          </cell>
          <cell r="O735">
            <v>88</v>
          </cell>
          <cell r="P735">
            <v>91</v>
          </cell>
        </row>
        <row r="736">
          <cell r="N736">
            <v>4</v>
          </cell>
          <cell r="O736">
            <v>71</v>
          </cell>
          <cell r="P736">
            <v>75</v>
          </cell>
        </row>
        <row r="737">
          <cell r="N737">
            <v>1</v>
          </cell>
          <cell r="O737">
            <v>62</v>
          </cell>
          <cell r="P737">
            <v>63</v>
          </cell>
        </row>
        <row r="738">
          <cell r="N738">
            <v>5</v>
          </cell>
          <cell r="O738">
            <v>35</v>
          </cell>
          <cell r="P738">
            <v>40</v>
          </cell>
        </row>
        <row r="739">
          <cell r="N739">
            <v>3</v>
          </cell>
          <cell r="O739">
            <v>29</v>
          </cell>
          <cell r="P739">
            <v>32</v>
          </cell>
        </row>
        <row r="740">
          <cell r="N740">
            <v>1</v>
          </cell>
          <cell r="O740">
            <v>11</v>
          </cell>
          <cell r="P740">
            <v>12</v>
          </cell>
        </row>
        <row r="741">
          <cell r="N741">
            <v>0</v>
          </cell>
          <cell r="O741">
            <v>5</v>
          </cell>
          <cell r="P741">
            <v>5</v>
          </cell>
        </row>
        <row r="742">
          <cell r="N742">
            <v>0</v>
          </cell>
          <cell r="O742">
            <v>2</v>
          </cell>
          <cell r="P742">
            <v>2</v>
          </cell>
        </row>
        <row r="743">
          <cell r="N743">
            <v>0</v>
          </cell>
          <cell r="O743">
            <v>1</v>
          </cell>
          <cell r="P743">
            <v>1</v>
          </cell>
        </row>
        <row r="744">
          <cell r="N744">
            <v>0</v>
          </cell>
          <cell r="O744">
            <v>2</v>
          </cell>
          <cell r="P744">
            <v>2</v>
          </cell>
        </row>
        <row r="745">
          <cell r="N745">
            <v>0</v>
          </cell>
          <cell r="O745">
            <v>39</v>
          </cell>
          <cell r="P745">
            <v>39</v>
          </cell>
        </row>
        <row r="746">
          <cell r="N746">
            <v>1</v>
          </cell>
          <cell r="O746">
            <v>86</v>
          </cell>
          <cell r="P746">
            <v>87</v>
          </cell>
        </row>
        <row r="747">
          <cell r="N747">
            <v>4</v>
          </cell>
          <cell r="O747">
            <v>184</v>
          </cell>
          <cell r="P747">
            <v>188</v>
          </cell>
        </row>
        <row r="748">
          <cell r="N748">
            <v>6</v>
          </cell>
          <cell r="O748">
            <v>127</v>
          </cell>
          <cell r="P748">
            <v>133</v>
          </cell>
        </row>
        <row r="749">
          <cell r="N749">
            <v>2</v>
          </cell>
          <cell r="O749">
            <v>50</v>
          </cell>
          <cell r="P749">
            <v>52</v>
          </cell>
        </row>
        <row r="750">
          <cell r="N750">
            <v>9</v>
          </cell>
          <cell r="O750">
            <v>55</v>
          </cell>
          <cell r="P750">
            <v>64</v>
          </cell>
        </row>
        <row r="751">
          <cell r="N751">
            <v>2</v>
          </cell>
          <cell r="O751">
            <v>67</v>
          </cell>
          <cell r="P751">
            <v>69</v>
          </cell>
        </row>
        <row r="752">
          <cell r="N752">
            <v>4</v>
          </cell>
          <cell r="O752">
            <v>47</v>
          </cell>
          <cell r="P752">
            <v>51</v>
          </cell>
        </row>
        <row r="753">
          <cell r="N753">
            <v>4</v>
          </cell>
          <cell r="O753">
            <v>43</v>
          </cell>
          <cell r="P753">
            <v>47</v>
          </cell>
        </row>
        <row r="754">
          <cell r="N754">
            <v>4</v>
          </cell>
          <cell r="O754">
            <v>56</v>
          </cell>
          <cell r="P754">
            <v>60</v>
          </cell>
        </row>
        <row r="755">
          <cell r="N755">
            <v>5</v>
          </cell>
          <cell r="O755">
            <v>73</v>
          </cell>
          <cell r="P755">
            <v>78</v>
          </cell>
        </row>
        <row r="756">
          <cell r="N756">
            <v>5</v>
          </cell>
          <cell r="O756">
            <v>170</v>
          </cell>
          <cell r="P756">
            <v>175</v>
          </cell>
        </row>
        <row r="757">
          <cell r="N757">
            <v>2</v>
          </cell>
          <cell r="O757">
            <v>145</v>
          </cell>
          <cell r="P757">
            <v>147</v>
          </cell>
        </row>
        <row r="758">
          <cell r="N758">
            <v>4</v>
          </cell>
          <cell r="O758">
            <v>92</v>
          </cell>
          <cell r="P758">
            <v>96</v>
          </cell>
        </row>
        <row r="759">
          <cell r="N759">
            <v>1</v>
          </cell>
          <cell r="O759">
            <v>108</v>
          </cell>
          <cell r="P759">
            <v>109</v>
          </cell>
        </row>
        <row r="760">
          <cell r="N760">
            <v>1</v>
          </cell>
          <cell r="O760">
            <v>53</v>
          </cell>
          <cell r="P760">
            <v>54</v>
          </cell>
        </row>
        <row r="761">
          <cell r="N761">
            <v>2</v>
          </cell>
          <cell r="O761">
            <v>39</v>
          </cell>
          <cell r="P761">
            <v>41</v>
          </cell>
        </row>
        <row r="762">
          <cell r="N762">
            <v>4</v>
          </cell>
          <cell r="O762">
            <v>34</v>
          </cell>
          <cell r="P762">
            <v>38</v>
          </cell>
        </row>
        <row r="763">
          <cell r="N763">
            <v>3</v>
          </cell>
          <cell r="O763">
            <v>10</v>
          </cell>
          <cell r="P763">
            <v>13</v>
          </cell>
        </row>
        <row r="764">
          <cell r="N764">
            <v>0</v>
          </cell>
          <cell r="O764">
            <v>7</v>
          </cell>
          <cell r="P764">
            <v>7</v>
          </cell>
        </row>
        <row r="765">
          <cell r="N765">
            <v>0</v>
          </cell>
          <cell r="O765">
            <v>1</v>
          </cell>
          <cell r="P765">
            <v>1</v>
          </cell>
        </row>
        <row r="766">
          <cell r="N766">
            <v>0</v>
          </cell>
          <cell r="O766">
            <v>1</v>
          </cell>
          <cell r="P766">
            <v>1</v>
          </cell>
        </row>
        <row r="767">
          <cell r="N767">
            <v>0</v>
          </cell>
          <cell r="O767">
            <v>7</v>
          </cell>
          <cell r="P767">
            <v>7</v>
          </cell>
        </row>
        <row r="768">
          <cell r="N768">
            <v>2</v>
          </cell>
          <cell r="O768">
            <v>26</v>
          </cell>
          <cell r="P768">
            <v>28</v>
          </cell>
        </row>
        <row r="769">
          <cell r="N769">
            <v>0</v>
          </cell>
          <cell r="O769">
            <v>87</v>
          </cell>
          <cell r="P769">
            <v>87</v>
          </cell>
        </row>
        <row r="770">
          <cell r="N770">
            <v>3</v>
          </cell>
          <cell r="O770">
            <v>217</v>
          </cell>
          <cell r="P770">
            <v>220</v>
          </cell>
        </row>
        <row r="771">
          <cell r="N771">
            <v>3</v>
          </cell>
          <cell r="O771">
            <v>124</v>
          </cell>
          <cell r="P771">
            <v>127</v>
          </cell>
        </row>
        <row r="772">
          <cell r="N772">
            <v>5</v>
          </cell>
          <cell r="O772">
            <v>46</v>
          </cell>
          <cell r="P772">
            <v>51</v>
          </cell>
        </row>
        <row r="773">
          <cell r="N773">
            <v>3</v>
          </cell>
          <cell r="O773">
            <v>61</v>
          </cell>
          <cell r="P773">
            <v>64</v>
          </cell>
        </row>
        <row r="774">
          <cell r="N774">
            <v>8</v>
          </cell>
          <cell r="O774">
            <v>78</v>
          </cell>
          <cell r="P774">
            <v>86</v>
          </cell>
        </row>
        <row r="775">
          <cell r="N775">
            <v>9</v>
          </cell>
          <cell r="O775">
            <v>73</v>
          </cell>
          <cell r="P775">
            <v>82</v>
          </cell>
        </row>
        <row r="776">
          <cell r="N776">
            <v>15</v>
          </cell>
          <cell r="O776">
            <v>76</v>
          </cell>
          <cell r="P776">
            <v>91</v>
          </cell>
        </row>
        <row r="777">
          <cell r="N777">
            <v>9</v>
          </cell>
          <cell r="O777">
            <v>81</v>
          </cell>
          <cell r="P777">
            <v>90</v>
          </cell>
        </row>
        <row r="778">
          <cell r="N778">
            <v>8</v>
          </cell>
          <cell r="O778">
            <v>91</v>
          </cell>
          <cell r="P778">
            <v>99</v>
          </cell>
        </row>
        <row r="779">
          <cell r="N779">
            <v>10</v>
          </cell>
          <cell r="O779">
            <v>195</v>
          </cell>
          <cell r="P779">
            <v>205</v>
          </cell>
        </row>
        <row r="780">
          <cell r="N780">
            <v>3</v>
          </cell>
          <cell r="O780">
            <v>152</v>
          </cell>
          <cell r="P780">
            <v>155</v>
          </cell>
        </row>
        <row r="781">
          <cell r="N781">
            <v>1</v>
          </cell>
          <cell r="O781">
            <v>102</v>
          </cell>
          <cell r="P781">
            <v>103</v>
          </cell>
        </row>
        <row r="782">
          <cell r="N782">
            <v>2</v>
          </cell>
          <cell r="O782">
            <v>69</v>
          </cell>
          <cell r="P782">
            <v>71</v>
          </cell>
        </row>
        <row r="783">
          <cell r="N783">
            <v>2</v>
          </cell>
          <cell r="O783">
            <v>41</v>
          </cell>
          <cell r="P783">
            <v>43</v>
          </cell>
        </row>
        <row r="784">
          <cell r="N784">
            <v>1</v>
          </cell>
          <cell r="O784">
            <v>45</v>
          </cell>
          <cell r="P784">
            <v>46</v>
          </cell>
        </row>
        <row r="785">
          <cell r="N785">
            <v>1</v>
          </cell>
          <cell r="O785">
            <v>30</v>
          </cell>
          <cell r="P785">
            <v>31</v>
          </cell>
        </row>
        <row r="786">
          <cell r="N786">
            <v>3</v>
          </cell>
          <cell r="O786">
            <v>36</v>
          </cell>
          <cell r="P786">
            <v>39</v>
          </cell>
        </row>
        <row r="787">
          <cell r="N787">
            <v>1</v>
          </cell>
          <cell r="O787">
            <v>17</v>
          </cell>
          <cell r="P787">
            <v>18</v>
          </cell>
        </row>
        <row r="788">
          <cell r="N788">
            <v>5</v>
          </cell>
          <cell r="O788">
            <v>12</v>
          </cell>
          <cell r="P788">
            <v>17</v>
          </cell>
        </row>
        <row r="789">
          <cell r="N789">
            <v>1</v>
          </cell>
          <cell r="O789">
            <v>10</v>
          </cell>
          <cell r="P789">
            <v>11</v>
          </cell>
        </row>
        <row r="790">
          <cell r="N790">
            <v>0</v>
          </cell>
          <cell r="O790">
            <v>8</v>
          </cell>
          <cell r="P790">
            <v>8</v>
          </cell>
        </row>
        <row r="791">
          <cell r="N791">
            <v>0</v>
          </cell>
          <cell r="O791">
            <v>9</v>
          </cell>
          <cell r="P791">
            <v>9</v>
          </cell>
        </row>
        <row r="792">
          <cell r="N792">
            <v>0</v>
          </cell>
          <cell r="O792">
            <v>4</v>
          </cell>
          <cell r="P792">
            <v>4</v>
          </cell>
        </row>
        <row r="793">
          <cell r="N793">
            <v>0</v>
          </cell>
          <cell r="O793">
            <v>4</v>
          </cell>
          <cell r="P793">
            <v>4</v>
          </cell>
        </row>
        <row r="794">
          <cell r="N794">
            <v>0</v>
          </cell>
          <cell r="O794">
            <v>10</v>
          </cell>
          <cell r="P794">
            <v>10</v>
          </cell>
        </row>
        <row r="795">
          <cell r="N795">
            <v>3</v>
          </cell>
          <cell r="O795">
            <v>17</v>
          </cell>
          <cell r="P795">
            <v>20</v>
          </cell>
        </row>
        <row r="796">
          <cell r="N796">
            <v>3</v>
          </cell>
          <cell r="O796">
            <v>31</v>
          </cell>
          <cell r="P796">
            <v>34</v>
          </cell>
        </row>
        <row r="797">
          <cell r="N797">
            <v>1</v>
          </cell>
          <cell r="O797">
            <v>46</v>
          </cell>
          <cell r="P797">
            <v>47</v>
          </cell>
        </row>
        <row r="798">
          <cell r="N798">
            <v>10</v>
          </cell>
          <cell r="O798">
            <v>42</v>
          </cell>
          <cell r="P798">
            <v>52</v>
          </cell>
        </row>
        <row r="799">
          <cell r="N799">
            <v>10</v>
          </cell>
          <cell r="O799">
            <v>62</v>
          </cell>
          <cell r="P799">
            <v>72</v>
          </cell>
        </row>
        <row r="800">
          <cell r="N800">
            <v>5</v>
          </cell>
          <cell r="O800">
            <v>50</v>
          </cell>
          <cell r="P800">
            <v>55</v>
          </cell>
        </row>
        <row r="801">
          <cell r="N801">
            <v>11</v>
          </cell>
          <cell r="O801">
            <v>49</v>
          </cell>
          <cell r="P801">
            <v>60</v>
          </cell>
        </row>
        <row r="802">
          <cell r="N802">
            <v>8</v>
          </cell>
          <cell r="O802">
            <v>63</v>
          </cell>
          <cell r="P802">
            <v>71</v>
          </cell>
        </row>
        <row r="803">
          <cell r="N803">
            <v>14</v>
          </cell>
          <cell r="O803">
            <v>64</v>
          </cell>
          <cell r="P803">
            <v>78</v>
          </cell>
        </row>
        <row r="804">
          <cell r="N804">
            <v>2</v>
          </cell>
          <cell r="O804">
            <v>81</v>
          </cell>
          <cell r="P804">
            <v>83</v>
          </cell>
        </row>
        <row r="805">
          <cell r="N805">
            <v>6</v>
          </cell>
          <cell r="O805">
            <v>78</v>
          </cell>
          <cell r="P805">
            <v>84</v>
          </cell>
        </row>
        <row r="806">
          <cell r="N806">
            <v>5</v>
          </cell>
          <cell r="O806">
            <v>64</v>
          </cell>
          <cell r="P806">
            <v>69</v>
          </cell>
        </row>
        <row r="807">
          <cell r="N807">
            <v>3</v>
          </cell>
          <cell r="O807">
            <v>53</v>
          </cell>
          <cell r="P807">
            <v>56</v>
          </cell>
        </row>
        <row r="808">
          <cell r="N808">
            <v>2</v>
          </cell>
          <cell r="O808">
            <v>43</v>
          </cell>
          <cell r="P808">
            <v>45</v>
          </cell>
        </row>
        <row r="809">
          <cell r="N809">
            <v>7</v>
          </cell>
          <cell r="O809">
            <v>52</v>
          </cell>
          <cell r="P809">
            <v>59</v>
          </cell>
        </row>
        <row r="810">
          <cell r="N810">
            <v>2</v>
          </cell>
          <cell r="O810">
            <v>37</v>
          </cell>
          <cell r="P810">
            <v>39</v>
          </cell>
        </row>
        <row r="811">
          <cell r="N811">
            <v>4</v>
          </cell>
          <cell r="O811">
            <v>40</v>
          </cell>
          <cell r="P811">
            <v>44</v>
          </cell>
        </row>
        <row r="812">
          <cell r="N812">
            <v>0</v>
          </cell>
          <cell r="O812">
            <v>20</v>
          </cell>
          <cell r="P812">
            <v>20</v>
          </cell>
        </row>
        <row r="813">
          <cell r="N813">
            <v>3</v>
          </cell>
          <cell r="O813">
            <v>10</v>
          </cell>
          <cell r="P813">
            <v>13</v>
          </cell>
        </row>
        <row r="814">
          <cell r="N814">
            <v>0</v>
          </cell>
          <cell r="O814">
            <v>2</v>
          </cell>
          <cell r="P814">
            <v>2</v>
          </cell>
        </row>
        <row r="815">
          <cell r="N815">
            <v>0</v>
          </cell>
          <cell r="O815">
            <v>1</v>
          </cell>
          <cell r="P815">
            <v>1</v>
          </cell>
        </row>
        <row r="816">
          <cell r="N816">
            <v>0</v>
          </cell>
          <cell r="O816">
            <v>1</v>
          </cell>
          <cell r="P816">
            <v>1</v>
          </cell>
        </row>
        <row r="817">
          <cell r="N817">
            <v>0</v>
          </cell>
          <cell r="O817">
            <v>8</v>
          </cell>
          <cell r="P817">
            <v>8</v>
          </cell>
        </row>
        <row r="818">
          <cell r="N818">
            <v>2</v>
          </cell>
          <cell r="O818">
            <v>21</v>
          </cell>
          <cell r="P818">
            <v>23</v>
          </cell>
        </row>
        <row r="819">
          <cell r="N819">
            <v>7</v>
          </cell>
          <cell r="O819">
            <v>38</v>
          </cell>
          <cell r="P819">
            <v>45</v>
          </cell>
        </row>
        <row r="820">
          <cell r="N820">
            <v>15</v>
          </cell>
          <cell r="O820">
            <v>74</v>
          </cell>
          <cell r="P820">
            <v>89</v>
          </cell>
        </row>
        <row r="821">
          <cell r="N821">
            <v>28</v>
          </cell>
          <cell r="O821">
            <v>89</v>
          </cell>
          <cell r="P821">
            <v>117</v>
          </cell>
        </row>
        <row r="822">
          <cell r="N822">
            <v>48</v>
          </cell>
          <cell r="O822">
            <v>126</v>
          </cell>
          <cell r="P822">
            <v>174</v>
          </cell>
        </row>
        <row r="823">
          <cell r="N823">
            <v>47</v>
          </cell>
          <cell r="O823">
            <v>135</v>
          </cell>
          <cell r="P823">
            <v>182</v>
          </cell>
        </row>
        <row r="824">
          <cell r="N824">
            <v>47</v>
          </cell>
          <cell r="O824">
            <v>114</v>
          </cell>
          <cell r="P824">
            <v>161</v>
          </cell>
        </row>
        <row r="825">
          <cell r="N825">
            <v>52</v>
          </cell>
          <cell r="O825">
            <v>130</v>
          </cell>
          <cell r="P825">
            <v>182</v>
          </cell>
        </row>
        <row r="826">
          <cell r="N826">
            <v>42</v>
          </cell>
          <cell r="O826">
            <v>115</v>
          </cell>
          <cell r="P826">
            <v>157</v>
          </cell>
        </row>
        <row r="827">
          <cell r="N827">
            <v>24</v>
          </cell>
          <cell r="O827">
            <v>97</v>
          </cell>
          <cell r="P827">
            <v>121</v>
          </cell>
        </row>
        <row r="828">
          <cell r="N828">
            <v>13</v>
          </cell>
          <cell r="O828">
            <v>65</v>
          </cell>
          <cell r="P828">
            <v>78</v>
          </cell>
        </row>
        <row r="829">
          <cell r="N829">
            <v>1</v>
          </cell>
          <cell r="O829">
            <v>20</v>
          </cell>
          <cell r="P829">
            <v>21</v>
          </cell>
        </row>
        <row r="830">
          <cell r="N830">
            <v>5</v>
          </cell>
          <cell r="O830">
            <v>21</v>
          </cell>
          <cell r="P830">
            <v>26</v>
          </cell>
        </row>
        <row r="831">
          <cell r="N831">
            <v>5</v>
          </cell>
          <cell r="O831">
            <v>22</v>
          </cell>
          <cell r="P831">
            <v>27</v>
          </cell>
        </row>
        <row r="832">
          <cell r="N832">
            <v>5</v>
          </cell>
          <cell r="O832">
            <v>57</v>
          </cell>
          <cell r="P832">
            <v>62</v>
          </cell>
        </row>
        <row r="833">
          <cell r="N833">
            <v>4</v>
          </cell>
          <cell r="O833">
            <v>26</v>
          </cell>
          <cell r="P833">
            <v>30</v>
          </cell>
        </row>
        <row r="834">
          <cell r="N834">
            <v>1</v>
          </cell>
          <cell r="O834">
            <v>14</v>
          </cell>
          <cell r="P834">
            <v>15</v>
          </cell>
        </row>
        <row r="835">
          <cell r="N835">
            <v>1</v>
          </cell>
          <cell r="O835">
            <v>4</v>
          </cell>
          <cell r="P835">
            <v>5</v>
          </cell>
        </row>
        <row r="836">
          <cell r="N836">
            <v>0</v>
          </cell>
          <cell r="O836">
            <v>3</v>
          </cell>
          <cell r="P836">
            <v>3</v>
          </cell>
        </row>
        <row r="837">
          <cell r="N837">
            <v>0</v>
          </cell>
          <cell r="O837">
            <v>1</v>
          </cell>
          <cell r="P837">
            <v>1</v>
          </cell>
        </row>
        <row r="838">
          <cell r="N838">
            <v>1</v>
          </cell>
          <cell r="O838">
            <v>1</v>
          </cell>
          <cell r="P838">
            <v>2</v>
          </cell>
        </row>
        <row r="839">
          <cell r="N839">
            <v>1</v>
          </cell>
          <cell r="O839">
            <v>9</v>
          </cell>
          <cell r="P839">
            <v>10</v>
          </cell>
        </row>
        <row r="840">
          <cell r="N840">
            <v>1</v>
          </cell>
          <cell r="O840">
            <v>29</v>
          </cell>
          <cell r="P840">
            <v>30</v>
          </cell>
        </row>
        <row r="841">
          <cell r="N841">
            <v>6</v>
          </cell>
          <cell r="O841">
            <v>89</v>
          </cell>
          <cell r="P841">
            <v>95</v>
          </cell>
        </row>
        <row r="842">
          <cell r="N842">
            <v>7</v>
          </cell>
          <cell r="O842">
            <v>223</v>
          </cell>
          <cell r="P842">
            <v>230</v>
          </cell>
        </row>
        <row r="843">
          <cell r="N843">
            <v>3</v>
          </cell>
          <cell r="O843">
            <v>115</v>
          </cell>
          <cell r="P843">
            <v>118</v>
          </cell>
        </row>
        <row r="844">
          <cell r="N844">
            <v>6</v>
          </cell>
          <cell r="O844">
            <v>49</v>
          </cell>
          <cell r="P844">
            <v>55</v>
          </cell>
        </row>
        <row r="845">
          <cell r="N845">
            <v>11</v>
          </cell>
          <cell r="O845">
            <v>36</v>
          </cell>
          <cell r="P845">
            <v>47</v>
          </cell>
        </row>
        <row r="846">
          <cell r="N846">
            <v>7</v>
          </cell>
          <cell r="O846">
            <v>59</v>
          </cell>
          <cell r="P846">
            <v>66</v>
          </cell>
        </row>
        <row r="847">
          <cell r="N847">
            <v>10</v>
          </cell>
          <cell r="O847">
            <v>54</v>
          </cell>
          <cell r="P847">
            <v>64</v>
          </cell>
        </row>
        <row r="848">
          <cell r="N848">
            <v>8</v>
          </cell>
          <cell r="O848">
            <v>52</v>
          </cell>
          <cell r="P848">
            <v>60</v>
          </cell>
        </row>
        <row r="849">
          <cell r="N849">
            <v>4</v>
          </cell>
          <cell r="O849">
            <v>46</v>
          </cell>
          <cell r="P849">
            <v>50</v>
          </cell>
        </row>
        <row r="850">
          <cell r="N850">
            <v>16</v>
          </cell>
          <cell r="O850">
            <v>98</v>
          </cell>
          <cell r="P850">
            <v>114</v>
          </cell>
        </row>
        <row r="851">
          <cell r="N851">
            <v>9</v>
          </cell>
          <cell r="O851">
            <v>207</v>
          </cell>
          <cell r="P851">
            <v>216</v>
          </cell>
        </row>
        <row r="852">
          <cell r="N852">
            <v>5</v>
          </cell>
          <cell r="O852">
            <v>170</v>
          </cell>
          <cell r="P852">
            <v>175</v>
          </cell>
        </row>
        <row r="853">
          <cell r="N853">
            <v>5</v>
          </cell>
          <cell r="O853">
            <v>123</v>
          </cell>
          <cell r="P853">
            <v>128</v>
          </cell>
        </row>
        <row r="854">
          <cell r="N854">
            <v>6</v>
          </cell>
          <cell r="O854">
            <v>82</v>
          </cell>
          <cell r="P854">
            <v>88</v>
          </cell>
        </row>
        <row r="855">
          <cell r="N855">
            <v>3</v>
          </cell>
          <cell r="O855">
            <v>75</v>
          </cell>
          <cell r="P855">
            <v>78</v>
          </cell>
        </row>
        <row r="856">
          <cell r="N856">
            <v>3</v>
          </cell>
          <cell r="O856">
            <v>34</v>
          </cell>
          <cell r="P856">
            <v>37</v>
          </cell>
        </row>
        <row r="857">
          <cell r="N857">
            <v>6</v>
          </cell>
          <cell r="O857">
            <v>19</v>
          </cell>
          <cell r="P857">
            <v>25</v>
          </cell>
        </row>
        <row r="858">
          <cell r="N858">
            <v>4</v>
          </cell>
          <cell r="O858">
            <v>6</v>
          </cell>
          <cell r="P858">
            <v>10</v>
          </cell>
        </row>
        <row r="859">
          <cell r="N859">
            <v>0</v>
          </cell>
          <cell r="O859">
            <v>4</v>
          </cell>
          <cell r="P859">
            <v>4</v>
          </cell>
        </row>
        <row r="860">
          <cell r="N860">
            <v>1</v>
          </cell>
          <cell r="O860">
            <v>1</v>
          </cell>
          <cell r="P860">
            <v>2</v>
          </cell>
        </row>
        <row r="861">
          <cell r="N861">
            <v>0</v>
          </cell>
          <cell r="O861">
            <v>1</v>
          </cell>
          <cell r="P861">
            <v>1</v>
          </cell>
        </row>
        <row r="862">
          <cell r="N862">
            <v>0</v>
          </cell>
          <cell r="O862">
            <v>3</v>
          </cell>
          <cell r="P862">
            <v>3</v>
          </cell>
        </row>
        <row r="863">
          <cell r="N863">
            <v>0</v>
          </cell>
          <cell r="O863">
            <v>2</v>
          </cell>
          <cell r="P863">
            <v>2</v>
          </cell>
        </row>
        <row r="864">
          <cell r="N864">
            <v>0</v>
          </cell>
          <cell r="O864">
            <v>39</v>
          </cell>
          <cell r="P864">
            <v>39</v>
          </cell>
        </row>
        <row r="865">
          <cell r="N865">
            <v>3</v>
          </cell>
          <cell r="O865">
            <v>97</v>
          </cell>
          <cell r="P865">
            <v>100</v>
          </cell>
        </row>
        <row r="866">
          <cell r="N866">
            <v>7</v>
          </cell>
          <cell r="O866">
            <v>236</v>
          </cell>
          <cell r="P866">
            <v>243</v>
          </cell>
        </row>
        <row r="867">
          <cell r="N867">
            <v>7</v>
          </cell>
          <cell r="O867">
            <v>128</v>
          </cell>
          <cell r="P867">
            <v>135</v>
          </cell>
        </row>
        <row r="868">
          <cell r="N868">
            <v>4</v>
          </cell>
          <cell r="O868">
            <v>44</v>
          </cell>
          <cell r="P868">
            <v>48</v>
          </cell>
        </row>
        <row r="869">
          <cell r="N869">
            <v>1</v>
          </cell>
          <cell r="O869">
            <v>49</v>
          </cell>
          <cell r="P869">
            <v>50</v>
          </cell>
        </row>
        <row r="870">
          <cell r="N870">
            <v>2</v>
          </cell>
          <cell r="O870">
            <v>63</v>
          </cell>
          <cell r="P870">
            <v>65</v>
          </cell>
        </row>
        <row r="871">
          <cell r="N871">
            <v>2</v>
          </cell>
          <cell r="O871">
            <v>48</v>
          </cell>
          <cell r="P871">
            <v>50</v>
          </cell>
        </row>
        <row r="872">
          <cell r="N872">
            <v>3</v>
          </cell>
          <cell r="O872">
            <v>61</v>
          </cell>
          <cell r="P872">
            <v>64</v>
          </cell>
        </row>
        <row r="873">
          <cell r="N873">
            <v>6</v>
          </cell>
          <cell r="O873">
            <v>45</v>
          </cell>
          <cell r="P873">
            <v>51</v>
          </cell>
        </row>
        <row r="874">
          <cell r="N874">
            <v>4</v>
          </cell>
          <cell r="O874">
            <v>79</v>
          </cell>
          <cell r="P874">
            <v>83</v>
          </cell>
        </row>
        <row r="875">
          <cell r="N875">
            <v>4</v>
          </cell>
          <cell r="O875">
            <v>172</v>
          </cell>
          <cell r="P875">
            <v>176</v>
          </cell>
        </row>
        <row r="876">
          <cell r="N876">
            <v>1</v>
          </cell>
          <cell r="O876">
            <v>151</v>
          </cell>
          <cell r="P876">
            <v>152</v>
          </cell>
        </row>
        <row r="877">
          <cell r="N877">
            <v>1</v>
          </cell>
          <cell r="O877">
            <v>100</v>
          </cell>
          <cell r="P877">
            <v>101</v>
          </cell>
        </row>
        <row r="878">
          <cell r="N878">
            <v>3</v>
          </cell>
          <cell r="O878">
            <v>53</v>
          </cell>
          <cell r="P878">
            <v>56</v>
          </cell>
        </row>
        <row r="879">
          <cell r="N879">
            <v>8</v>
          </cell>
          <cell r="O879">
            <v>46</v>
          </cell>
          <cell r="P879">
            <v>54</v>
          </cell>
        </row>
        <row r="880">
          <cell r="N880">
            <v>0</v>
          </cell>
          <cell r="O880">
            <v>29</v>
          </cell>
          <cell r="P880">
            <v>29</v>
          </cell>
        </row>
        <row r="881">
          <cell r="N881">
            <v>3</v>
          </cell>
          <cell r="O881">
            <v>9</v>
          </cell>
          <cell r="P881">
            <v>12</v>
          </cell>
        </row>
        <row r="882">
          <cell r="N882">
            <v>0</v>
          </cell>
          <cell r="O882">
            <v>17</v>
          </cell>
          <cell r="P882">
            <v>17</v>
          </cell>
        </row>
        <row r="883">
          <cell r="N883">
            <v>0</v>
          </cell>
          <cell r="O883">
            <v>7</v>
          </cell>
          <cell r="P883">
            <v>7</v>
          </cell>
        </row>
        <row r="884">
          <cell r="N884">
            <v>1</v>
          </cell>
          <cell r="O884">
            <v>2</v>
          </cell>
          <cell r="P884">
            <v>3</v>
          </cell>
        </row>
        <row r="885">
          <cell r="N885">
            <v>0</v>
          </cell>
          <cell r="O885">
            <v>2</v>
          </cell>
          <cell r="P885">
            <v>2</v>
          </cell>
        </row>
        <row r="886">
          <cell r="N886">
            <v>0</v>
          </cell>
          <cell r="O886">
            <v>7</v>
          </cell>
          <cell r="P886">
            <v>7</v>
          </cell>
        </row>
        <row r="887">
          <cell r="N887">
            <v>0</v>
          </cell>
          <cell r="O887">
            <v>43</v>
          </cell>
          <cell r="P887">
            <v>43</v>
          </cell>
        </row>
        <row r="888">
          <cell r="N888">
            <v>4</v>
          </cell>
          <cell r="O888">
            <v>95</v>
          </cell>
          <cell r="P888">
            <v>99</v>
          </cell>
        </row>
        <row r="889">
          <cell r="N889">
            <v>1</v>
          </cell>
          <cell r="O889">
            <v>198</v>
          </cell>
          <cell r="P889">
            <v>199</v>
          </cell>
        </row>
        <row r="890">
          <cell r="N890">
            <v>4</v>
          </cell>
          <cell r="O890">
            <v>119</v>
          </cell>
          <cell r="P890">
            <v>123</v>
          </cell>
        </row>
        <row r="891">
          <cell r="N891">
            <v>8</v>
          </cell>
          <cell r="O891">
            <v>51</v>
          </cell>
          <cell r="P891">
            <v>59</v>
          </cell>
        </row>
        <row r="892">
          <cell r="N892">
            <v>1</v>
          </cell>
          <cell r="O892">
            <v>40</v>
          </cell>
          <cell r="P892">
            <v>41</v>
          </cell>
        </row>
        <row r="893">
          <cell r="N893">
            <v>4</v>
          </cell>
          <cell r="O893">
            <v>57</v>
          </cell>
          <cell r="P893">
            <v>61</v>
          </cell>
        </row>
        <row r="894">
          <cell r="N894">
            <v>2</v>
          </cell>
          <cell r="O894">
            <v>67</v>
          </cell>
          <cell r="P894">
            <v>69</v>
          </cell>
        </row>
        <row r="895">
          <cell r="N895">
            <v>2</v>
          </cell>
          <cell r="O895">
            <v>56</v>
          </cell>
          <cell r="P895">
            <v>58</v>
          </cell>
        </row>
        <row r="896">
          <cell r="N896">
            <v>3</v>
          </cell>
          <cell r="O896">
            <v>61</v>
          </cell>
          <cell r="P896">
            <v>64</v>
          </cell>
        </row>
        <row r="897">
          <cell r="N897">
            <v>7</v>
          </cell>
          <cell r="O897">
            <v>72</v>
          </cell>
          <cell r="P897">
            <v>79</v>
          </cell>
        </row>
        <row r="898">
          <cell r="N898">
            <v>9</v>
          </cell>
          <cell r="O898">
            <v>157</v>
          </cell>
          <cell r="P898">
            <v>166</v>
          </cell>
        </row>
        <row r="899">
          <cell r="N899">
            <v>2</v>
          </cell>
          <cell r="O899">
            <v>168</v>
          </cell>
          <cell r="P899">
            <v>170</v>
          </cell>
        </row>
        <row r="900">
          <cell r="N900">
            <v>1</v>
          </cell>
          <cell r="O900">
            <v>87</v>
          </cell>
          <cell r="P900">
            <v>88</v>
          </cell>
        </row>
        <row r="901">
          <cell r="N901">
            <v>0</v>
          </cell>
          <cell r="O901">
            <v>84</v>
          </cell>
          <cell r="P901">
            <v>84</v>
          </cell>
        </row>
        <row r="902">
          <cell r="N902">
            <v>0</v>
          </cell>
          <cell r="O902">
            <v>83</v>
          </cell>
          <cell r="P902">
            <v>83</v>
          </cell>
        </row>
        <row r="903">
          <cell r="N903">
            <v>4</v>
          </cell>
          <cell r="O903">
            <v>42</v>
          </cell>
          <cell r="P903">
            <v>46</v>
          </cell>
        </row>
        <row r="904">
          <cell r="N904">
            <v>0</v>
          </cell>
          <cell r="O904">
            <v>37</v>
          </cell>
          <cell r="P904">
            <v>37</v>
          </cell>
        </row>
        <row r="905">
          <cell r="N905">
            <v>0</v>
          </cell>
          <cell r="O905">
            <v>16</v>
          </cell>
          <cell r="P905">
            <v>16</v>
          </cell>
        </row>
        <row r="906">
          <cell r="N906">
            <v>0</v>
          </cell>
          <cell r="O906">
            <v>7</v>
          </cell>
          <cell r="P906">
            <v>7</v>
          </cell>
        </row>
        <row r="907">
          <cell r="N907">
            <v>0</v>
          </cell>
          <cell r="O907">
            <v>3</v>
          </cell>
          <cell r="P907">
            <v>3</v>
          </cell>
        </row>
        <row r="908">
          <cell r="N908">
            <v>0</v>
          </cell>
          <cell r="O908">
            <v>1</v>
          </cell>
          <cell r="P908">
            <v>1</v>
          </cell>
        </row>
        <row r="909">
          <cell r="N909">
            <v>0</v>
          </cell>
          <cell r="O909">
            <v>6</v>
          </cell>
          <cell r="P909">
            <v>6</v>
          </cell>
        </row>
        <row r="910">
          <cell r="N910">
            <v>0</v>
          </cell>
          <cell r="O910">
            <v>26</v>
          </cell>
          <cell r="P910">
            <v>26</v>
          </cell>
        </row>
        <row r="911">
          <cell r="N911">
            <v>0</v>
          </cell>
          <cell r="O911">
            <v>99</v>
          </cell>
          <cell r="P911">
            <v>99</v>
          </cell>
        </row>
        <row r="912">
          <cell r="N912">
            <v>5</v>
          </cell>
          <cell r="O912">
            <v>173</v>
          </cell>
          <cell r="P912">
            <v>178</v>
          </cell>
        </row>
        <row r="913">
          <cell r="N913">
            <v>1</v>
          </cell>
          <cell r="O913">
            <v>121</v>
          </cell>
          <cell r="P913">
            <v>122</v>
          </cell>
        </row>
        <row r="914">
          <cell r="N914">
            <v>1</v>
          </cell>
          <cell r="O914">
            <v>34</v>
          </cell>
          <cell r="P914">
            <v>35</v>
          </cell>
        </row>
        <row r="915">
          <cell r="N915">
            <v>1</v>
          </cell>
          <cell r="O915">
            <v>44</v>
          </cell>
          <cell r="P915">
            <v>45</v>
          </cell>
        </row>
        <row r="916">
          <cell r="N916">
            <v>4</v>
          </cell>
          <cell r="O916">
            <v>65</v>
          </cell>
          <cell r="P916">
            <v>69</v>
          </cell>
        </row>
        <row r="917">
          <cell r="N917">
            <v>3</v>
          </cell>
          <cell r="O917">
            <v>59</v>
          </cell>
          <cell r="P917">
            <v>62</v>
          </cell>
        </row>
        <row r="918">
          <cell r="N918">
            <v>6</v>
          </cell>
          <cell r="O918">
            <v>42</v>
          </cell>
          <cell r="P918">
            <v>48</v>
          </cell>
        </row>
        <row r="919">
          <cell r="N919">
            <v>0</v>
          </cell>
          <cell r="O919">
            <v>50</v>
          </cell>
          <cell r="P919">
            <v>50</v>
          </cell>
        </row>
        <row r="920">
          <cell r="N920">
            <v>4</v>
          </cell>
          <cell r="O920">
            <v>76</v>
          </cell>
          <cell r="P920">
            <v>80</v>
          </cell>
        </row>
        <row r="921">
          <cell r="N921">
            <v>6</v>
          </cell>
          <cell r="O921">
            <v>159</v>
          </cell>
          <cell r="P921">
            <v>165</v>
          </cell>
        </row>
        <row r="922">
          <cell r="N922">
            <v>3</v>
          </cell>
          <cell r="O922">
            <v>157</v>
          </cell>
          <cell r="P922">
            <v>160</v>
          </cell>
        </row>
        <row r="923">
          <cell r="N923">
            <v>2</v>
          </cell>
          <cell r="O923">
            <v>110</v>
          </cell>
          <cell r="P923">
            <v>112</v>
          </cell>
        </row>
        <row r="924">
          <cell r="N924">
            <v>4</v>
          </cell>
          <cell r="O924">
            <v>93</v>
          </cell>
          <cell r="P924">
            <v>97</v>
          </cell>
        </row>
        <row r="925">
          <cell r="N925">
            <v>2</v>
          </cell>
          <cell r="O925">
            <v>70</v>
          </cell>
          <cell r="P925">
            <v>72</v>
          </cell>
        </row>
        <row r="926">
          <cell r="N926">
            <v>4</v>
          </cell>
          <cell r="O926">
            <v>47</v>
          </cell>
          <cell r="P926">
            <v>51</v>
          </cell>
        </row>
        <row r="927">
          <cell r="N927">
            <v>1</v>
          </cell>
          <cell r="O927">
            <v>33</v>
          </cell>
          <cell r="P927">
            <v>34</v>
          </cell>
        </row>
        <row r="928">
          <cell r="N928">
            <v>2</v>
          </cell>
          <cell r="O928">
            <v>12</v>
          </cell>
          <cell r="P928">
            <v>14</v>
          </cell>
        </row>
        <row r="929">
          <cell r="N929">
            <v>1</v>
          </cell>
          <cell r="O929">
            <v>6</v>
          </cell>
          <cell r="P929">
            <v>7</v>
          </cell>
        </row>
        <row r="930">
          <cell r="N930">
            <v>0</v>
          </cell>
          <cell r="O930">
            <v>3</v>
          </cell>
          <cell r="P930">
            <v>3</v>
          </cell>
        </row>
        <row r="931">
          <cell r="N931">
            <v>0</v>
          </cell>
          <cell r="O931">
            <v>4</v>
          </cell>
          <cell r="P931">
            <v>4</v>
          </cell>
        </row>
        <row r="932">
          <cell r="N932">
            <v>1</v>
          </cell>
          <cell r="O932">
            <v>23</v>
          </cell>
          <cell r="P932">
            <v>24</v>
          </cell>
        </row>
        <row r="933">
          <cell r="N933">
            <v>1</v>
          </cell>
          <cell r="O933">
            <v>73</v>
          </cell>
          <cell r="P933">
            <v>74</v>
          </cell>
        </row>
        <row r="934">
          <cell r="N934">
            <v>4</v>
          </cell>
          <cell r="O934">
            <v>212</v>
          </cell>
          <cell r="P934">
            <v>216</v>
          </cell>
        </row>
        <row r="935">
          <cell r="N935">
            <v>8</v>
          </cell>
          <cell r="O935">
            <v>132</v>
          </cell>
          <cell r="P935">
            <v>140</v>
          </cell>
        </row>
        <row r="936">
          <cell r="N936">
            <v>5</v>
          </cell>
          <cell r="O936">
            <v>39</v>
          </cell>
          <cell r="P936">
            <v>44</v>
          </cell>
        </row>
        <row r="937">
          <cell r="N937">
            <v>12</v>
          </cell>
          <cell r="O937">
            <v>52</v>
          </cell>
          <cell r="P937">
            <v>64</v>
          </cell>
        </row>
        <row r="938">
          <cell r="N938">
            <v>7</v>
          </cell>
          <cell r="O938">
            <v>64</v>
          </cell>
          <cell r="P938">
            <v>71</v>
          </cell>
        </row>
        <row r="939">
          <cell r="N939">
            <v>21</v>
          </cell>
          <cell r="O939">
            <v>89</v>
          </cell>
          <cell r="P939">
            <v>110</v>
          </cell>
        </row>
        <row r="940">
          <cell r="N940">
            <v>17</v>
          </cell>
          <cell r="O940">
            <v>67</v>
          </cell>
          <cell r="P940">
            <v>84</v>
          </cell>
        </row>
        <row r="941">
          <cell r="N941">
            <v>12</v>
          </cell>
          <cell r="O941">
            <v>62</v>
          </cell>
          <cell r="P941">
            <v>74</v>
          </cell>
        </row>
        <row r="942">
          <cell r="N942">
            <v>14</v>
          </cell>
          <cell r="O942">
            <v>111</v>
          </cell>
          <cell r="P942">
            <v>125</v>
          </cell>
        </row>
        <row r="943">
          <cell r="N943">
            <v>18</v>
          </cell>
          <cell r="O943">
            <v>193</v>
          </cell>
          <cell r="P943">
            <v>211</v>
          </cell>
        </row>
        <row r="944">
          <cell r="N944">
            <v>9</v>
          </cell>
          <cell r="O944">
            <v>165</v>
          </cell>
          <cell r="P944">
            <v>174</v>
          </cell>
        </row>
        <row r="945">
          <cell r="N945">
            <v>7</v>
          </cell>
          <cell r="O945">
            <v>94</v>
          </cell>
          <cell r="P945">
            <v>101</v>
          </cell>
        </row>
        <row r="946">
          <cell r="N946">
            <v>2</v>
          </cell>
          <cell r="O946">
            <v>61</v>
          </cell>
          <cell r="P946">
            <v>63</v>
          </cell>
        </row>
        <row r="947">
          <cell r="N947">
            <v>1</v>
          </cell>
          <cell r="O947">
            <v>46</v>
          </cell>
          <cell r="P947">
            <v>47</v>
          </cell>
        </row>
        <row r="948">
          <cell r="N948">
            <v>2</v>
          </cell>
          <cell r="O948">
            <v>41</v>
          </cell>
          <cell r="P948">
            <v>43</v>
          </cell>
        </row>
        <row r="949">
          <cell r="N949">
            <v>5</v>
          </cell>
          <cell r="O949">
            <v>48</v>
          </cell>
          <cell r="P949">
            <v>53</v>
          </cell>
        </row>
        <row r="950">
          <cell r="N950">
            <v>3</v>
          </cell>
          <cell r="O950">
            <v>27</v>
          </cell>
          <cell r="P950">
            <v>30</v>
          </cell>
        </row>
        <row r="951">
          <cell r="N951">
            <v>2</v>
          </cell>
          <cell r="O951">
            <v>22</v>
          </cell>
          <cell r="P951">
            <v>24</v>
          </cell>
        </row>
        <row r="952">
          <cell r="N952">
            <v>2</v>
          </cell>
          <cell r="O952">
            <v>13</v>
          </cell>
          <cell r="P952">
            <v>15</v>
          </cell>
        </row>
        <row r="953">
          <cell r="N953">
            <v>3</v>
          </cell>
          <cell r="O953">
            <v>7</v>
          </cell>
          <cell r="P953">
            <v>10</v>
          </cell>
        </row>
        <row r="954">
          <cell r="N954">
            <v>0</v>
          </cell>
          <cell r="O954">
            <v>4</v>
          </cell>
          <cell r="P954">
            <v>4</v>
          </cell>
        </row>
        <row r="955">
          <cell r="N955">
            <v>0</v>
          </cell>
          <cell r="O955">
            <v>1</v>
          </cell>
          <cell r="P955">
            <v>1</v>
          </cell>
        </row>
        <row r="956">
          <cell r="N956">
            <v>1</v>
          </cell>
          <cell r="O956">
            <v>1</v>
          </cell>
          <cell r="P956">
            <v>2</v>
          </cell>
        </row>
        <row r="957">
          <cell r="N957">
            <v>2</v>
          </cell>
          <cell r="O957">
            <v>9</v>
          </cell>
          <cell r="P957">
            <v>11</v>
          </cell>
        </row>
        <row r="958">
          <cell r="N958">
            <v>2</v>
          </cell>
          <cell r="O958">
            <v>28</v>
          </cell>
          <cell r="P958">
            <v>30</v>
          </cell>
        </row>
        <row r="959">
          <cell r="N959">
            <v>5</v>
          </cell>
          <cell r="O959">
            <v>38</v>
          </cell>
          <cell r="P959">
            <v>43</v>
          </cell>
        </row>
        <row r="960">
          <cell r="N960">
            <v>13</v>
          </cell>
          <cell r="O960">
            <v>71</v>
          </cell>
          <cell r="P960">
            <v>84</v>
          </cell>
        </row>
        <row r="961">
          <cell r="N961">
            <v>30</v>
          </cell>
          <cell r="O961">
            <v>84</v>
          </cell>
          <cell r="P961">
            <v>114</v>
          </cell>
        </row>
        <row r="962">
          <cell r="N962">
            <v>27</v>
          </cell>
          <cell r="O962">
            <v>93</v>
          </cell>
          <cell r="P962">
            <v>120</v>
          </cell>
        </row>
        <row r="963">
          <cell r="N963">
            <v>32</v>
          </cell>
          <cell r="O963">
            <v>103</v>
          </cell>
          <cell r="P963">
            <v>135</v>
          </cell>
        </row>
        <row r="964">
          <cell r="N964">
            <v>30</v>
          </cell>
          <cell r="O964">
            <v>90</v>
          </cell>
          <cell r="P964">
            <v>120</v>
          </cell>
        </row>
        <row r="965">
          <cell r="N965">
            <v>47</v>
          </cell>
          <cell r="O965">
            <v>127</v>
          </cell>
          <cell r="P965">
            <v>174</v>
          </cell>
        </row>
        <row r="966">
          <cell r="N966">
            <v>42</v>
          </cell>
          <cell r="O966">
            <v>103</v>
          </cell>
          <cell r="P966">
            <v>145</v>
          </cell>
        </row>
        <row r="967">
          <cell r="N967">
            <v>24</v>
          </cell>
          <cell r="O967">
            <v>113</v>
          </cell>
          <cell r="P967">
            <v>137</v>
          </cell>
        </row>
        <row r="968">
          <cell r="N968">
            <v>4</v>
          </cell>
          <cell r="O968">
            <v>60</v>
          </cell>
          <cell r="P968">
            <v>64</v>
          </cell>
        </row>
        <row r="969">
          <cell r="N969">
            <v>2</v>
          </cell>
          <cell r="O969">
            <v>39</v>
          </cell>
          <cell r="P969">
            <v>41</v>
          </cell>
        </row>
        <row r="970">
          <cell r="N970">
            <v>1</v>
          </cell>
          <cell r="O970">
            <v>39</v>
          </cell>
          <cell r="P970">
            <v>40</v>
          </cell>
        </row>
        <row r="971">
          <cell r="N971">
            <v>9</v>
          </cell>
          <cell r="O971">
            <v>42</v>
          </cell>
          <cell r="P971">
            <v>51</v>
          </cell>
        </row>
        <row r="972">
          <cell r="N972">
            <v>6</v>
          </cell>
          <cell r="O972">
            <v>39</v>
          </cell>
          <cell r="P972">
            <v>45</v>
          </cell>
        </row>
        <row r="973">
          <cell r="N973">
            <v>1</v>
          </cell>
          <cell r="O973">
            <v>31</v>
          </cell>
          <cell r="P973">
            <v>32</v>
          </cell>
        </row>
        <row r="974">
          <cell r="N974">
            <v>5</v>
          </cell>
          <cell r="O974">
            <v>34</v>
          </cell>
          <cell r="P974">
            <v>39</v>
          </cell>
        </row>
        <row r="975">
          <cell r="N975">
            <v>1</v>
          </cell>
          <cell r="O975">
            <v>23</v>
          </cell>
          <cell r="P975">
            <v>24</v>
          </cell>
        </row>
        <row r="976">
          <cell r="N976">
            <v>1</v>
          </cell>
          <cell r="O976">
            <v>19</v>
          </cell>
          <cell r="P976">
            <v>20</v>
          </cell>
        </row>
        <row r="977">
          <cell r="N977">
            <v>4</v>
          </cell>
          <cell r="O977">
            <v>8</v>
          </cell>
          <cell r="P977">
            <v>12</v>
          </cell>
        </row>
        <row r="978">
          <cell r="N978">
            <v>0</v>
          </cell>
          <cell r="O978">
            <v>2</v>
          </cell>
          <cell r="P978">
            <v>2</v>
          </cell>
        </row>
        <row r="979">
          <cell r="N979">
            <v>2</v>
          </cell>
          <cell r="O979">
            <v>3</v>
          </cell>
          <cell r="P979">
            <v>5</v>
          </cell>
        </row>
        <row r="980">
          <cell r="N980">
            <v>0</v>
          </cell>
          <cell r="O980">
            <v>3</v>
          </cell>
          <cell r="P980">
            <v>3</v>
          </cell>
        </row>
        <row r="981">
          <cell r="N981">
            <v>1</v>
          </cell>
          <cell r="O981">
            <v>11</v>
          </cell>
          <cell r="P981">
            <v>12</v>
          </cell>
        </row>
        <row r="982">
          <cell r="N982">
            <v>12</v>
          </cell>
          <cell r="O982">
            <v>35</v>
          </cell>
          <cell r="P982">
            <v>47</v>
          </cell>
        </row>
        <row r="983">
          <cell r="N983">
            <v>19</v>
          </cell>
          <cell r="O983">
            <v>86</v>
          </cell>
          <cell r="P983">
            <v>105</v>
          </cell>
        </row>
        <row r="984">
          <cell r="N984">
            <v>26</v>
          </cell>
          <cell r="O984">
            <v>86</v>
          </cell>
          <cell r="P984">
            <v>112</v>
          </cell>
        </row>
        <row r="985">
          <cell r="N985">
            <v>58</v>
          </cell>
          <cell r="O985">
            <v>94</v>
          </cell>
          <cell r="P985">
            <v>152</v>
          </cell>
        </row>
        <row r="986">
          <cell r="N986">
            <v>62</v>
          </cell>
          <cell r="O986">
            <v>92</v>
          </cell>
          <cell r="P986">
            <v>154</v>
          </cell>
        </row>
        <row r="987">
          <cell r="N987">
            <v>51</v>
          </cell>
          <cell r="O987">
            <v>110</v>
          </cell>
          <cell r="P987">
            <v>161</v>
          </cell>
        </row>
        <row r="988">
          <cell r="N988">
            <v>40</v>
          </cell>
          <cell r="O988">
            <v>122</v>
          </cell>
          <cell r="P988">
            <v>162</v>
          </cell>
        </row>
        <row r="989">
          <cell r="N989">
            <v>28</v>
          </cell>
          <cell r="O989">
            <v>106</v>
          </cell>
          <cell r="P989">
            <v>134</v>
          </cell>
        </row>
        <row r="990">
          <cell r="N990">
            <v>30</v>
          </cell>
          <cell r="O990">
            <v>95</v>
          </cell>
          <cell r="P990">
            <v>125</v>
          </cell>
        </row>
        <row r="991">
          <cell r="N991">
            <v>17</v>
          </cell>
          <cell r="O991">
            <v>78</v>
          </cell>
          <cell r="P991">
            <v>95</v>
          </cell>
        </row>
        <row r="992">
          <cell r="N992">
            <v>11</v>
          </cell>
          <cell r="O992">
            <v>50</v>
          </cell>
          <cell r="P992">
            <v>61</v>
          </cell>
        </row>
        <row r="993">
          <cell r="N993">
            <v>15</v>
          </cell>
          <cell r="O993">
            <v>32</v>
          </cell>
          <cell r="P993">
            <v>47</v>
          </cell>
        </row>
        <row r="994">
          <cell r="N994">
            <v>6</v>
          </cell>
          <cell r="O994">
            <v>45</v>
          </cell>
          <cell r="P994">
            <v>51</v>
          </cell>
        </row>
        <row r="995">
          <cell r="N995">
            <v>5</v>
          </cell>
          <cell r="O995">
            <v>31</v>
          </cell>
          <cell r="P995">
            <v>36</v>
          </cell>
        </row>
        <row r="996">
          <cell r="N996">
            <v>3</v>
          </cell>
          <cell r="O996">
            <v>27</v>
          </cell>
          <cell r="P996">
            <v>30</v>
          </cell>
        </row>
        <row r="997">
          <cell r="N997">
            <v>3</v>
          </cell>
          <cell r="O997">
            <v>8</v>
          </cell>
          <cell r="P997">
            <v>11</v>
          </cell>
        </row>
        <row r="998">
          <cell r="N998">
            <v>1</v>
          </cell>
          <cell r="O998">
            <v>6</v>
          </cell>
          <cell r="P998">
            <v>7</v>
          </cell>
        </row>
        <row r="999">
          <cell r="N999">
            <v>0</v>
          </cell>
          <cell r="O999">
            <v>2</v>
          </cell>
          <cell r="P999">
            <v>2</v>
          </cell>
        </row>
        <row r="1000">
          <cell r="N1000">
            <v>1</v>
          </cell>
          <cell r="O1000">
            <v>1</v>
          </cell>
          <cell r="P1000">
            <v>2</v>
          </cell>
        </row>
        <row r="1001">
          <cell r="N1001">
            <v>0</v>
          </cell>
          <cell r="O1001">
            <v>2</v>
          </cell>
          <cell r="P1001">
            <v>2</v>
          </cell>
        </row>
        <row r="1002">
          <cell r="N1002">
            <v>0</v>
          </cell>
          <cell r="O1002">
            <v>3</v>
          </cell>
          <cell r="P1002">
            <v>3</v>
          </cell>
        </row>
        <row r="1003">
          <cell r="N1003">
            <v>1</v>
          </cell>
          <cell r="O1003">
            <v>25</v>
          </cell>
          <cell r="P1003">
            <v>26</v>
          </cell>
        </row>
        <row r="1004">
          <cell r="N1004">
            <v>2</v>
          </cell>
          <cell r="O1004">
            <v>96</v>
          </cell>
          <cell r="P1004">
            <v>98</v>
          </cell>
        </row>
      </sheetData>
      <sheetData sheetId="7"/>
      <sheetData sheetId="8"/>
      <sheetData sheetId="9"/>
      <sheetData sheetId="10"/>
      <sheetData sheetId="11"/>
      <sheetData sheetId="1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Bike_Rental_Demand_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Bike_Rental_Demand_Dashboar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Bike_Rental_Demand_Dashboar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Bike_Rental_Demand_Dashboard.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0.707877546294" createdVersion="6" refreshedVersion="6" minRefreshableVersion="3" recordCount="1000" xr:uid="{21377CB3-C2B3-4A1F-8745-51E8EBD3880E}">
  <cacheSource type="worksheet">
    <worksheetSource name="Table5" r:id="rId2"/>
  </cacheSource>
  <cacheFields count="17">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unt="1">
        <s v="2011-12"/>
      </sharedItems>
    </cacheField>
    <cacheField name="MONTH" numFmtId="0">
      <sharedItems count="2">
        <s v="Jan"/>
        <s v="Feb"/>
      </sharedItems>
    </cacheField>
    <cacheField name="HOUR" numFmtId="18">
      <sharedItems containsSemiMixedTypes="0" containsNonDate="0" containsDate="1" containsString="0" minDate="1899-12-30T00:00:00" maxDate="1900-02-09T15:00:00" count="1000">
        <d v="1899-12-30T04:00:00"/>
        <d v="1899-12-30T05:00:00"/>
        <d v="1899-12-31T06:00:00"/>
        <d v="1900-01-01T01:00:00"/>
        <d v="1900-01-01T23:00:00"/>
        <d v="1900-01-03T22:00:00"/>
        <d v="1900-01-04T20:00:00"/>
        <d v="1900-01-04T21:00:00"/>
        <d v="1900-01-05T21:00:00"/>
        <d v="1900-01-06T21:00:00"/>
        <d v="1900-01-06T22:00:00"/>
        <d v="1900-01-06T23:00:00"/>
        <d v="1900-01-07T18:00:00"/>
        <d v="1900-01-07T20:00:00"/>
        <d v="1900-01-09T17:00:00"/>
        <d v="1900-01-11T15:00:00"/>
        <d v="1900-01-11T16:00:00"/>
        <d v="1900-01-12T17:00:00"/>
        <d v="1900-01-13T16:00:00"/>
        <d v="1900-01-13T18:00:00"/>
        <d v="1900-01-14T17:00:00"/>
        <d v="1900-01-17T02:00:00"/>
        <d v="1900-01-17T03:00:00"/>
        <d v="1900-01-18T02:00:00"/>
        <d v="1900-01-18T03:00:00"/>
        <d v="1900-01-20T03:00:00"/>
        <d v="1900-01-20T22:00:00"/>
        <d v="1900-01-20T23:00:00"/>
        <d v="1900-01-21T00:00:00"/>
        <d v="1900-01-21T23:00:00"/>
        <d v="1900-01-22T22:00:00"/>
        <d v="1900-01-23T22:00:00"/>
        <d v="1900-01-25T21:00:00"/>
        <d v="1900-01-26T18:00:00"/>
        <d v="1900-01-28T18:00:00"/>
        <d v="1900-01-28T19:00:00"/>
        <d v="1900-01-29T18:00:00"/>
        <d v="1900-01-30T16:00:00"/>
        <d v="1900-01-30T17:00:00"/>
        <d v="1900-02-01T18:00:00"/>
        <d v="1900-02-01T19:00:00"/>
        <d v="1900-02-02T16:00:00"/>
        <d v="1900-02-03T16:00:00"/>
        <d v="1900-02-05T15:00:00"/>
        <d v="1900-02-07T14:00:00"/>
        <d v="1899-12-30T06:00:00"/>
        <d v="1899-12-31T05:00:00"/>
        <d v="1900-01-01T00:00:00"/>
        <d v="1900-01-01T22:00:00"/>
        <d v="1900-01-02T00:00:00"/>
        <d v="1900-01-02T22:00:00"/>
        <d v="1900-01-02T23:00:00"/>
        <d v="1900-01-03T21:00:00"/>
        <d v="1900-01-05T23:00:00"/>
        <d v="1900-01-10T14:00:00"/>
        <d v="1900-01-10T15:00:00"/>
        <d v="1900-01-13T17:00:00"/>
        <d v="1900-01-14T15:00:00"/>
        <d v="1900-01-16T03:00:00"/>
        <d v="1900-01-17T01:00:00"/>
        <d v="1900-01-18T01:00:00"/>
        <d v="1900-01-19T04:00:00"/>
        <d v="1900-01-20T04:00:00"/>
        <d v="1900-01-21T22:00:00"/>
        <d v="1900-01-23T21:00:00"/>
        <d v="1900-01-24T23:00:00"/>
        <d v="1900-01-26T19:00:00"/>
        <d v="1900-01-26T20:00:00"/>
        <d v="1900-01-27T18:00:00"/>
        <d v="1900-01-27T19:00:00"/>
        <d v="1900-01-28T15:00:00"/>
        <d v="1900-01-29T17:00:00"/>
        <d v="1900-01-29T19:00:00"/>
        <d v="1900-02-01T17:00:00"/>
        <d v="1900-02-02T17:00:00"/>
        <d v="1900-02-03T15:00:00"/>
        <d v="1900-02-03T18:00:00"/>
        <d v="1900-02-04T16:00:00"/>
        <d v="1900-02-07T15:00:00"/>
        <d v="1900-02-08T13:00:00"/>
        <d v="1900-02-09T10:00:00"/>
        <d v="1900-02-09T11:00:00"/>
        <d v="1900-02-09T12:00:00"/>
        <d v="1899-12-30T07:00:00"/>
        <d v="1899-12-31T04:00:00"/>
        <d v="1900-01-01T02:00:00"/>
        <d v="1900-01-03T00:00:00"/>
        <d v="1900-01-07T19:00:00"/>
        <d v="1900-01-07T21:00:00"/>
        <d v="1900-01-07T22:00:00"/>
        <d v="1900-01-08T18:00:00"/>
        <d v="1900-01-08T19:00:00"/>
        <d v="1900-01-10T16:00:00"/>
        <d v="1900-01-10T18:00:00"/>
        <d v="1900-01-12T18:00:00"/>
        <d v="1900-01-13T19:00:00"/>
        <d v="1900-01-14T16:00:00"/>
        <d v="1900-01-15T12:00:00"/>
        <d v="1900-01-16T00:00:00"/>
        <d v="1900-01-16T02:00:00"/>
        <d v="1900-01-19T03:00:00"/>
        <d v="1900-01-20T02:00:00"/>
        <d v="1900-01-23T20:00:00"/>
        <d v="1900-01-24T22:00:00"/>
        <d v="1900-01-25T22:00:00"/>
        <d v="1900-01-25T23:00:00"/>
        <d v="1900-01-27T17:00:00"/>
        <d v="1900-01-27T20:00:00"/>
        <d v="1900-01-28T16:00:00"/>
        <d v="1900-01-28T20:00:00"/>
        <d v="1900-02-02T15:00:00"/>
        <d v="1900-02-03T17:00:00"/>
        <d v="1900-02-04T15:00:00"/>
        <d v="1900-02-05T14:00:00"/>
        <d v="1900-02-06T13:00:00"/>
        <d v="1900-02-08T15:00:00"/>
        <d v="1900-02-09T13:00:00"/>
        <d v="1900-01-02T01:00:00"/>
        <d v="1900-01-03T20:00:00"/>
        <d v="1900-01-03T23:00:00"/>
        <d v="1900-01-06T20:00:00"/>
        <d v="1900-01-10T17:00:00"/>
        <d v="1900-01-15T11:00:00"/>
        <d v="1900-01-23T23:00:00"/>
        <d v="1900-01-28T17:00:00"/>
        <d v="1900-01-31T19:00:00"/>
        <d v="1900-01-31T20:00:00"/>
        <d v="1900-02-03T14:00:00"/>
        <d v="1900-02-06T14:00:00"/>
        <d v="1900-02-07T13:00:00"/>
        <d v="1899-12-31T23:00:00"/>
        <d v="1900-01-01T21:00:00"/>
        <d v="1900-01-04T22:00:00"/>
        <d v="1900-01-05T22:00:00"/>
        <d v="1900-01-07T17:00:00"/>
        <d v="1900-01-09T18:00:00"/>
        <d v="1900-01-11T14:00:00"/>
        <d v="1900-01-12T16:00:00"/>
        <d v="1900-01-14T18:00:00"/>
        <d v="1900-01-17T00:00:00"/>
        <d v="1900-01-18T04:00:00"/>
        <d v="1900-01-20T01:00:00"/>
        <d v="1900-01-21T01:00:00"/>
        <d v="1900-01-21T21:00:00"/>
        <d v="1900-01-22T20:00:00"/>
        <d v="1900-01-25T00:00:00"/>
        <d v="1900-01-29T16:00:00"/>
        <d v="1900-02-02T14:00:00"/>
        <d v="1900-02-08T14:00:00"/>
        <d v="1899-12-31T03:00:00"/>
        <d v="1900-01-02T20:00:00"/>
        <d v="1900-01-02T21:00:00"/>
        <d v="1900-01-07T00:00:00"/>
        <d v="1900-01-07T16:00:00"/>
        <d v="1900-01-08T20:00:00"/>
        <d v="1900-01-09T16:00:00"/>
        <d v="1900-01-17T04:00:00"/>
        <d v="1900-01-18T00:00:00"/>
        <d v="1900-02-05T16:00:00"/>
        <d v="1900-01-04T19:00:00"/>
        <d v="1900-01-05T20:00:00"/>
        <d v="1900-01-09T15:00:00"/>
        <d v="1900-01-10T13:00:00"/>
        <d v="1900-01-16T01:00:00"/>
        <d v="1900-01-16T04:00:00"/>
        <d v="1900-01-19T02:00:00"/>
        <d v="1900-01-20T21:00:00"/>
        <d v="1900-01-26T16:00:00"/>
        <d v="1900-01-26T17:00:00"/>
        <d v="1900-01-30T15:00:00"/>
        <d v="1900-01-30T18:00:00"/>
        <d v="1900-02-04T14:00:00"/>
        <d v="1900-02-04T17:00:00"/>
        <d v="1900-02-05T13:00:00"/>
        <d v="1900-02-06T12:00:00"/>
        <d v="1900-02-09T09:00:00"/>
        <d v="1899-12-30T08:00:00"/>
        <d v="1899-12-31T07:00:00"/>
        <d v="1899-12-31T22:00:00"/>
        <d v="1900-01-11T17:00:00"/>
        <d v="1900-01-12T15:00:00"/>
        <d v="1900-01-14T14:00:00"/>
        <d v="1900-01-19T05:00:00"/>
        <d v="1900-01-22T23:00:00"/>
        <d v="1900-01-24T21:00:00"/>
        <d v="1900-01-25T20:00:00"/>
        <d v="1900-01-26T21:00:00"/>
        <d v="1900-01-27T16:00:00"/>
        <d v="1900-01-31T17:00:00"/>
        <d v="1900-02-01T20:00:00"/>
        <d v="1899-12-31T02:00:00"/>
        <d v="1899-12-31T21:00:00"/>
        <d v="1900-01-06T00:00:00"/>
        <d v="1900-01-21T20:00:00"/>
        <d v="1900-01-22T00:00:00"/>
        <d v="1900-01-23T19:00:00"/>
        <d v="1900-01-31T18:00:00"/>
        <d v="1900-01-07T01:00:00"/>
        <d v="1900-01-12T19:00:00"/>
        <d v="1900-01-22T21:00:00"/>
        <d v="1900-01-31T21:00:00"/>
        <d v="1900-02-02T18:00:00"/>
        <d v="1900-02-03T13:00:00"/>
        <d v="1900-02-07T12:00:00"/>
        <d v="1900-01-02T19:00:00"/>
        <d v="1900-01-03T19:00:00"/>
        <d v="1900-01-06T19:00:00"/>
        <d v="1900-01-19T01:00:00"/>
        <d v="1900-01-25T19:00:00"/>
        <d v="1900-01-31T16:00:00"/>
        <d v="1900-02-07T16:00:00"/>
        <d v="1900-02-09T08:00:00"/>
        <d v="1900-01-01T20:00:00"/>
        <d v="1900-01-06T18:00:00"/>
        <d v="1900-01-08T17:00:00"/>
        <d v="1900-01-12T14:00:00"/>
        <d v="1900-01-19T00:00:00"/>
        <d v="1900-01-26T00:00:00"/>
        <d v="1900-01-29T15:00:00"/>
        <d v="1900-02-04T12:00:00"/>
        <d v="1900-02-08T12:00:00"/>
        <d v="1900-02-08T16:00:00"/>
        <d v="1899-12-30T03:00:00"/>
        <d v="1900-01-14T19:00:00"/>
        <d v="1900-01-15T10:00:00"/>
        <d v="1900-01-16T23:00:00"/>
        <d v="1900-01-18T23:00:00"/>
        <d v="1900-01-19T23:00:00"/>
        <d v="1900-01-30T14:00:00"/>
        <d v="1900-02-01T16:00:00"/>
        <d v="1899-12-30T09:00:00"/>
        <d v="1900-01-11T13:00:00"/>
        <d v="1900-02-06T11:00:00"/>
        <d v="1900-01-05T16:00:00"/>
        <d v="1900-01-06T01:00:00"/>
        <d v="1900-01-07T15:00:00"/>
        <d v="1900-01-11T12:00:00"/>
        <d v="1900-01-13T15:00:00"/>
        <d v="1900-01-21T02:00:00"/>
        <d v="1900-01-24T20:00:00"/>
        <d v="1900-02-02T13:00:00"/>
        <d v="1900-02-07T11:00:00"/>
        <d v="1899-12-30T00:00:00"/>
        <d v="1900-01-05T18:00:00"/>
        <d v="1900-01-05T19:00:00"/>
        <d v="1900-01-09T19:00:00"/>
        <d v="1900-01-13T14:00:00"/>
        <d v="1900-01-14T13:00:00"/>
        <d v="1900-01-23T18:00:00"/>
        <d v="1900-01-24T00:00:00"/>
        <d v="1900-01-28T14:00:00"/>
        <d v="1900-02-05T12:00:00"/>
        <d v="1899-12-31T00:00:00"/>
        <d v="1899-12-31T01:00:00"/>
        <d v="1900-01-04T18:00:00"/>
        <d v="1900-01-11T18:00:00"/>
        <d v="1900-01-14T12:00:00"/>
        <d v="1900-01-22T19:00:00"/>
        <d v="1900-01-27T15:00:00"/>
        <d v="1900-01-31T15:00:00"/>
        <d v="1900-02-04T13:00:00"/>
        <d v="1900-01-08T16:00:00"/>
        <d v="1900-01-13T20:00:00"/>
        <d v="1900-01-14T11:00:00"/>
        <d v="1900-01-20T00:00:00"/>
        <d v="1900-01-28T21:00:00"/>
        <d v="1900-01-31T14:00:00"/>
        <d v="1900-01-03T18:00:00"/>
        <d v="1900-01-07T02:00:00"/>
        <d v="1900-01-09T14:00:00"/>
        <d v="1900-01-20T05:00:00"/>
        <d v="1899-12-31T08:00:00"/>
        <d v="1900-01-01T19:00:00"/>
        <d v="1900-01-06T02:00:00"/>
        <d v="1900-01-07T14:00:00"/>
        <d v="1900-01-09T12:00:00"/>
        <d v="1900-01-10T12:00:00"/>
        <d v="1900-01-12T13:00:00"/>
        <d v="1900-01-15T23:00:00"/>
        <d v="1900-01-24T19:00:00"/>
        <d v="1900-01-31T22:00:00"/>
        <d v="1900-02-01T15:00:00"/>
        <d v="1900-02-08T11:00:00"/>
        <d v="1900-01-14T10:00:00"/>
        <d v="1900-01-17T23:00:00"/>
        <d v="1900-01-20T20:00:00"/>
        <d v="1900-01-26T14:00:00"/>
        <d v="1900-01-26T15:00:00"/>
        <d v="1900-02-02T08:00:00"/>
        <d v="1899-12-31T19:00:00"/>
        <d v="1900-01-06T16:00:00"/>
        <d v="1900-01-15T13:00:00"/>
        <d v="1900-01-19T22:00:00"/>
        <d v="1900-01-27T21:00:00"/>
        <d v="1900-01-04T17:00:00"/>
        <d v="1900-01-12T20:00:00"/>
        <d v="1900-01-13T13:00:00"/>
        <d v="1900-01-24T17:00:00"/>
        <d v="1900-02-01T21:00:00"/>
        <d v="1900-01-08T15:00:00"/>
        <d v="1900-01-21T19:00:00"/>
        <d v="1900-01-23T11:00:00"/>
        <d v="1900-02-06T15:00:00"/>
        <d v="1900-02-07T10:00:00"/>
        <d v="1900-02-08T10:00:00"/>
        <d v="1900-01-05T17:00:00"/>
        <d v="1900-01-06T17:00:00"/>
        <d v="1900-01-20T18:00:00"/>
        <d v="1900-02-03T12:00:00"/>
        <d v="1900-01-13T10:00:00"/>
        <d v="1900-01-23T10:00:00"/>
        <d v="1900-01-24T16:00:00"/>
        <d v="1900-02-02T09:00:00"/>
        <d v="1900-02-05T17:00:00"/>
        <d v="1900-02-09T14:00:00"/>
        <d v="1900-01-08T21:00:00"/>
        <d v="1900-01-12T11:00:00"/>
        <d v="1900-01-15T09:00:00"/>
        <d v="1900-01-18T05:00:00"/>
        <d v="1900-01-18T22:00:00"/>
        <d v="1900-01-19T06:00:00"/>
        <d v="1900-01-23T17:00:00"/>
        <d v="1900-02-02T10:00:00"/>
        <d v="1899-12-30T22:00:00"/>
        <d v="1900-01-06T13:00:00"/>
        <d v="1900-01-10T19:00:00"/>
        <d v="1900-01-12T12:00:00"/>
        <d v="1900-01-14T09:00:00"/>
        <d v="1900-01-15T14:00:00"/>
        <d v="1900-01-16T22:00:00"/>
        <d v="1900-01-20T06:00:00"/>
        <d v="1900-01-20T19:00:00"/>
        <d v="1900-01-23T03:00:00"/>
        <d v="1900-01-24T18:00:00"/>
        <d v="1900-01-26T13:00:00"/>
        <d v="1900-01-30T19:00:00"/>
        <d v="1900-01-09T13:00:00"/>
        <d v="1900-01-24T06:00:00"/>
        <d v="1900-01-25T18:00:00"/>
        <d v="1900-02-04T11:00:00"/>
        <d v="1899-12-31T18:00:00"/>
        <d v="1900-01-01T03:00:00"/>
        <d v="1900-01-06T12:00:00"/>
        <d v="1900-01-08T04:00:00"/>
        <d v="1900-01-11T11:00:00"/>
        <d v="1900-01-19T20:00:00"/>
        <d v="1900-01-23T00:00:00"/>
        <d v="1900-01-24T05:00:00"/>
        <d v="1900-02-02T12:00:00"/>
        <d v="1900-02-02T19:00:00"/>
        <d v="1900-02-07T09:00:00"/>
        <d v="1900-02-07T17:00:00"/>
        <d v="1900-02-09T07:00:00"/>
        <d v="1899-12-31T20:00:00"/>
        <d v="1900-01-07T23:00:00"/>
        <d v="1900-01-08T03:00:00"/>
        <d v="1900-01-17T22:00:00"/>
        <d v="1900-01-24T07:00:00"/>
        <d v="1900-01-31T12:00:00"/>
        <d v="1899-12-30T02:00:00"/>
        <d v="1900-01-09T11:00:00"/>
        <d v="1900-01-13T21:00:00"/>
        <d v="1900-01-16T05:00:00"/>
        <d v="1900-01-25T15:00:00"/>
        <d v="1900-01-29T14:00:00"/>
        <d v="1900-02-08T08:00:00"/>
        <d v="1900-01-03T01:00:00"/>
        <d v="1900-01-10T11:00:00"/>
        <d v="1900-01-12T21:00:00"/>
        <d v="1900-01-14T20:00:00"/>
        <d v="1900-01-15T08:00:00"/>
        <d v="1900-01-15T22:00:00"/>
        <d v="1900-01-19T21:00:00"/>
        <d v="1900-01-25T16:00:00"/>
        <d v="1900-01-25T17:00:00"/>
        <d v="1900-01-26T12:00:00"/>
        <d v="1899-12-30T21:00:00"/>
        <d v="1900-01-04T23:00:00"/>
        <d v="1900-01-06T15:00:00"/>
        <d v="1900-01-18T21:00:00"/>
        <d v="1900-01-25T01:00:00"/>
        <d v="1900-01-25T02:00:00"/>
        <d v="1900-01-27T14:00:00"/>
        <d v="1900-01-31T23:00:00"/>
        <d v="1900-02-06T10:00:00"/>
        <d v="1899-12-30T18:00:00"/>
        <d v="1900-01-02T18:00:00"/>
        <d v="1900-01-09T02:00:00"/>
        <d v="1900-01-10T00:00:00"/>
        <d v="1900-01-15T15:00:00"/>
        <d v="1900-01-17T05:00:00"/>
        <d v="1900-01-20T17:00:00"/>
        <d v="1900-01-21T18:00:00"/>
        <d v="1900-02-05T21:00:00"/>
        <d v="1899-12-30T10:00:00"/>
        <d v="1899-12-30T20:00:00"/>
        <d v="1900-01-02T02:00:00"/>
        <d v="1900-01-04T00:00:00"/>
        <d v="1900-01-05T15:00:00"/>
        <d v="1900-01-12T10:00:00"/>
        <d v="1900-01-22T01:00:00"/>
        <d v="1900-01-23T07:00:00"/>
        <d v="1900-01-23T09:00:00"/>
        <d v="1900-01-25T14:00:00"/>
        <d v="1900-01-28T13:00:00"/>
        <d v="1900-02-09T06:00:00"/>
        <d v="1899-12-30T19:00:00"/>
        <d v="1900-01-06T14:00:00"/>
        <d v="1900-01-11T00:00:00"/>
        <d v="1900-01-26T22:00:00"/>
        <d v="1900-02-03T11:00:00"/>
        <d v="1900-02-05T11:00:00"/>
        <d v="1900-01-07T13:00:00"/>
        <d v="1900-01-08T14:00:00"/>
        <d v="1900-01-10T23:00:00"/>
        <d v="1900-01-23T16:00:00"/>
        <d v="1900-01-24T08:00:00"/>
        <d v="1900-01-26T01:00:00"/>
        <d v="1900-01-30T13:00:00"/>
        <d v="1899-12-30T23:00:00"/>
        <d v="1900-01-05T14:00:00"/>
        <d v="1900-01-09T23:00:00"/>
        <d v="1900-01-13T12:00:00"/>
        <d v="1900-01-19T19:00:00"/>
        <d v="1900-01-29T20:00:00"/>
        <d v="1900-01-31T13:00:00"/>
        <d v="1900-02-01T13:00:00"/>
        <d v="1900-02-03T19:00:00"/>
        <d v="1900-02-08T09:00:00"/>
        <d v="1899-12-30T01:00:00"/>
        <d v="1900-01-11T10:00:00"/>
        <d v="1900-01-19T07:00:00"/>
        <d v="1900-01-21T06:00:00"/>
        <d v="1900-01-22T18:00:00"/>
        <d v="1900-01-29T13:00:00"/>
        <d v="1900-02-08T05:00:00"/>
        <d v="1900-01-07T12:00:00"/>
        <d v="1900-01-13T08:00:00"/>
        <d v="1900-01-15T21:00:00"/>
        <d v="1900-01-18T20:00:00"/>
        <d v="1900-01-23T04:00:00"/>
        <d v="1900-01-24T09:00:00"/>
        <d v="1900-01-30T12:00:00"/>
        <d v="1900-02-04T23:00:00"/>
        <d v="1900-02-08T04:00:00"/>
        <d v="1900-01-02T06:00:00"/>
        <d v="1900-01-03T17:00:00"/>
        <d v="1900-01-11T03:00:00"/>
        <d v="1900-01-03T16:00:00"/>
        <d v="1900-01-23T08:00:00"/>
        <d v="1900-01-25T13:00:00"/>
        <d v="1900-01-31T10:00:00"/>
        <d v="1900-02-04T18:00:00"/>
        <d v="1900-02-07T07:00:00"/>
        <d v="1900-02-07T18:00:00"/>
        <d v="1900-01-01T07:00:00"/>
        <d v="1900-01-10T03:00:00"/>
        <d v="1900-01-11T22:00:00"/>
        <d v="1900-01-13T11:00:00"/>
        <d v="1900-01-27T07:00:00"/>
        <d v="1900-02-01T14:00:00"/>
        <d v="1900-02-06T19:00:00"/>
        <d v="1900-01-04T04:00:00"/>
        <d v="1900-01-08T08:00:00"/>
        <d v="1900-01-19T18:00:00"/>
        <d v="1900-01-21T10:00:00"/>
        <d v="1900-01-22T16:00:00"/>
        <d v="1900-02-01T11:00:00"/>
        <d v="1900-02-01T22:00:00"/>
        <d v="1900-02-05T22:00:00"/>
        <d v="1900-02-08T07:00:00"/>
        <d v="1900-01-03T06:00:00"/>
        <d v="1900-01-21T07:00:00"/>
        <d v="1900-01-31T11:00:00"/>
        <d v="1900-02-05T10:00:00"/>
        <d v="1900-01-08T07:00:00"/>
        <d v="1900-01-09T06:00:00"/>
        <d v="1900-01-14T21:00:00"/>
        <d v="1900-01-16T09:00:00"/>
        <d v="1900-01-23T06:00:00"/>
        <d v="1900-01-28T01:00:00"/>
        <d v="1900-01-30T04:00:00"/>
        <d v="1900-02-01T00:00:00"/>
        <d v="1900-02-03T00:00:00"/>
        <d v="1900-02-07T06:00:00"/>
        <d v="1900-02-08T17:00:00"/>
        <d v="1900-02-09T04:00:00"/>
        <d v="1900-01-02T17:00:00"/>
        <d v="1900-01-04T15:00:00"/>
        <d v="1900-01-07T11:00:00"/>
        <d v="1900-01-23T05:00:00"/>
        <d v="1900-01-27T03:00:00"/>
        <d v="1900-02-03T23:00:00"/>
        <d v="1900-02-06T01:00:00"/>
        <d v="1900-01-07T03:00:00"/>
        <d v="1900-01-07T04:00:00"/>
        <d v="1900-01-10T02:00:00"/>
        <d v="1900-01-10T04:00:00"/>
        <d v="1900-01-20T15:00:00"/>
        <d v="1900-01-24T04:00:00"/>
        <d v="1900-01-28T22:00:00"/>
        <d v="1900-01-05T07:00:00"/>
        <d v="1900-01-20T16:00:00"/>
        <d v="1900-02-03T04:00:00"/>
        <d v="1900-02-04T00:00:00"/>
        <d v="1900-02-04T02:00:00"/>
        <d v="1900-02-06T02:00:00"/>
        <d v="1900-01-01T08:00:00"/>
        <d v="1900-01-05T13:00:00"/>
        <d v="1900-01-09T10:00:00"/>
        <d v="1900-01-28T02:00:00"/>
        <d v="1900-01-30T03:00:00"/>
        <d v="1900-01-30T23:00:00"/>
        <d v="1900-02-04T04:00:00"/>
        <d v="1900-02-06T09:00:00"/>
        <d v="1900-02-08T06:00:00"/>
        <d v="1900-02-09T05:00:00"/>
        <d v="1900-01-01T17:00:00"/>
        <d v="1900-01-01T18:00:00"/>
        <d v="1900-01-04T16:00:00"/>
        <d v="1900-01-08T05:00:00"/>
        <d v="1900-01-09T04:00:00"/>
        <d v="1900-01-11T01:00:00"/>
        <d v="1900-01-12T09:00:00"/>
        <d v="1900-01-16T10:00:00"/>
        <d v="1900-01-27T22:00:00"/>
        <d v="1900-01-28T04:00:00"/>
        <d v="1900-01-28T06:00:00"/>
        <d v="1900-01-29T02:00:00"/>
        <d v="1900-01-30T00:00:00"/>
        <d v="1900-02-01T01:00:00"/>
        <d v="1899-12-31T09:00:00"/>
        <d v="1899-12-31T17:00:00"/>
        <d v="1900-01-11T23:00:00"/>
        <d v="1900-01-18T19:00:00"/>
        <d v="1900-01-19T08:00:00"/>
        <d v="1900-01-22T17:00:00"/>
        <d v="1900-02-07T08:00:00"/>
        <d v="1900-01-02T16:00:00"/>
        <d v="1900-01-08T06:00:00"/>
        <d v="1900-01-09T01:00:00"/>
        <d v="1900-01-09T20:00:00"/>
        <d v="1900-01-19T16:00:00"/>
        <d v="1900-01-27T05:00:00"/>
        <d v="1900-01-28T05:00:00"/>
        <d v="1900-01-30T11:00:00"/>
        <d v="1900-02-04T10:00:00"/>
        <d v="1900-01-06T11:00:00"/>
        <d v="1900-01-10T01:00:00"/>
        <d v="1900-01-20T14:00:00"/>
        <d v="1900-01-22T05:00:00"/>
        <d v="1900-01-25T03:00:00"/>
        <d v="1900-01-26T11:00:00"/>
        <d v="1900-01-28T03:00:00"/>
        <d v="1900-02-01T03:00:00"/>
        <d v="1900-02-02T23:00:00"/>
        <d v="1899-12-30T11:00:00"/>
        <d v="1900-01-10T09:00:00"/>
        <d v="1900-01-17T21:00:00"/>
        <d v="1900-01-27T13:00:00"/>
        <d v="1900-02-01T10:00:00"/>
        <d v="1900-02-04T09:00:00"/>
        <d v="1900-01-02T07:00:00"/>
        <d v="1900-01-03T05:00:00"/>
        <d v="1900-01-09T03:00:00"/>
        <d v="1900-01-10T10:00:00"/>
        <d v="1900-01-13T09:00:00"/>
        <d v="1900-01-14T08:00:00"/>
        <d v="1900-01-14T22:00:00"/>
        <d v="1900-01-17T09:00:00"/>
        <d v="1900-01-17T20:00:00"/>
        <d v="1900-01-21T11:00:00"/>
        <d v="1900-01-20T07:00:00"/>
        <d v="1900-01-23T02:00:00"/>
        <d v="1900-01-24T15:00:00"/>
        <d v="1900-01-25T12:00:00"/>
        <d v="1900-02-05T02:00:00"/>
        <d v="1899-12-31T13:00:00"/>
        <d v="1900-01-04T05:00:00"/>
        <d v="1900-01-05T05:00:00"/>
        <d v="1900-01-12T22:00:00"/>
        <d v="1900-01-16T20:00:00"/>
        <d v="1900-01-16T21:00:00"/>
        <d v="1900-01-18T10:00:00"/>
        <d v="1900-01-19T17:00:00"/>
        <d v="1900-01-21T17:00:00"/>
        <d v="1900-01-23T15:00:00"/>
        <d v="1900-01-26T03:00:00"/>
        <d v="1900-02-01T12:00:00"/>
        <d v="1900-02-04T22:00:00"/>
        <d v="1900-01-11T04:00:00"/>
        <d v="1900-01-15T07:00:00"/>
        <d v="1900-01-21T09:00:00"/>
        <d v="1900-01-24T01:00:00"/>
        <d v="1900-01-30T05:00:00"/>
        <d v="1900-02-01T04:00:00"/>
        <d v="1900-02-03T03:00:00"/>
        <d v="1900-01-01T09:00:00"/>
        <d v="1900-01-01T10:00:00"/>
        <d v="1900-01-06T03:00:00"/>
        <d v="1900-01-12T00:00:00"/>
        <d v="1900-01-14T07:00:00"/>
        <d v="1900-01-15T16:00:00"/>
        <d v="1900-01-22T06:00:00"/>
        <d v="1900-01-29T01:00:00"/>
        <d v="1900-02-05T00:00:00"/>
        <d v="1900-02-09T03:00:00"/>
        <d v="1900-01-03T09:00:00"/>
        <d v="1900-01-03T10:00:00"/>
        <d v="1900-01-04T09:00:00"/>
        <d v="1900-01-06T04:00:00"/>
        <d v="1900-01-07T10:00:00"/>
        <d v="1900-01-18T13:00:00"/>
        <d v="1900-01-24T14:00:00"/>
        <d v="1900-02-02T11:00:00"/>
        <d v="1900-02-06T00:00:00"/>
        <d v="1900-01-02T10:00:00"/>
        <d v="1900-01-05T03:00:00"/>
        <d v="1900-01-09T05:00:00"/>
        <d v="1900-01-18T09:00:00"/>
        <d v="1900-01-19T09:00:00"/>
        <d v="1900-01-21T08:00:00"/>
        <d v="1900-01-29T05:00:00"/>
        <d v="1900-01-29T12:00:00"/>
        <d v="1900-02-07T05:00:00"/>
        <d v="1900-01-01T04:00:00"/>
        <d v="1900-01-11T09:00:00"/>
        <d v="1900-01-12T02:00:00"/>
        <d v="1900-01-14T23:00:00"/>
        <d v="1900-01-25T04:00:00"/>
        <d v="1900-01-26T02:00:00"/>
        <d v="1900-01-28T07:00:00"/>
        <d v="1900-01-28T12:00:00"/>
        <d v="1900-01-29T03:00:00"/>
        <d v="1900-01-30T01:00:00"/>
        <d v="1900-01-31T00:00:00"/>
        <d v="1900-02-03T02:00:00"/>
        <d v="1900-02-04T03:00:00"/>
        <d v="1900-02-05T03:00:00"/>
        <d v="1900-02-06T20:00:00"/>
        <d v="1900-02-08T03:00:00"/>
        <d v="1899-12-31T16:00:00"/>
        <d v="1900-01-02T11:00:00"/>
        <d v="1900-01-18T14:00:00"/>
        <d v="1900-01-20T13:00:00"/>
        <d v="1900-01-25T06:00:00"/>
        <d v="1900-01-26T10:00:00"/>
        <d v="1900-02-04T01:00:00"/>
        <d v="1900-02-03T01:00:00"/>
        <d v="1899-12-30T17:00:00"/>
        <d v="1900-01-04T07:00:00"/>
        <d v="1900-01-05T04:00:00"/>
        <d v="1900-01-14T06:00:00"/>
        <d v="1900-01-19T15:00:00"/>
        <d v="1900-01-10T05:00:00"/>
        <d v="1900-01-12T03:00:00"/>
        <d v="1900-01-12T08:00:00"/>
        <d v="1900-01-17T10:00:00"/>
        <d v="1900-01-18T06:00:00"/>
        <d v="1900-01-22T09:00:00"/>
        <d v="1900-01-25T11:00:00"/>
        <d v="1900-01-27T04:00:00"/>
        <d v="1900-01-04T14:00:00"/>
        <d v="1900-01-06T10:00:00"/>
        <d v="1900-01-27T02:00:00"/>
        <d v="1900-01-30T02:00:00"/>
        <d v="1900-02-01T09:00:00"/>
        <d v="1900-02-05T01:00:00"/>
        <d v="1900-02-05T23:00:00"/>
        <d v="1899-12-31T10:00:00"/>
        <d v="1900-01-04T08:00:00"/>
        <d v="1900-01-11T19:00:00"/>
        <d v="1900-01-16T11:00:00"/>
        <d v="1900-01-17T14:00:00"/>
        <d v="1900-01-19T10:00:00"/>
        <d v="1900-01-21T12:00:00"/>
        <d v="1900-01-03T08:00:00"/>
        <d v="1900-01-15T05:00:00"/>
        <d v="1900-01-31T09:00:00"/>
        <d v="1900-02-01T05:00:00"/>
        <d v="1900-02-06T21:00:00"/>
        <d v="1900-01-01T12:00:00"/>
        <d v="1900-01-05T08:00:00"/>
        <d v="1900-01-07T07:00:00"/>
        <d v="1900-01-10T20:00:00"/>
        <d v="1900-01-12T23:00:00"/>
        <d v="1900-01-23T01:00:00"/>
        <d v="1900-01-26T23:00:00"/>
        <d v="1900-02-01T02:00:00"/>
        <d v="1900-02-06T08:00:00"/>
        <d v="1900-01-05T06:00:00"/>
        <d v="1900-01-18T12:00:00"/>
        <d v="1899-12-31T14:00:00"/>
        <d v="1900-01-06T08:00:00"/>
        <d v="1900-01-08T09:00:00"/>
        <d v="1900-01-08T13:00:00"/>
        <d v="1900-01-13T07:00:00"/>
        <d v="1900-01-28T11:00:00"/>
        <d v="1900-02-06T16:00:00"/>
        <d v="1900-02-07T00:00:00"/>
        <d v="1899-12-31T12:00:00"/>
        <d v="1900-01-07T06:00:00"/>
        <d v="1900-01-16T13:00:00"/>
        <d v="1900-01-19T12:00:00"/>
        <d v="1900-01-29T04:00:00"/>
        <d v="1900-01-29T11:00:00"/>
        <d v="1899-12-31T15:00:00"/>
        <d v="1900-01-01T13:00:00"/>
        <d v="1900-01-06T09:00:00"/>
        <d v="1900-01-09T07:00:00"/>
        <d v="1900-01-16T19:00:00"/>
        <d v="1900-01-29T06:00:00"/>
        <d v="1900-01-01T11:00:00"/>
        <d v="1900-01-08T00:00:00"/>
        <d v="1900-01-12T01:00:00"/>
        <d v="1900-01-20T12:00:00"/>
        <d v="1900-01-26T09:00:00"/>
        <d v="1900-01-02T08:00:00"/>
        <d v="1900-01-11T05:00:00"/>
        <d v="1900-01-16T12:00:00"/>
        <d v="1900-01-18T11:00:00"/>
        <d v="1900-01-25T05:00:00"/>
        <d v="1900-01-27T12:00:00"/>
        <d v="1900-01-30T06:00:00"/>
        <d v="1900-02-01T06:00:00"/>
        <d v="1900-02-02T07:00:00"/>
        <d v="1900-02-03T10:00:00"/>
        <d v="1900-01-03T07:00:00"/>
        <d v="1900-01-13T22:00:00"/>
        <d v="1900-01-23T14:00:00"/>
        <d v="1900-02-05T04:00:00"/>
        <d v="1900-01-15T00:00:00"/>
        <d v="1900-01-24T10:00:00"/>
        <d v="1900-02-06T03:00:00"/>
        <d v="1900-01-09T22:00:00"/>
        <d v="1900-01-17T13:00:00"/>
        <d v="1900-01-21T16:00:00"/>
        <d v="1900-01-07T08:00:00"/>
        <d v="1900-01-15T04:00:00"/>
        <d v="1900-01-16T14:00:00"/>
        <d v="1900-01-31T02:00:00"/>
        <d v="1900-01-02T12:00:00"/>
        <d v="1900-01-07T05:00:00"/>
        <d v="1900-01-10T08:00:00"/>
        <d v="1900-01-11T02:00:00"/>
        <d v="1900-01-13T05:00:00"/>
        <d v="1900-01-15T20:00:00"/>
        <d v="1900-01-19T14:00:00"/>
        <d v="1900-02-01T07:00:00"/>
        <d v="1900-02-04T05:00:00"/>
        <d v="1900-02-05T09:00:00"/>
        <d v="1899-12-30T12:00:00"/>
        <d v="1900-01-04T06:00:00"/>
        <d v="1900-01-05T00:00:00"/>
        <d v="1900-01-13T06:00:00"/>
        <d v="1900-01-17T11:00:00"/>
        <d v="1900-01-19T11:00:00"/>
        <d v="1900-01-21T03:00:00"/>
        <d v="1900-01-22T10:00:00"/>
        <d v="1900-01-23T12:00:00"/>
        <d v="1900-01-26T05:00:00"/>
        <d v="1900-02-01T08:00:00"/>
        <d v="1900-02-05T08:00:00"/>
        <d v="1900-02-06T23:00:00"/>
        <d v="1900-02-07T19:00:00"/>
        <d v="1900-01-04T10:00:00"/>
        <d v="1900-01-15T02:00:00"/>
        <d v="1900-01-27T06:00:00"/>
        <d v="1900-01-27T08:00:00"/>
        <d v="1900-01-31T01:00:00"/>
        <d v="1900-01-05T09:00:00"/>
        <d v="1900-01-20T10:00:00"/>
        <d v="1900-01-29T21:00:00"/>
        <d v="1900-01-30T20:00:00"/>
        <d v="1900-01-01T06:00:00"/>
        <d v="1900-01-03T02:00:00"/>
        <d v="1900-02-03T09:00:00"/>
        <d v="1900-02-05T07:00:00"/>
        <d v="1900-01-03T11:00:00"/>
        <d v="1900-01-03T15:00:00"/>
        <d v="1900-01-13T00:00:00"/>
        <d v="1900-01-24T13:00:00"/>
        <d v="1900-02-01T23:00:00"/>
        <d v="1900-01-12T04:00:00"/>
        <d v="1900-01-16T06:00:00"/>
        <d v="1900-01-31T04:00:00"/>
        <d v="1900-01-14T02:00:00"/>
        <d v="1900-01-17T15:00:00"/>
        <d v="1900-01-25T10:00:00"/>
        <d v="1900-01-29T10:00:00"/>
        <d v="1900-01-31T03:00:00"/>
        <d v="1900-01-07T09:00:00"/>
        <d v="1900-01-12T07:00:00"/>
        <d v="1900-01-15T06:00:00"/>
        <d v="1899-12-30T16:00:00"/>
        <d v="1899-12-31T11:00:00"/>
        <d v="1900-01-13T23:00:00"/>
        <d v="1900-01-15T01:00:00"/>
        <d v="1900-01-15T03:00:00"/>
        <d v="1900-01-22T08:00:00"/>
        <d v="1899-12-30T13:00:00"/>
        <d v="1900-01-02T03:00:00"/>
        <d v="1900-01-08T02:00:00"/>
        <d v="1900-01-04T01:00:00"/>
        <d v="1900-01-05T12:00:00"/>
        <d v="1900-01-06T07:00:00"/>
        <d v="1900-01-08T12:00:00"/>
        <d v="1900-01-09T09:00:00"/>
        <d v="1900-02-02T20:00:00"/>
        <d v="1900-02-09T02:00:00"/>
        <d v="1900-01-18T18:00:00"/>
        <d v="1900-01-30T09:00:00"/>
        <d v="1900-01-02T09:00:00"/>
        <d v="1900-01-18T15:00:00"/>
        <d v="1900-01-26T04:00:00"/>
        <d v="1900-02-06T07:00:00"/>
        <d v="1900-01-06T05:00:00"/>
        <d v="1900-01-17T12:00:00"/>
        <d v="1900-02-09T15:00:00"/>
        <d v="1900-01-08T22:00:00"/>
        <d v="1900-01-11T08:00:00"/>
        <d v="1900-01-14T04:00:00"/>
        <d v="1900-01-15T19:00:00"/>
        <d v="1900-01-20T08:00:00"/>
        <d v="1900-01-25T07:00:00"/>
        <d v="1900-01-31T05:00:00"/>
        <d v="1900-02-04T19:00:00"/>
        <d v="1900-02-05T18:00:00"/>
        <d v="1900-01-02T05:00:00"/>
        <d v="1900-02-03T20:00:00"/>
        <d v="1900-01-13T01:00:00"/>
        <d v="1900-01-17T06:00:00"/>
        <d v="1900-01-24T03:00:00"/>
        <d v="1900-02-04T08:00:00"/>
        <d v="1900-02-07T04:00:00"/>
        <d v="1900-01-06T06:00:00"/>
        <d v="1900-01-21T05:00:00"/>
        <d v="1900-01-19T13:00:00"/>
        <d v="1900-01-29T07:00:00"/>
        <d v="1900-01-31T08:00:00"/>
        <d v="1900-01-14T00:00:00"/>
        <d v="1900-01-16T15:00:00"/>
        <d v="1900-01-23T13:00:00"/>
        <d v="1900-01-14T05:00:00"/>
        <d v="1900-02-08T18:00:00"/>
        <d v="1899-12-30T14:00:00"/>
        <d v="1900-01-21T15:00:00"/>
        <d v="1900-01-22T07:00:00"/>
        <d v="1900-01-25T09:00:00"/>
        <d v="1900-01-22T02:00:00"/>
        <d v="1900-01-28T10:00:00"/>
        <d v="1900-01-16T08:00:00"/>
        <d v="1900-01-24T12:00:00"/>
        <d v="1900-01-26T07:00:00"/>
        <d v="1900-01-30T10:00:00"/>
        <d v="1899-12-30T15:00:00"/>
        <d v="1900-01-01T16:00:00"/>
        <d v="1900-01-20T11:00:00"/>
        <d v="1900-02-06T22:00:00"/>
        <d v="1900-01-27T11:00:00"/>
        <d v="1900-01-02T15:00:00"/>
        <d v="1900-01-04T13:00:00"/>
        <d v="1900-01-16T18:00:00"/>
        <d v="1900-01-27T01:00:00"/>
        <d v="1900-02-06T06:00:00"/>
        <d v="1900-02-08T19:00:00"/>
        <d v="1900-01-14T03:00:00"/>
        <d v="1900-02-03T05:00:00"/>
        <d v="1900-02-07T20:00:00"/>
        <d v="1900-01-03T04:00:00"/>
        <d v="1900-01-20T09:00:00"/>
        <d v="1900-01-22T11:00:00"/>
        <d v="1900-01-28T00:00:00"/>
        <d v="1900-01-11T21:00:00"/>
        <d v="1900-02-02T00:00:00"/>
        <d v="1900-01-13T02:00:00"/>
        <d v="1900-01-14T01:00:00"/>
        <d v="1900-02-02T22:00:00"/>
        <d v="1900-01-22T15:00:00"/>
        <d v="1900-01-18T17:00:00"/>
        <d v="1900-01-25T08:00:00"/>
        <d v="1900-02-07T21:00:00"/>
        <d v="1900-02-07T23:00:00"/>
        <d v="1900-02-02T06:00:00"/>
        <d v="1900-01-04T03:00:00"/>
        <d v="1900-01-26T06:00:00"/>
        <d v="1900-02-05T20:00:00"/>
        <d v="1900-01-05T11:00:00"/>
        <d v="1900-01-26T08:00:00"/>
        <d v="1900-01-29T00:00:00"/>
        <d v="1900-02-04T21:00:00"/>
        <d v="1900-01-15T17:00:00"/>
        <d v="1900-02-07T01:00:00"/>
        <d v="1900-02-09T01:00:00"/>
        <d v="1900-01-17T19:00:00"/>
        <d v="1900-01-30T22:00:00"/>
        <d v="1900-01-09T21:00:00"/>
        <d v="1900-01-13T04:00:00"/>
        <d v="1900-02-03T08:00:00"/>
        <d v="1900-01-13T03:00:00"/>
        <d v="1900-01-09T00:00:00"/>
        <d v="1900-01-03T14:00:00"/>
        <d v="1900-01-15T18:00:00"/>
        <d v="1900-01-29T23:00:00"/>
        <d v="1900-01-05T02:00:00"/>
        <d v="1900-02-09T00:00:00"/>
        <d v="1900-01-27T23:00:00"/>
        <d v="1900-02-03T22:00:00"/>
        <d v="1900-02-07T22:00:00"/>
        <d v="1900-01-09T08:00:00"/>
        <d v="1900-01-10T07:00:00"/>
        <d v="1900-02-08T02:00:00"/>
        <d v="1900-01-10T06:00:00"/>
        <d v="1900-01-10T22:00:00"/>
        <d v="1900-01-12T06:00:00"/>
        <d v="1900-02-06T18:00:00"/>
        <d v="1900-01-17T08:00:00"/>
        <d v="1900-01-11T07:00:00"/>
        <d v="1900-01-22T04:00:00"/>
        <d v="1900-02-08T01:00:00"/>
        <d v="1900-01-22T14:00:00"/>
        <d v="1900-01-30T08:00:00"/>
        <d v="1900-01-24T11:00:00"/>
        <d v="1900-01-17T18:00:00"/>
        <d v="1900-02-04T07:00:00"/>
        <d v="1900-02-08T20:00:00"/>
        <d v="1900-01-21T14:00:00"/>
        <d v="1900-01-01T05:00:00"/>
        <d v="1900-02-08T21:00:00"/>
        <d v="1900-01-08T11:00:00"/>
        <d v="1900-01-28T23:00:00"/>
        <d v="1900-01-31T07:00:00"/>
        <d v="1900-01-27T10:00:00"/>
        <d v="1900-01-01T14:00:00"/>
        <d v="1900-01-01T15:00:00"/>
        <d v="1900-01-24T02:00:00"/>
        <d v="1900-02-02T05:00:00"/>
        <d v="1900-01-11T20:00:00"/>
        <d v="1900-01-12T05:00:00"/>
        <d v="1900-02-06T05:00:00"/>
        <d v="1900-01-16T17:00:00"/>
        <d v="1900-01-18T16:00:00"/>
        <d v="1900-01-27T09:00:00"/>
        <d v="1900-02-02T03:00:00"/>
        <d v="1900-02-08T22:00:00"/>
        <d v="1900-01-11T06:00:00"/>
        <d v="1900-02-08T23:00:00"/>
        <d v="1900-01-04T12:00:00"/>
        <d v="1900-02-06T04:00:00"/>
        <d v="1900-01-18T08:00:00"/>
        <d v="1900-02-05T05:00:00"/>
        <d v="1900-01-28T09:00:00"/>
        <d v="1900-01-03T13:00:00"/>
        <d v="1900-02-05T06:00:00"/>
        <d v="1900-01-04T11:00:00"/>
        <d v="1900-02-02T01:00:00"/>
        <d v="1900-02-07T03:00:00"/>
        <d v="1900-02-08T00:00:00"/>
        <d v="1900-01-30T07:00:00"/>
        <d v="1900-02-03T07:00:00"/>
        <d v="1900-01-28T08:00:00"/>
        <d v="1900-02-04T06:00:00"/>
        <d v="1900-01-21T04:00:00"/>
        <d v="1900-01-08T10:00:00"/>
        <d v="1900-02-05T19:00:00"/>
        <d v="1900-01-02T04:00:00"/>
        <d v="1900-01-02T14:00:00"/>
        <d v="1900-01-29T09:00:00"/>
        <d v="1900-02-02T02:00:00"/>
        <d v="1900-02-02T04:00:00"/>
        <d v="1900-01-21T13:00:00"/>
        <d v="1900-01-17T17:00:00"/>
        <d v="1900-01-27T00:00:00"/>
        <d v="1900-01-05T10:00:00"/>
        <d v="1900-01-08T01:00:00"/>
        <d v="1900-01-29T22:00:00"/>
        <d v="1900-01-03T12:00:00"/>
        <d v="1900-01-29T08:00:00"/>
        <d v="1900-01-03T03:00:00"/>
        <d v="1900-01-16T07:00:00"/>
        <d v="1900-01-16T16:00:00"/>
        <d v="1900-02-04T20:00:00"/>
        <d v="1900-01-10T21:00:00"/>
        <d v="1900-01-31T06:00:00"/>
        <d v="1900-01-05T01:00:00"/>
        <d v="1900-02-07T02:00:00"/>
        <d v="1900-01-02T13:00:00"/>
        <d v="1900-01-17T16:00:00"/>
        <d v="1900-02-03T06:00:00"/>
        <d v="1900-02-06T17:00:00"/>
        <d v="1900-01-08T23:00:00"/>
        <d v="1900-01-18T07:00:00"/>
        <d v="1900-01-04T02:00:00"/>
        <d v="1900-01-30T21:00:00"/>
        <d v="1900-01-22T12:00:00"/>
        <d v="1900-01-22T13:00:00"/>
        <d v="1900-02-02T21:00:00"/>
        <d v="1900-01-22T03:00:00"/>
        <d v="1900-02-03T21:00:00"/>
        <d v="1900-01-17T07:00:00"/>
      </sharedItems>
      <fieldGroup par="16" base="5">
        <rangePr groupBy="days" startDate="1899-12-30T00:00:00" endDate="1900-02-09T15:00:00"/>
        <groupItems count="368">
          <s v="&lt;1/0/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0/1900"/>
        </groupItems>
      </fieldGroup>
    </cacheField>
    <cacheField name="Holiday STATUS" numFmtId="0">
      <sharedItems count="2">
        <s v="Non-Holiday"/>
        <s v="Holiday"/>
      </sharedItems>
    </cacheField>
    <cacheField name="WEEKDAY" numFmtId="0">
      <sharedItems count="7">
        <s v="Saturday"/>
        <s v="Sunday"/>
        <s v="Monday"/>
        <s v="Tuesday"/>
        <s v="Thusday"/>
        <s v="Friday"/>
        <s v="Wednesday"/>
      </sharedItems>
    </cacheField>
    <cacheField name="WEATHERSHIT" numFmtId="0">
      <sharedItems count="4">
        <s v="Bright sunny"/>
        <s v="Little cloudy"/>
        <s v="Heavy rain"/>
        <s v="High thunderstrom"/>
      </sharedItems>
    </cacheField>
    <cacheField name="ACTUAL TEMP" numFmtId="0">
      <sharedItems containsSemiMixedTypes="0" containsString="0" containsNumber="1" minValue="0.02" maxValue="0.46" count="23">
        <n v="0.24"/>
        <n v="0.4"/>
        <n v="0.16"/>
        <n v="0.14000000000000001"/>
        <n v="0.2"/>
        <n v="0.18"/>
        <n v="0.08"/>
        <n v="0.1"/>
        <n v="0.12"/>
        <n v="0.26"/>
        <n v="0.22"/>
        <n v="0.04"/>
        <n v="0.02"/>
        <n v="0.28000000000000003"/>
        <n v="0.42"/>
        <n v="0.06"/>
        <n v="0.36"/>
        <n v="0.34"/>
        <n v="0.32"/>
        <n v="0.46"/>
        <n v="0.38"/>
        <n v="0.44"/>
        <n v="0.3"/>
      </sharedItems>
    </cacheField>
    <cacheField name="ASSUM TEMP" numFmtId="0">
      <sharedItems containsSemiMixedTypes="0" containsString="0" containsNumber="1" minValue="0" maxValue="0.45450000000000002" count="30">
        <n v="0.28789999999999999"/>
        <n v="0.2576"/>
        <n v="0.40910000000000002"/>
        <n v="0.13639999999999999"/>
        <n v="0.1515"/>
        <n v="0.19700000000000001"/>
        <n v="0.21210000000000001"/>
        <n v="9.0899999999999995E-2"/>
        <n v="0.1212"/>
        <n v="0.2273"/>
        <n v="7.5800000000000006E-2"/>
        <n v="4.5499999999999999E-2"/>
        <n v="3.0300000000000001E-2"/>
        <n v="6.0600000000000001E-2"/>
        <n v="0.16669999999999999"/>
        <n v="0.18179999999999999"/>
        <n v="0.2727"/>
        <n v="0.42420000000000002"/>
        <n v="0"/>
        <n v="0.2424"/>
        <n v="0.1061"/>
        <n v="0.33329999999999999"/>
        <n v="0.31819999999999998"/>
        <n v="0.30299999999999999"/>
        <n v="1.52E-2"/>
        <n v="0.45450000000000002"/>
        <n v="0.39389999999999997"/>
        <n v="0.34849999999999998"/>
        <n v="0.43940000000000001"/>
        <n v="0.36359999999999998"/>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19400000000000001"/>
        <n v="0.3881"/>
        <n v="0.1343"/>
        <n v="0.22389999999999999"/>
        <n v="0.16420000000000001"/>
        <n v="0.28360000000000002"/>
        <n v="0.1045"/>
        <n v="0.29849999999999999"/>
        <n v="0.25369999999999998"/>
        <n v="0.41789999999999999"/>
        <n v="0.35820000000000002"/>
        <n v="0.32840000000000003"/>
        <n v="0.52239999999999998"/>
        <n v="0.4627"/>
        <n v="0.44779999999999998"/>
        <n v="0.55220000000000002"/>
        <n v="0.58209999999999995"/>
        <n v="0.49249999999999999"/>
      </sharedItems>
    </cacheField>
    <cacheField name="CASUAL  CUSTOMER" numFmtId="0">
      <sharedItems containsSemiMixedTypes="0" containsString="0" containsNumber="1" containsInteger="1" minValue="0" maxValue="62"/>
    </cacheField>
    <cacheField name="REGISTERED CUSTOMER"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 name="Months" numFmtId="0" databaseField="0">
      <fieldGroup base="5">
        <rangePr groupBy="months" startDate="1899-12-30T00:00:00" endDate="1900-02-09T15:00:00"/>
        <groupItems count="14">
          <s v="&lt;1/0/1900"/>
          <s v="Jan"/>
          <s v="Feb"/>
          <s v="Mar"/>
          <s v="Apr"/>
          <s v="May"/>
          <s v="Jun"/>
          <s v="Jul"/>
          <s v="Aug"/>
          <s v="Sep"/>
          <s v="Oct"/>
          <s v="Nov"/>
          <s v="Dec"/>
          <s v="&gt;2/10/1900"/>
        </groupItems>
      </fieldGroup>
    </cacheField>
  </cacheFields>
  <extLst>
    <ext xmlns:x14="http://schemas.microsoft.com/office/spreadsheetml/2009/9/main" uri="{725AE2AE-9491-48be-B2B4-4EB974FC3084}">
      <x14:pivotCacheDefinition pivotCacheId="18347523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0.707880324073" createdVersion="6" refreshedVersion="6" minRefreshableVersion="3" recordCount="1000" xr:uid="{A715E186-2578-4D56-AD9F-D0C112CEBDE5}">
  <cacheSource type="worksheet">
    <worksheetSource name="Table5" r:id="rId2"/>
  </cacheSource>
  <cacheFields count="16">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unt="1">
        <s v="2011-12"/>
      </sharedItems>
    </cacheField>
    <cacheField name="MONTH" numFmtId="0">
      <sharedItems count="2">
        <s v="Jan"/>
        <s v="Feb"/>
      </sharedItems>
    </cacheField>
    <cacheField name="HOUR" numFmtId="18">
      <sharedItems containsSemiMixedTypes="0" containsNonDate="0" containsDate="1" containsString="0" minDate="1899-12-30T00:00:00" maxDate="1900-02-09T15:00:00"/>
    </cacheField>
    <cacheField name="Holiday STATUS" numFmtId="0">
      <sharedItems count="2">
        <s v="Non-Holiday"/>
        <s v="Holiday"/>
      </sharedItems>
    </cacheField>
    <cacheField name="WEEKDAY" numFmtId="0">
      <sharedItems count="7">
        <s v="Saturday"/>
        <s v="Sunday"/>
        <s v="Monday"/>
        <s v="Tuesday"/>
        <s v="Thusday"/>
        <s v="Friday"/>
        <s v="Wednesday"/>
      </sharedItems>
    </cacheField>
    <cacheField name="WEATHERSHIT" numFmtId="0">
      <sharedItems count="4">
        <s v="Bright sunny"/>
        <s v="Little cloudy"/>
        <s v="Heavy rain"/>
        <s v="High thunderstrom"/>
      </sharedItems>
    </cacheField>
    <cacheField name="ACTUAL TEMP" numFmtId="0">
      <sharedItems containsSemiMixedTypes="0" containsString="0" containsNumber="1" minValue="0.02" maxValue="0.46" count="23">
        <n v="0.24"/>
        <n v="0.4"/>
        <n v="0.16"/>
        <n v="0.14000000000000001"/>
        <n v="0.2"/>
        <n v="0.18"/>
        <n v="0.08"/>
        <n v="0.1"/>
        <n v="0.12"/>
        <n v="0.26"/>
        <n v="0.22"/>
        <n v="0.04"/>
        <n v="0.02"/>
        <n v="0.28000000000000003"/>
        <n v="0.42"/>
        <n v="0.06"/>
        <n v="0.36"/>
        <n v="0.34"/>
        <n v="0.32"/>
        <n v="0.46"/>
        <n v="0.38"/>
        <n v="0.44"/>
        <n v="0.3"/>
      </sharedItems>
    </cacheField>
    <cacheField name="ASSUM TEMP" numFmtId="0">
      <sharedItems containsSemiMixedTypes="0" containsString="0" containsNumber="1" minValue="0" maxValue="0.45450000000000002" count="30">
        <n v="0.28789999999999999"/>
        <n v="0.2576"/>
        <n v="0.40910000000000002"/>
        <n v="0.13639999999999999"/>
        <n v="0.1515"/>
        <n v="0.19700000000000001"/>
        <n v="0.21210000000000001"/>
        <n v="9.0899999999999995E-2"/>
        <n v="0.1212"/>
        <n v="0.2273"/>
        <n v="7.5800000000000006E-2"/>
        <n v="4.5499999999999999E-2"/>
        <n v="3.0300000000000001E-2"/>
        <n v="6.0600000000000001E-2"/>
        <n v="0.16669999999999999"/>
        <n v="0.18179999999999999"/>
        <n v="0.2727"/>
        <n v="0.42420000000000002"/>
        <n v="0"/>
        <n v="0.2424"/>
        <n v="0.1061"/>
        <n v="0.33329999999999999"/>
        <n v="0.31819999999999998"/>
        <n v="0.30299999999999999"/>
        <n v="1.52E-2"/>
        <n v="0.45450000000000002"/>
        <n v="0.39389999999999997"/>
        <n v="0.34849999999999998"/>
        <n v="0.43940000000000001"/>
        <n v="0.36359999999999998"/>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19400000000000001"/>
        <n v="0.3881"/>
        <n v="0.1343"/>
        <n v="0.22389999999999999"/>
        <n v="0.16420000000000001"/>
        <n v="0.28360000000000002"/>
        <n v="0.1045"/>
        <n v="0.29849999999999999"/>
        <n v="0.25369999999999998"/>
        <n v="0.41789999999999999"/>
        <n v="0.35820000000000002"/>
        <n v="0.32840000000000003"/>
        <n v="0.52239999999999998"/>
        <n v="0.4627"/>
        <n v="0.44779999999999998"/>
        <n v="0.55220000000000002"/>
        <n v="0.58209999999999995"/>
        <n v="0.49249999999999999"/>
      </sharedItems>
    </cacheField>
    <cacheField name="CASUAL  CUSTOMER" numFmtId="0">
      <sharedItems containsSemiMixedTypes="0" containsString="0" containsNumber="1" containsInteger="1" minValue="0" maxValue="62"/>
    </cacheField>
    <cacheField name="REGISTERED CUSTOMER"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0.707881481481" createdVersion="6" refreshedVersion="6" minRefreshableVersion="3" recordCount="1000" xr:uid="{78A4B62C-CD74-4235-A925-D406D7290D43}">
  <cacheSource type="worksheet">
    <worksheetSource name="Table5" r:id="rId2"/>
  </cacheSource>
  <cacheFields count="18">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6T00:00:00"/>
        <d v="2011-01-07T00:00:00"/>
        <d v="2011-01-08T00:00:00"/>
        <d v="2011-01-09T00:00:00"/>
        <d v="2011-01-10T00:00:00"/>
        <d v="2011-01-12T00:00:00"/>
        <d v="2011-01-14T00:00:00"/>
        <d v="2011-01-15T00:00:00"/>
        <d v="2011-01-16T00:00:00"/>
        <d v="2011-01-17T00:00:00"/>
        <d v="2011-01-20T00:00:00"/>
        <d v="2011-01-21T00:00:00"/>
        <d v="2011-01-23T00:00:00"/>
        <d v="2011-01-24T00:00:00"/>
        <d v="2011-01-25T00:00:00"/>
        <d v="2011-01-26T00:00:00"/>
        <d v="2011-01-28T00:00:00"/>
        <d v="2011-01-30T00:00:00"/>
        <d v="2011-01-31T00:00:00"/>
        <d v="2011-02-02T00:00:00"/>
        <d v="2011-02-03T00:00:00"/>
        <d v="2011-02-04T00:00:00"/>
        <d v="2011-02-06T00:00:00"/>
        <d v="2011-02-07T00:00:00"/>
        <d v="2011-02-08T00:00:00"/>
        <d v="2011-02-10T00:00:00"/>
        <d v="2011-02-12T00:00:00"/>
        <d v="2011-01-05T00:00:00"/>
        <d v="2011-01-13T00:00:00"/>
        <d v="2011-01-19T00:00:00"/>
        <d v="2011-01-22T00:00:00"/>
        <d v="2011-01-29T00:00:00"/>
        <d v="2011-02-01T00:00:00"/>
        <d v="2011-02-09T00:00:00"/>
        <d v="2011-02-13T00:00:00"/>
        <d v="2011-02-14T00:00:00"/>
        <d v="2011-01-11T00:00:00"/>
        <d v="2011-01-18T00:00:00"/>
        <d v="2011-02-11T00:00:00"/>
        <d v="2011-02-05T00:00:00"/>
        <d v="2011-01-27T00:00:00"/>
      </sharedItems>
      <fieldGroup par="16" base="1">
        <rangePr groupBy="days" startDate="2011-01-01T00:00:00" endDate="2011-02-15T00:00:00"/>
        <groupItems count="368">
          <s v="&lt;1/1/201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5/2011"/>
        </groupItems>
      </fieldGroup>
    </cacheField>
    <cacheField name="SEASON" numFmtId="0">
      <sharedItems containsSemiMixedTypes="0" containsString="0" containsNumber="1" containsInteger="1" minValue="1" maxValue="1" count="1">
        <n v="1"/>
      </sharedItems>
    </cacheField>
    <cacheField name="YEAR" numFmtId="0">
      <sharedItems count="1">
        <s v="2011-12"/>
      </sharedItems>
    </cacheField>
    <cacheField name="MONTH" numFmtId="0">
      <sharedItems count="2">
        <s v="Jan"/>
        <s v="Feb"/>
      </sharedItems>
    </cacheField>
    <cacheField name="HOUR" numFmtId="18">
      <sharedItems containsSemiMixedTypes="0" containsNonDate="0" containsDate="1" containsString="0" minDate="1899-12-30T00:00:00" maxDate="1900-02-09T15:00:00" count="1000">
        <d v="1899-12-30T04:00:00"/>
        <d v="1899-12-30T05:00:00"/>
        <d v="1899-12-31T06:00:00"/>
        <d v="1900-01-01T01:00:00"/>
        <d v="1900-01-01T23:00:00"/>
        <d v="1900-01-03T22:00:00"/>
        <d v="1900-01-04T20:00:00"/>
        <d v="1900-01-04T21:00:00"/>
        <d v="1900-01-05T21:00:00"/>
        <d v="1900-01-06T21:00:00"/>
        <d v="1900-01-06T22:00:00"/>
        <d v="1900-01-06T23:00:00"/>
        <d v="1900-01-07T18:00:00"/>
        <d v="1900-01-07T20:00:00"/>
        <d v="1900-01-09T17:00:00"/>
        <d v="1900-01-11T15:00:00"/>
        <d v="1900-01-11T16:00:00"/>
        <d v="1900-01-12T17:00:00"/>
        <d v="1900-01-13T16:00:00"/>
        <d v="1900-01-13T18:00:00"/>
        <d v="1900-01-14T17:00:00"/>
        <d v="1900-01-17T02:00:00"/>
        <d v="1900-01-17T03:00:00"/>
        <d v="1900-01-18T02:00:00"/>
        <d v="1900-01-18T03:00:00"/>
        <d v="1900-01-20T03:00:00"/>
        <d v="1900-01-20T22:00:00"/>
        <d v="1900-01-20T23:00:00"/>
        <d v="1900-01-21T00:00:00"/>
        <d v="1900-01-21T23:00:00"/>
        <d v="1900-01-22T22:00:00"/>
        <d v="1900-01-23T22:00:00"/>
        <d v="1900-01-25T21:00:00"/>
        <d v="1900-01-26T18:00:00"/>
        <d v="1900-01-28T18:00:00"/>
        <d v="1900-01-28T19:00:00"/>
        <d v="1900-01-29T18:00:00"/>
        <d v="1900-01-30T16:00:00"/>
        <d v="1900-01-30T17:00:00"/>
        <d v="1900-02-01T18:00:00"/>
        <d v="1900-02-01T19:00:00"/>
        <d v="1900-02-02T16:00:00"/>
        <d v="1900-02-03T16:00:00"/>
        <d v="1900-02-05T15:00:00"/>
        <d v="1900-02-07T14:00:00"/>
        <d v="1899-12-30T06:00:00"/>
        <d v="1899-12-31T05:00:00"/>
        <d v="1900-01-01T00:00:00"/>
        <d v="1900-01-01T22:00:00"/>
        <d v="1900-01-02T00:00:00"/>
        <d v="1900-01-02T22:00:00"/>
        <d v="1900-01-02T23:00:00"/>
        <d v="1900-01-03T21:00:00"/>
        <d v="1900-01-05T23:00:00"/>
        <d v="1900-01-10T14:00:00"/>
        <d v="1900-01-10T15:00:00"/>
        <d v="1900-01-13T17:00:00"/>
        <d v="1900-01-14T15:00:00"/>
        <d v="1900-01-16T03:00:00"/>
        <d v="1900-01-17T01:00:00"/>
        <d v="1900-01-18T01:00:00"/>
        <d v="1900-01-19T04:00:00"/>
        <d v="1900-01-20T04:00:00"/>
        <d v="1900-01-21T22:00:00"/>
        <d v="1900-01-23T21:00:00"/>
        <d v="1900-01-24T23:00:00"/>
        <d v="1900-01-26T19:00:00"/>
        <d v="1900-01-26T20:00:00"/>
        <d v="1900-01-27T18:00:00"/>
        <d v="1900-01-27T19:00:00"/>
        <d v="1900-01-28T15:00:00"/>
        <d v="1900-01-29T17:00:00"/>
        <d v="1900-01-29T19:00:00"/>
        <d v="1900-02-01T17:00:00"/>
        <d v="1900-02-02T17:00:00"/>
        <d v="1900-02-03T15:00:00"/>
        <d v="1900-02-03T18:00:00"/>
        <d v="1900-02-04T16:00:00"/>
        <d v="1900-02-07T15:00:00"/>
        <d v="1900-02-08T13:00:00"/>
        <d v="1900-02-09T10:00:00"/>
        <d v="1900-02-09T11:00:00"/>
        <d v="1900-02-09T12:00:00"/>
        <d v="1899-12-30T07:00:00"/>
        <d v="1899-12-31T04:00:00"/>
        <d v="1900-01-01T02:00:00"/>
        <d v="1900-01-03T00:00:00"/>
        <d v="1900-01-07T19:00:00"/>
        <d v="1900-01-07T21:00:00"/>
        <d v="1900-01-07T22:00:00"/>
        <d v="1900-01-08T18:00:00"/>
        <d v="1900-01-08T19:00:00"/>
        <d v="1900-01-10T16:00:00"/>
        <d v="1900-01-10T18:00:00"/>
        <d v="1900-01-12T18:00:00"/>
        <d v="1900-01-13T19:00:00"/>
        <d v="1900-01-14T16:00:00"/>
        <d v="1900-01-15T12:00:00"/>
        <d v="1900-01-16T00:00:00"/>
        <d v="1900-01-16T02:00:00"/>
        <d v="1900-01-19T03:00:00"/>
        <d v="1900-01-20T02:00:00"/>
        <d v="1900-01-23T20:00:00"/>
        <d v="1900-01-24T22:00:00"/>
        <d v="1900-01-25T22:00:00"/>
        <d v="1900-01-25T23:00:00"/>
        <d v="1900-01-27T17:00:00"/>
        <d v="1900-01-27T20:00:00"/>
        <d v="1900-01-28T16:00:00"/>
        <d v="1900-01-28T20:00:00"/>
        <d v="1900-02-02T15:00:00"/>
        <d v="1900-02-03T17:00:00"/>
        <d v="1900-02-04T15:00:00"/>
        <d v="1900-02-05T14:00:00"/>
        <d v="1900-02-06T13:00:00"/>
        <d v="1900-02-08T15:00:00"/>
        <d v="1900-02-09T13:00:00"/>
        <d v="1900-01-02T01:00:00"/>
        <d v="1900-01-03T20:00:00"/>
        <d v="1900-01-03T23:00:00"/>
        <d v="1900-01-06T20:00:00"/>
        <d v="1900-01-10T17:00:00"/>
        <d v="1900-01-15T11:00:00"/>
        <d v="1900-01-23T23:00:00"/>
        <d v="1900-01-28T17:00:00"/>
        <d v="1900-01-31T19:00:00"/>
        <d v="1900-01-31T20:00:00"/>
        <d v="1900-02-03T14:00:00"/>
        <d v="1900-02-06T14:00:00"/>
        <d v="1900-02-07T13:00:00"/>
        <d v="1899-12-31T23:00:00"/>
        <d v="1900-01-01T21:00:00"/>
        <d v="1900-01-04T22:00:00"/>
        <d v="1900-01-05T22:00:00"/>
        <d v="1900-01-07T17:00:00"/>
        <d v="1900-01-09T18:00:00"/>
        <d v="1900-01-11T14:00:00"/>
        <d v="1900-01-12T16:00:00"/>
        <d v="1900-01-14T18:00:00"/>
        <d v="1900-01-17T00:00:00"/>
        <d v="1900-01-18T04:00:00"/>
        <d v="1900-01-20T01:00:00"/>
        <d v="1900-01-21T01:00:00"/>
        <d v="1900-01-21T21:00:00"/>
        <d v="1900-01-22T20:00:00"/>
        <d v="1900-01-25T00:00:00"/>
        <d v="1900-01-29T16:00:00"/>
        <d v="1900-02-02T14:00:00"/>
        <d v="1900-02-08T14:00:00"/>
        <d v="1899-12-31T03:00:00"/>
        <d v="1900-01-02T20:00:00"/>
        <d v="1900-01-02T21:00:00"/>
        <d v="1900-01-07T00:00:00"/>
        <d v="1900-01-07T16:00:00"/>
        <d v="1900-01-08T20:00:00"/>
        <d v="1900-01-09T16:00:00"/>
        <d v="1900-01-17T04:00:00"/>
        <d v="1900-01-18T00:00:00"/>
        <d v="1900-02-05T16:00:00"/>
        <d v="1900-01-04T19:00:00"/>
        <d v="1900-01-05T20:00:00"/>
        <d v="1900-01-09T15:00:00"/>
        <d v="1900-01-10T13:00:00"/>
        <d v="1900-01-16T01:00:00"/>
        <d v="1900-01-16T04:00:00"/>
        <d v="1900-01-19T02:00:00"/>
        <d v="1900-01-20T21:00:00"/>
        <d v="1900-01-26T16:00:00"/>
        <d v="1900-01-26T17:00:00"/>
        <d v="1900-01-30T15:00:00"/>
        <d v="1900-01-30T18:00:00"/>
        <d v="1900-02-04T14:00:00"/>
        <d v="1900-02-04T17:00:00"/>
        <d v="1900-02-05T13:00:00"/>
        <d v="1900-02-06T12:00:00"/>
        <d v="1900-02-09T09:00:00"/>
        <d v="1899-12-30T08:00:00"/>
        <d v="1899-12-31T07:00:00"/>
        <d v="1899-12-31T22:00:00"/>
        <d v="1900-01-11T17:00:00"/>
        <d v="1900-01-12T15:00:00"/>
        <d v="1900-01-14T14:00:00"/>
        <d v="1900-01-19T05:00:00"/>
        <d v="1900-01-22T23:00:00"/>
        <d v="1900-01-24T21:00:00"/>
        <d v="1900-01-25T20:00:00"/>
        <d v="1900-01-26T21:00:00"/>
        <d v="1900-01-27T16:00:00"/>
        <d v="1900-01-31T17:00:00"/>
        <d v="1900-02-01T20:00:00"/>
        <d v="1899-12-31T02:00:00"/>
        <d v="1899-12-31T21:00:00"/>
        <d v="1900-01-06T00:00:00"/>
        <d v="1900-01-21T20:00:00"/>
        <d v="1900-01-22T00:00:00"/>
        <d v="1900-01-23T19:00:00"/>
        <d v="1900-01-31T18:00:00"/>
        <d v="1900-01-07T01:00:00"/>
        <d v="1900-01-12T19:00:00"/>
        <d v="1900-01-22T21:00:00"/>
        <d v="1900-01-31T21:00:00"/>
        <d v="1900-02-02T18:00:00"/>
        <d v="1900-02-03T13:00:00"/>
        <d v="1900-02-07T12:00:00"/>
        <d v="1900-01-02T19:00:00"/>
        <d v="1900-01-03T19:00:00"/>
        <d v="1900-01-06T19:00:00"/>
        <d v="1900-01-19T01:00:00"/>
        <d v="1900-01-25T19:00:00"/>
        <d v="1900-01-31T16:00:00"/>
        <d v="1900-02-07T16:00:00"/>
        <d v="1900-02-09T08:00:00"/>
        <d v="1900-01-01T20:00:00"/>
        <d v="1900-01-06T18:00:00"/>
        <d v="1900-01-08T17:00:00"/>
        <d v="1900-01-12T14:00:00"/>
        <d v="1900-01-19T00:00:00"/>
        <d v="1900-01-26T00:00:00"/>
        <d v="1900-01-29T15:00:00"/>
        <d v="1900-02-04T12:00:00"/>
        <d v="1900-02-08T12:00:00"/>
        <d v="1900-02-08T16:00:00"/>
        <d v="1899-12-30T03:00:00"/>
        <d v="1900-01-14T19:00:00"/>
        <d v="1900-01-15T10:00:00"/>
        <d v="1900-01-16T23:00:00"/>
        <d v="1900-01-18T23:00:00"/>
        <d v="1900-01-19T23:00:00"/>
        <d v="1900-01-30T14:00:00"/>
        <d v="1900-02-01T16:00:00"/>
        <d v="1899-12-30T09:00:00"/>
        <d v="1900-01-11T13:00:00"/>
        <d v="1900-02-06T11:00:00"/>
        <d v="1900-01-05T16:00:00"/>
        <d v="1900-01-06T01:00:00"/>
        <d v="1900-01-07T15:00:00"/>
        <d v="1900-01-11T12:00:00"/>
        <d v="1900-01-13T15:00:00"/>
        <d v="1900-01-21T02:00:00"/>
        <d v="1900-01-24T20:00:00"/>
        <d v="1900-02-02T13:00:00"/>
        <d v="1900-02-07T11:00:00"/>
        <d v="1899-12-30T00:00:00"/>
        <d v="1900-01-05T18:00:00"/>
        <d v="1900-01-05T19:00:00"/>
        <d v="1900-01-09T19:00:00"/>
        <d v="1900-01-13T14:00:00"/>
        <d v="1900-01-14T13:00:00"/>
        <d v="1900-01-23T18:00:00"/>
        <d v="1900-01-24T00:00:00"/>
        <d v="1900-01-28T14:00:00"/>
        <d v="1900-02-05T12:00:00"/>
        <d v="1899-12-31T00:00:00"/>
        <d v="1899-12-31T01:00:00"/>
        <d v="1900-01-04T18:00:00"/>
        <d v="1900-01-11T18:00:00"/>
        <d v="1900-01-14T12:00:00"/>
        <d v="1900-01-22T19:00:00"/>
        <d v="1900-01-27T15:00:00"/>
        <d v="1900-01-31T15:00:00"/>
        <d v="1900-02-04T13:00:00"/>
        <d v="1900-01-08T16:00:00"/>
        <d v="1900-01-13T20:00:00"/>
        <d v="1900-01-14T11:00:00"/>
        <d v="1900-01-20T00:00:00"/>
        <d v="1900-01-28T21:00:00"/>
        <d v="1900-01-31T14:00:00"/>
        <d v="1900-01-03T18:00:00"/>
        <d v="1900-01-07T02:00:00"/>
        <d v="1900-01-09T14:00:00"/>
        <d v="1900-01-20T05:00:00"/>
        <d v="1899-12-31T08:00:00"/>
        <d v="1900-01-01T19:00:00"/>
        <d v="1900-01-06T02:00:00"/>
        <d v="1900-01-07T14:00:00"/>
        <d v="1900-01-09T12:00:00"/>
        <d v="1900-01-10T12:00:00"/>
        <d v="1900-01-12T13:00:00"/>
        <d v="1900-01-15T23:00:00"/>
        <d v="1900-01-24T19:00:00"/>
        <d v="1900-01-31T22:00:00"/>
        <d v="1900-02-01T15:00:00"/>
        <d v="1900-02-08T11:00:00"/>
        <d v="1900-01-14T10:00:00"/>
        <d v="1900-01-17T23:00:00"/>
        <d v="1900-01-20T20:00:00"/>
        <d v="1900-01-26T14:00:00"/>
        <d v="1900-01-26T15:00:00"/>
        <d v="1900-02-02T08:00:00"/>
        <d v="1899-12-31T19:00:00"/>
        <d v="1900-01-06T16:00:00"/>
        <d v="1900-01-15T13:00:00"/>
        <d v="1900-01-19T22:00:00"/>
        <d v="1900-01-27T21:00:00"/>
        <d v="1900-01-04T17:00:00"/>
        <d v="1900-01-12T20:00:00"/>
        <d v="1900-01-13T13:00:00"/>
        <d v="1900-01-24T17:00:00"/>
        <d v="1900-02-01T21:00:00"/>
        <d v="1900-01-08T15:00:00"/>
        <d v="1900-01-21T19:00:00"/>
        <d v="1900-01-23T11:00:00"/>
        <d v="1900-02-06T15:00:00"/>
        <d v="1900-02-07T10:00:00"/>
        <d v="1900-02-08T10:00:00"/>
        <d v="1900-01-05T17:00:00"/>
        <d v="1900-01-06T17:00:00"/>
        <d v="1900-01-20T18:00:00"/>
        <d v="1900-02-03T12:00:00"/>
        <d v="1900-01-13T10:00:00"/>
        <d v="1900-01-23T10:00:00"/>
        <d v="1900-01-24T16:00:00"/>
        <d v="1900-02-02T09:00:00"/>
        <d v="1900-02-05T17:00:00"/>
        <d v="1900-02-09T14:00:00"/>
        <d v="1900-01-08T21:00:00"/>
        <d v="1900-01-12T11:00:00"/>
        <d v="1900-01-15T09:00:00"/>
        <d v="1900-01-18T05:00:00"/>
        <d v="1900-01-18T22:00:00"/>
        <d v="1900-01-19T06:00:00"/>
        <d v="1900-01-23T17:00:00"/>
        <d v="1900-02-02T10:00:00"/>
        <d v="1899-12-30T22:00:00"/>
        <d v="1900-01-06T13:00:00"/>
        <d v="1900-01-10T19:00:00"/>
        <d v="1900-01-12T12:00:00"/>
        <d v="1900-01-14T09:00:00"/>
        <d v="1900-01-15T14:00:00"/>
        <d v="1900-01-16T22:00:00"/>
        <d v="1900-01-20T06:00:00"/>
        <d v="1900-01-20T19:00:00"/>
        <d v="1900-01-23T03:00:00"/>
        <d v="1900-01-24T18:00:00"/>
        <d v="1900-01-26T13:00:00"/>
        <d v="1900-01-30T19:00:00"/>
        <d v="1900-01-09T13:00:00"/>
        <d v="1900-01-24T06:00:00"/>
        <d v="1900-01-25T18:00:00"/>
        <d v="1900-02-04T11:00:00"/>
        <d v="1899-12-31T18:00:00"/>
        <d v="1900-01-01T03:00:00"/>
        <d v="1900-01-06T12:00:00"/>
        <d v="1900-01-08T04:00:00"/>
        <d v="1900-01-11T11:00:00"/>
        <d v="1900-01-19T20:00:00"/>
        <d v="1900-01-23T00:00:00"/>
        <d v="1900-01-24T05:00:00"/>
        <d v="1900-02-02T12:00:00"/>
        <d v="1900-02-02T19:00:00"/>
        <d v="1900-02-07T09:00:00"/>
        <d v="1900-02-07T17:00:00"/>
        <d v="1900-02-09T07:00:00"/>
        <d v="1899-12-31T20:00:00"/>
        <d v="1900-01-07T23:00:00"/>
        <d v="1900-01-08T03:00:00"/>
        <d v="1900-01-17T22:00:00"/>
        <d v="1900-01-24T07:00:00"/>
        <d v="1900-01-31T12:00:00"/>
        <d v="1899-12-30T02:00:00"/>
        <d v="1900-01-09T11:00:00"/>
        <d v="1900-01-13T21:00:00"/>
        <d v="1900-01-16T05:00:00"/>
        <d v="1900-01-25T15:00:00"/>
        <d v="1900-01-29T14:00:00"/>
        <d v="1900-02-08T08:00:00"/>
        <d v="1900-01-03T01:00:00"/>
        <d v="1900-01-10T11:00:00"/>
        <d v="1900-01-12T21:00:00"/>
        <d v="1900-01-14T20:00:00"/>
        <d v="1900-01-15T08:00:00"/>
        <d v="1900-01-15T22:00:00"/>
        <d v="1900-01-19T21:00:00"/>
        <d v="1900-01-25T16:00:00"/>
        <d v="1900-01-25T17:00:00"/>
        <d v="1900-01-26T12:00:00"/>
        <d v="1899-12-30T21:00:00"/>
        <d v="1900-01-04T23:00:00"/>
        <d v="1900-01-06T15:00:00"/>
        <d v="1900-01-18T21:00:00"/>
        <d v="1900-01-25T01:00:00"/>
        <d v="1900-01-25T02:00:00"/>
        <d v="1900-01-27T14:00:00"/>
        <d v="1900-01-31T23:00:00"/>
        <d v="1900-02-06T10:00:00"/>
        <d v="1899-12-30T18:00:00"/>
        <d v="1900-01-02T18:00:00"/>
        <d v="1900-01-09T02:00:00"/>
        <d v="1900-01-10T00:00:00"/>
        <d v="1900-01-15T15:00:00"/>
        <d v="1900-01-17T05:00:00"/>
        <d v="1900-01-20T17:00:00"/>
        <d v="1900-01-21T18:00:00"/>
        <d v="1900-02-05T21:00:00"/>
        <d v="1899-12-30T10:00:00"/>
        <d v="1899-12-30T20:00:00"/>
        <d v="1900-01-02T02:00:00"/>
        <d v="1900-01-04T00:00:00"/>
        <d v="1900-01-05T15:00:00"/>
        <d v="1900-01-12T10:00:00"/>
        <d v="1900-01-22T01:00:00"/>
        <d v="1900-01-23T07:00:00"/>
        <d v="1900-01-23T09:00:00"/>
        <d v="1900-01-25T14:00:00"/>
        <d v="1900-01-28T13:00:00"/>
        <d v="1900-02-09T06:00:00"/>
        <d v="1899-12-30T19:00:00"/>
        <d v="1900-01-06T14:00:00"/>
        <d v="1900-01-11T00:00:00"/>
        <d v="1900-01-26T22:00:00"/>
        <d v="1900-02-03T11:00:00"/>
        <d v="1900-02-05T11:00:00"/>
        <d v="1900-01-07T13:00:00"/>
        <d v="1900-01-08T14:00:00"/>
        <d v="1900-01-10T23:00:00"/>
        <d v="1900-01-23T16:00:00"/>
        <d v="1900-01-24T08:00:00"/>
        <d v="1900-01-26T01:00:00"/>
        <d v="1900-01-30T13:00:00"/>
        <d v="1899-12-30T23:00:00"/>
        <d v="1900-01-05T14:00:00"/>
        <d v="1900-01-09T23:00:00"/>
        <d v="1900-01-13T12:00:00"/>
        <d v="1900-01-19T19:00:00"/>
        <d v="1900-01-29T20:00:00"/>
        <d v="1900-01-31T13:00:00"/>
        <d v="1900-02-01T13:00:00"/>
        <d v="1900-02-03T19:00:00"/>
        <d v="1900-02-08T09:00:00"/>
        <d v="1899-12-30T01:00:00"/>
        <d v="1900-01-11T10:00:00"/>
        <d v="1900-01-19T07:00:00"/>
        <d v="1900-01-21T06:00:00"/>
        <d v="1900-01-22T18:00:00"/>
        <d v="1900-01-29T13:00:00"/>
        <d v="1900-02-08T05:00:00"/>
        <d v="1900-01-07T12:00:00"/>
        <d v="1900-01-13T08:00:00"/>
        <d v="1900-01-15T21:00:00"/>
        <d v="1900-01-18T20:00:00"/>
        <d v="1900-01-23T04:00:00"/>
        <d v="1900-01-24T09:00:00"/>
        <d v="1900-01-30T12:00:00"/>
        <d v="1900-02-04T23:00:00"/>
        <d v="1900-02-08T04:00:00"/>
        <d v="1900-01-02T06:00:00"/>
        <d v="1900-01-03T17:00:00"/>
        <d v="1900-01-11T03:00:00"/>
        <d v="1900-01-03T16:00:00"/>
        <d v="1900-01-23T08:00:00"/>
        <d v="1900-01-25T13:00:00"/>
        <d v="1900-01-31T10:00:00"/>
        <d v="1900-02-04T18:00:00"/>
        <d v="1900-02-07T07:00:00"/>
        <d v="1900-02-07T18:00:00"/>
        <d v="1900-01-01T07:00:00"/>
        <d v="1900-01-10T03:00:00"/>
        <d v="1900-01-11T22:00:00"/>
        <d v="1900-01-13T11:00:00"/>
        <d v="1900-01-27T07:00:00"/>
        <d v="1900-02-01T14:00:00"/>
        <d v="1900-02-06T19:00:00"/>
        <d v="1900-01-04T04:00:00"/>
        <d v="1900-01-08T08:00:00"/>
        <d v="1900-01-19T18:00:00"/>
        <d v="1900-01-21T10:00:00"/>
        <d v="1900-01-22T16:00:00"/>
        <d v="1900-02-01T11:00:00"/>
        <d v="1900-02-01T22:00:00"/>
        <d v="1900-02-05T22:00:00"/>
        <d v="1900-02-08T07:00:00"/>
        <d v="1900-01-03T06:00:00"/>
        <d v="1900-01-21T07:00:00"/>
        <d v="1900-01-31T11:00:00"/>
        <d v="1900-02-05T10:00:00"/>
        <d v="1900-01-08T07:00:00"/>
        <d v="1900-01-09T06:00:00"/>
        <d v="1900-01-14T21:00:00"/>
        <d v="1900-01-16T09:00:00"/>
        <d v="1900-01-23T06:00:00"/>
        <d v="1900-01-28T01:00:00"/>
        <d v="1900-01-30T04:00:00"/>
        <d v="1900-02-01T00:00:00"/>
        <d v="1900-02-03T00:00:00"/>
        <d v="1900-02-07T06:00:00"/>
        <d v="1900-02-08T17:00:00"/>
        <d v="1900-02-09T04:00:00"/>
        <d v="1900-01-02T17:00:00"/>
        <d v="1900-01-04T15:00:00"/>
        <d v="1900-01-07T11:00:00"/>
        <d v="1900-01-23T05:00:00"/>
        <d v="1900-01-27T03:00:00"/>
        <d v="1900-02-03T23:00:00"/>
        <d v="1900-02-06T01:00:00"/>
        <d v="1900-01-07T03:00:00"/>
        <d v="1900-01-07T04:00:00"/>
        <d v="1900-01-10T02:00:00"/>
        <d v="1900-01-10T04:00:00"/>
        <d v="1900-01-20T15:00:00"/>
        <d v="1900-01-24T04:00:00"/>
        <d v="1900-01-28T22:00:00"/>
        <d v="1900-01-05T07:00:00"/>
        <d v="1900-01-20T16:00:00"/>
        <d v="1900-02-03T04:00:00"/>
        <d v="1900-02-04T00:00:00"/>
        <d v="1900-02-04T02:00:00"/>
        <d v="1900-02-06T02:00:00"/>
        <d v="1900-01-01T08:00:00"/>
        <d v="1900-01-05T13:00:00"/>
        <d v="1900-01-09T10:00:00"/>
        <d v="1900-01-28T02:00:00"/>
        <d v="1900-01-30T03:00:00"/>
        <d v="1900-01-30T23:00:00"/>
        <d v="1900-02-04T04:00:00"/>
        <d v="1900-02-06T09:00:00"/>
        <d v="1900-02-08T06:00:00"/>
        <d v="1900-02-09T05:00:00"/>
        <d v="1900-01-01T17:00:00"/>
        <d v="1900-01-01T18:00:00"/>
        <d v="1900-01-04T16:00:00"/>
        <d v="1900-01-08T05:00:00"/>
        <d v="1900-01-09T04:00:00"/>
        <d v="1900-01-11T01:00:00"/>
        <d v="1900-01-12T09:00:00"/>
        <d v="1900-01-16T10:00:00"/>
        <d v="1900-01-27T22:00:00"/>
        <d v="1900-01-28T04:00:00"/>
        <d v="1900-01-28T06:00:00"/>
        <d v="1900-01-29T02:00:00"/>
        <d v="1900-01-30T00:00:00"/>
        <d v="1900-02-01T01:00:00"/>
        <d v="1899-12-31T09:00:00"/>
        <d v="1899-12-31T17:00:00"/>
        <d v="1900-01-11T23:00:00"/>
        <d v="1900-01-18T19:00:00"/>
        <d v="1900-01-19T08:00:00"/>
        <d v="1900-01-22T17:00:00"/>
        <d v="1900-02-07T08:00:00"/>
        <d v="1900-01-02T16:00:00"/>
        <d v="1900-01-08T06:00:00"/>
        <d v="1900-01-09T01:00:00"/>
        <d v="1900-01-09T20:00:00"/>
        <d v="1900-01-19T16:00:00"/>
        <d v="1900-01-27T05:00:00"/>
        <d v="1900-01-28T05:00:00"/>
        <d v="1900-01-30T11:00:00"/>
        <d v="1900-02-04T10:00:00"/>
        <d v="1900-01-06T11:00:00"/>
        <d v="1900-01-10T01:00:00"/>
        <d v="1900-01-20T14:00:00"/>
        <d v="1900-01-22T05:00:00"/>
        <d v="1900-01-25T03:00:00"/>
        <d v="1900-01-26T11:00:00"/>
        <d v="1900-01-28T03:00:00"/>
        <d v="1900-02-01T03:00:00"/>
        <d v="1900-02-02T23:00:00"/>
        <d v="1899-12-30T11:00:00"/>
        <d v="1900-01-10T09:00:00"/>
        <d v="1900-01-17T21:00:00"/>
        <d v="1900-01-27T13:00:00"/>
        <d v="1900-02-01T10:00:00"/>
        <d v="1900-02-04T09:00:00"/>
        <d v="1900-01-02T07:00:00"/>
        <d v="1900-01-03T05:00:00"/>
        <d v="1900-01-09T03:00:00"/>
        <d v="1900-01-10T10:00:00"/>
        <d v="1900-01-13T09:00:00"/>
        <d v="1900-01-14T08:00:00"/>
        <d v="1900-01-14T22:00:00"/>
        <d v="1900-01-17T09:00:00"/>
        <d v="1900-01-17T20:00:00"/>
        <d v="1900-01-21T11:00:00"/>
        <d v="1900-01-20T07:00:00"/>
        <d v="1900-01-23T02:00:00"/>
        <d v="1900-01-24T15:00:00"/>
        <d v="1900-01-25T12:00:00"/>
        <d v="1900-02-05T02:00:00"/>
        <d v="1899-12-31T13:00:00"/>
        <d v="1900-01-04T05:00:00"/>
        <d v="1900-01-05T05:00:00"/>
        <d v="1900-01-12T22:00:00"/>
        <d v="1900-01-16T20:00:00"/>
        <d v="1900-01-16T21:00:00"/>
        <d v="1900-01-18T10:00:00"/>
        <d v="1900-01-19T17:00:00"/>
        <d v="1900-01-21T17:00:00"/>
        <d v="1900-01-23T15:00:00"/>
        <d v="1900-01-26T03:00:00"/>
        <d v="1900-02-01T12:00:00"/>
        <d v="1900-02-04T22:00:00"/>
        <d v="1900-01-11T04:00:00"/>
        <d v="1900-01-15T07:00:00"/>
        <d v="1900-01-21T09:00:00"/>
        <d v="1900-01-24T01:00:00"/>
        <d v="1900-01-30T05:00:00"/>
        <d v="1900-02-01T04:00:00"/>
        <d v="1900-02-03T03:00:00"/>
        <d v="1900-01-01T09:00:00"/>
        <d v="1900-01-01T10:00:00"/>
        <d v="1900-01-06T03:00:00"/>
        <d v="1900-01-12T00:00:00"/>
        <d v="1900-01-14T07:00:00"/>
        <d v="1900-01-15T16:00:00"/>
        <d v="1900-01-22T06:00:00"/>
        <d v="1900-01-29T01:00:00"/>
        <d v="1900-02-05T00:00:00"/>
        <d v="1900-02-09T03:00:00"/>
        <d v="1900-01-03T09:00:00"/>
        <d v="1900-01-03T10:00:00"/>
        <d v="1900-01-04T09:00:00"/>
        <d v="1900-01-06T04:00:00"/>
        <d v="1900-01-07T10:00:00"/>
        <d v="1900-01-18T13:00:00"/>
        <d v="1900-01-24T14:00:00"/>
        <d v="1900-02-02T11:00:00"/>
        <d v="1900-02-06T00:00:00"/>
        <d v="1900-01-02T10:00:00"/>
        <d v="1900-01-05T03:00:00"/>
        <d v="1900-01-09T05:00:00"/>
        <d v="1900-01-18T09:00:00"/>
        <d v="1900-01-19T09:00:00"/>
        <d v="1900-01-21T08:00:00"/>
        <d v="1900-01-29T05:00:00"/>
        <d v="1900-01-29T12:00:00"/>
        <d v="1900-02-07T05:00:00"/>
        <d v="1900-01-01T04:00:00"/>
        <d v="1900-01-11T09:00:00"/>
        <d v="1900-01-12T02:00:00"/>
        <d v="1900-01-14T23:00:00"/>
        <d v="1900-01-25T04:00:00"/>
        <d v="1900-01-26T02:00:00"/>
        <d v="1900-01-28T07:00:00"/>
        <d v="1900-01-28T12:00:00"/>
        <d v="1900-01-29T03:00:00"/>
        <d v="1900-01-30T01:00:00"/>
        <d v="1900-01-31T00:00:00"/>
        <d v="1900-02-03T02:00:00"/>
        <d v="1900-02-04T03:00:00"/>
        <d v="1900-02-05T03:00:00"/>
        <d v="1900-02-06T20:00:00"/>
        <d v="1900-02-08T03:00:00"/>
        <d v="1899-12-31T16:00:00"/>
        <d v="1900-01-02T11:00:00"/>
        <d v="1900-01-18T14:00:00"/>
        <d v="1900-01-20T13:00:00"/>
        <d v="1900-01-25T06:00:00"/>
        <d v="1900-01-26T10:00:00"/>
        <d v="1900-02-04T01:00:00"/>
        <d v="1900-02-03T01:00:00"/>
        <d v="1899-12-30T17:00:00"/>
        <d v="1900-01-04T07:00:00"/>
        <d v="1900-01-05T04:00:00"/>
        <d v="1900-01-14T06:00:00"/>
        <d v="1900-01-19T15:00:00"/>
        <d v="1900-01-10T05:00:00"/>
        <d v="1900-01-12T03:00:00"/>
        <d v="1900-01-12T08:00:00"/>
        <d v="1900-01-17T10:00:00"/>
        <d v="1900-01-18T06:00:00"/>
        <d v="1900-01-22T09:00:00"/>
        <d v="1900-01-25T11:00:00"/>
        <d v="1900-01-27T04:00:00"/>
        <d v="1900-01-04T14:00:00"/>
        <d v="1900-01-06T10:00:00"/>
        <d v="1900-01-27T02:00:00"/>
        <d v="1900-01-30T02:00:00"/>
        <d v="1900-02-01T09:00:00"/>
        <d v="1900-02-05T01:00:00"/>
        <d v="1900-02-05T23:00:00"/>
        <d v="1899-12-31T10:00:00"/>
        <d v="1900-01-04T08:00:00"/>
        <d v="1900-01-11T19:00:00"/>
        <d v="1900-01-16T11:00:00"/>
        <d v="1900-01-17T14:00:00"/>
        <d v="1900-01-19T10:00:00"/>
        <d v="1900-01-21T12:00:00"/>
        <d v="1900-01-03T08:00:00"/>
        <d v="1900-01-15T05:00:00"/>
        <d v="1900-01-31T09:00:00"/>
        <d v="1900-02-01T05:00:00"/>
        <d v="1900-02-06T21:00:00"/>
        <d v="1900-01-01T12:00:00"/>
        <d v="1900-01-05T08:00:00"/>
        <d v="1900-01-07T07:00:00"/>
        <d v="1900-01-10T20:00:00"/>
        <d v="1900-01-12T23:00:00"/>
        <d v="1900-01-23T01:00:00"/>
        <d v="1900-01-26T23:00:00"/>
        <d v="1900-02-01T02:00:00"/>
        <d v="1900-02-06T08:00:00"/>
        <d v="1900-01-05T06:00:00"/>
        <d v="1900-01-18T12:00:00"/>
        <d v="1899-12-31T14:00:00"/>
        <d v="1900-01-06T08:00:00"/>
        <d v="1900-01-08T09:00:00"/>
        <d v="1900-01-08T13:00:00"/>
        <d v="1900-01-13T07:00:00"/>
        <d v="1900-01-28T11:00:00"/>
        <d v="1900-02-06T16:00:00"/>
        <d v="1900-02-07T00:00:00"/>
        <d v="1899-12-31T12:00:00"/>
        <d v="1900-01-07T06:00:00"/>
        <d v="1900-01-16T13:00:00"/>
        <d v="1900-01-19T12:00:00"/>
        <d v="1900-01-29T04:00:00"/>
        <d v="1900-01-29T11:00:00"/>
        <d v="1899-12-31T15:00:00"/>
        <d v="1900-01-01T13:00:00"/>
        <d v="1900-01-06T09:00:00"/>
        <d v="1900-01-09T07:00:00"/>
        <d v="1900-01-16T19:00:00"/>
        <d v="1900-01-29T06:00:00"/>
        <d v="1900-01-01T11:00:00"/>
        <d v="1900-01-08T00:00:00"/>
        <d v="1900-01-12T01:00:00"/>
        <d v="1900-01-20T12:00:00"/>
        <d v="1900-01-26T09:00:00"/>
        <d v="1900-01-02T08:00:00"/>
        <d v="1900-01-11T05:00:00"/>
        <d v="1900-01-16T12:00:00"/>
        <d v="1900-01-18T11:00:00"/>
        <d v="1900-01-25T05:00:00"/>
        <d v="1900-01-27T12:00:00"/>
        <d v="1900-01-30T06:00:00"/>
        <d v="1900-02-01T06:00:00"/>
        <d v="1900-02-02T07:00:00"/>
        <d v="1900-02-03T10:00:00"/>
        <d v="1900-01-03T07:00:00"/>
        <d v="1900-01-13T22:00:00"/>
        <d v="1900-01-23T14:00:00"/>
        <d v="1900-02-05T04:00:00"/>
        <d v="1900-01-15T00:00:00"/>
        <d v="1900-01-24T10:00:00"/>
        <d v="1900-02-06T03:00:00"/>
        <d v="1900-01-09T22:00:00"/>
        <d v="1900-01-17T13:00:00"/>
        <d v="1900-01-21T16:00:00"/>
        <d v="1900-01-07T08:00:00"/>
        <d v="1900-01-15T04:00:00"/>
        <d v="1900-01-16T14:00:00"/>
        <d v="1900-01-31T02:00:00"/>
        <d v="1900-01-02T12:00:00"/>
        <d v="1900-01-07T05:00:00"/>
        <d v="1900-01-10T08:00:00"/>
        <d v="1900-01-11T02:00:00"/>
        <d v="1900-01-13T05:00:00"/>
        <d v="1900-01-15T20:00:00"/>
        <d v="1900-01-19T14:00:00"/>
        <d v="1900-02-01T07:00:00"/>
        <d v="1900-02-04T05:00:00"/>
        <d v="1900-02-05T09:00:00"/>
        <d v="1899-12-30T12:00:00"/>
        <d v="1900-01-04T06:00:00"/>
        <d v="1900-01-05T00:00:00"/>
        <d v="1900-01-13T06:00:00"/>
        <d v="1900-01-17T11:00:00"/>
        <d v="1900-01-19T11:00:00"/>
        <d v="1900-01-21T03:00:00"/>
        <d v="1900-01-22T10:00:00"/>
        <d v="1900-01-23T12:00:00"/>
        <d v="1900-01-26T05:00:00"/>
        <d v="1900-02-01T08:00:00"/>
        <d v="1900-02-05T08:00:00"/>
        <d v="1900-02-06T23:00:00"/>
        <d v="1900-02-07T19:00:00"/>
        <d v="1900-01-04T10:00:00"/>
        <d v="1900-01-15T02:00:00"/>
        <d v="1900-01-27T06:00:00"/>
        <d v="1900-01-27T08:00:00"/>
        <d v="1900-01-31T01:00:00"/>
        <d v="1900-01-05T09:00:00"/>
        <d v="1900-01-20T10:00:00"/>
        <d v="1900-01-29T21:00:00"/>
        <d v="1900-01-30T20:00:00"/>
        <d v="1900-01-01T06:00:00"/>
        <d v="1900-01-03T02:00:00"/>
        <d v="1900-02-03T09:00:00"/>
        <d v="1900-02-05T07:00:00"/>
        <d v="1900-01-03T11:00:00"/>
        <d v="1900-01-03T15:00:00"/>
        <d v="1900-01-13T00:00:00"/>
        <d v="1900-01-24T13:00:00"/>
        <d v="1900-02-01T23:00:00"/>
        <d v="1900-01-12T04:00:00"/>
        <d v="1900-01-16T06:00:00"/>
        <d v="1900-01-31T04:00:00"/>
        <d v="1900-01-14T02:00:00"/>
        <d v="1900-01-17T15:00:00"/>
        <d v="1900-01-25T10:00:00"/>
        <d v="1900-01-29T10:00:00"/>
        <d v="1900-01-31T03:00:00"/>
        <d v="1900-01-07T09:00:00"/>
        <d v="1900-01-12T07:00:00"/>
        <d v="1900-01-15T06:00:00"/>
        <d v="1899-12-30T16:00:00"/>
        <d v="1899-12-31T11:00:00"/>
        <d v="1900-01-13T23:00:00"/>
        <d v="1900-01-15T01:00:00"/>
        <d v="1900-01-15T03:00:00"/>
        <d v="1900-01-22T08:00:00"/>
        <d v="1899-12-30T13:00:00"/>
        <d v="1900-01-02T03:00:00"/>
        <d v="1900-01-08T02:00:00"/>
        <d v="1900-01-04T01:00:00"/>
        <d v="1900-01-05T12:00:00"/>
        <d v="1900-01-06T07:00:00"/>
        <d v="1900-01-08T12:00:00"/>
        <d v="1900-01-09T09:00:00"/>
        <d v="1900-02-02T20:00:00"/>
        <d v="1900-02-09T02:00:00"/>
        <d v="1900-01-18T18:00:00"/>
        <d v="1900-01-30T09:00:00"/>
        <d v="1900-01-02T09:00:00"/>
        <d v="1900-01-18T15:00:00"/>
        <d v="1900-01-26T04:00:00"/>
        <d v="1900-02-06T07:00:00"/>
        <d v="1900-01-06T05:00:00"/>
        <d v="1900-01-17T12:00:00"/>
        <d v="1900-02-09T15:00:00"/>
        <d v="1900-01-08T22:00:00"/>
        <d v="1900-01-11T08:00:00"/>
        <d v="1900-01-14T04:00:00"/>
        <d v="1900-01-15T19:00:00"/>
        <d v="1900-01-20T08:00:00"/>
        <d v="1900-01-25T07:00:00"/>
        <d v="1900-01-31T05:00:00"/>
        <d v="1900-02-04T19:00:00"/>
        <d v="1900-02-05T18:00:00"/>
        <d v="1900-01-02T05:00:00"/>
        <d v="1900-02-03T20:00:00"/>
        <d v="1900-01-13T01:00:00"/>
        <d v="1900-01-17T06:00:00"/>
        <d v="1900-01-24T03:00:00"/>
        <d v="1900-02-04T08:00:00"/>
        <d v="1900-02-07T04:00:00"/>
        <d v="1900-01-06T06:00:00"/>
        <d v="1900-01-21T05:00:00"/>
        <d v="1900-01-19T13:00:00"/>
        <d v="1900-01-29T07:00:00"/>
        <d v="1900-01-31T08:00:00"/>
        <d v="1900-01-14T00:00:00"/>
        <d v="1900-01-16T15:00:00"/>
        <d v="1900-01-23T13:00:00"/>
        <d v="1900-01-14T05:00:00"/>
        <d v="1900-02-08T18:00:00"/>
        <d v="1899-12-30T14:00:00"/>
        <d v="1900-01-21T15:00:00"/>
        <d v="1900-01-22T07:00:00"/>
        <d v="1900-01-25T09:00:00"/>
        <d v="1900-01-22T02:00:00"/>
        <d v="1900-01-28T10:00:00"/>
        <d v="1900-01-16T08:00:00"/>
        <d v="1900-01-24T12:00:00"/>
        <d v="1900-01-26T07:00:00"/>
        <d v="1900-01-30T10:00:00"/>
        <d v="1899-12-30T15:00:00"/>
        <d v="1900-01-01T16:00:00"/>
        <d v="1900-01-20T11:00:00"/>
        <d v="1900-02-06T22:00:00"/>
        <d v="1900-01-27T11:00:00"/>
        <d v="1900-01-02T15:00:00"/>
        <d v="1900-01-04T13:00:00"/>
        <d v="1900-01-16T18:00:00"/>
        <d v="1900-01-27T01:00:00"/>
        <d v="1900-02-06T06:00:00"/>
        <d v="1900-02-08T19:00:00"/>
        <d v="1900-01-14T03:00:00"/>
        <d v="1900-02-03T05:00:00"/>
        <d v="1900-02-07T20:00:00"/>
        <d v="1900-01-03T04:00:00"/>
        <d v="1900-01-20T09:00:00"/>
        <d v="1900-01-22T11:00:00"/>
        <d v="1900-01-28T00:00:00"/>
        <d v="1900-01-11T21:00:00"/>
        <d v="1900-02-02T00:00:00"/>
        <d v="1900-01-13T02:00:00"/>
        <d v="1900-01-14T01:00:00"/>
        <d v="1900-02-02T22:00:00"/>
        <d v="1900-01-22T15:00:00"/>
        <d v="1900-01-18T17:00:00"/>
        <d v="1900-01-25T08:00:00"/>
        <d v="1900-02-07T21:00:00"/>
        <d v="1900-02-07T23:00:00"/>
        <d v="1900-02-02T06:00:00"/>
        <d v="1900-01-04T03:00:00"/>
        <d v="1900-01-26T06:00:00"/>
        <d v="1900-02-05T20:00:00"/>
        <d v="1900-01-05T11:00:00"/>
        <d v="1900-01-26T08:00:00"/>
        <d v="1900-01-29T00:00:00"/>
        <d v="1900-02-04T21:00:00"/>
        <d v="1900-01-15T17:00:00"/>
        <d v="1900-02-07T01:00:00"/>
        <d v="1900-02-09T01:00:00"/>
        <d v="1900-01-17T19:00:00"/>
        <d v="1900-01-30T22:00:00"/>
        <d v="1900-01-09T21:00:00"/>
        <d v="1900-01-13T04:00:00"/>
        <d v="1900-02-03T08:00:00"/>
        <d v="1900-01-13T03:00:00"/>
        <d v="1900-01-09T00:00:00"/>
        <d v="1900-01-03T14:00:00"/>
        <d v="1900-01-15T18:00:00"/>
        <d v="1900-01-29T23:00:00"/>
        <d v="1900-01-05T02:00:00"/>
        <d v="1900-02-09T00:00:00"/>
        <d v="1900-01-27T23:00:00"/>
        <d v="1900-02-03T22:00:00"/>
        <d v="1900-02-07T22:00:00"/>
        <d v="1900-01-09T08:00:00"/>
        <d v="1900-01-10T07:00:00"/>
        <d v="1900-02-08T02:00:00"/>
        <d v="1900-01-10T06:00:00"/>
        <d v="1900-01-10T22:00:00"/>
        <d v="1900-01-12T06:00:00"/>
        <d v="1900-02-06T18:00:00"/>
        <d v="1900-01-17T08:00:00"/>
        <d v="1900-01-11T07:00:00"/>
        <d v="1900-01-22T04:00:00"/>
        <d v="1900-02-08T01:00:00"/>
        <d v="1900-01-22T14:00:00"/>
        <d v="1900-01-30T08:00:00"/>
        <d v="1900-01-24T11:00:00"/>
        <d v="1900-01-17T18:00:00"/>
        <d v="1900-02-04T07:00:00"/>
        <d v="1900-02-08T20:00:00"/>
        <d v="1900-01-21T14:00:00"/>
        <d v="1900-01-01T05:00:00"/>
        <d v="1900-02-08T21:00:00"/>
        <d v="1900-01-08T11:00:00"/>
        <d v="1900-01-28T23:00:00"/>
        <d v="1900-01-31T07:00:00"/>
        <d v="1900-01-27T10:00:00"/>
        <d v="1900-01-01T14:00:00"/>
        <d v="1900-01-01T15:00:00"/>
        <d v="1900-01-24T02:00:00"/>
        <d v="1900-02-02T05:00:00"/>
        <d v="1900-01-11T20:00:00"/>
        <d v="1900-01-12T05:00:00"/>
        <d v="1900-02-06T05:00:00"/>
        <d v="1900-01-16T17:00:00"/>
        <d v="1900-01-18T16:00:00"/>
        <d v="1900-01-27T09:00:00"/>
        <d v="1900-02-02T03:00:00"/>
        <d v="1900-02-08T22:00:00"/>
        <d v="1900-01-11T06:00:00"/>
        <d v="1900-02-08T23:00:00"/>
        <d v="1900-01-04T12:00:00"/>
        <d v="1900-02-06T04:00:00"/>
        <d v="1900-01-18T08:00:00"/>
        <d v="1900-02-05T05:00:00"/>
        <d v="1900-01-28T09:00:00"/>
        <d v="1900-01-03T13:00:00"/>
        <d v="1900-02-05T06:00:00"/>
        <d v="1900-01-04T11:00:00"/>
        <d v="1900-02-02T01:00:00"/>
        <d v="1900-02-07T03:00:00"/>
        <d v="1900-02-08T00:00:00"/>
        <d v="1900-01-30T07:00:00"/>
        <d v="1900-02-03T07:00:00"/>
        <d v="1900-01-28T08:00:00"/>
        <d v="1900-02-04T06:00:00"/>
        <d v="1900-01-21T04:00:00"/>
        <d v="1900-01-08T10:00:00"/>
        <d v="1900-02-05T19:00:00"/>
        <d v="1900-01-02T04:00:00"/>
        <d v="1900-01-02T14:00:00"/>
        <d v="1900-01-29T09:00:00"/>
        <d v="1900-02-02T02:00:00"/>
        <d v="1900-02-02T04:00:00"/>
        <d v="1900-01-21T13:00:00"/>
        <d v="1900-01-17T17:00:00"/>
        <d v="1900-01-27T00:00:00"/>
        <d v="1900-01-05T10:00:00"/>
        <d v="1900-01-08T01:00:00"/>
        <d v="1900-01-29T22:00:00"/>
        <d v="1900-01-03T12:00:00"/>
        <d v="1900-01-29T08:00:00"/>
        <d v="1900-01-03T03:00:00"/>
        <d v="1900-01-16T07:00:00"/>
        <d v="1900-01-16T16:00:00"/>
        <d v="1900-02-04T20:00:00"/>
        <d v="1900-01-10T21:00:00"/>
        <d v="1900-01-31T06:00:00"/>
        <d v="1900-01-05T01:00:00"/>
        <d v="1900-02-07T02:00:00"/>
        <d v="1900-01-02T13:00:00"/>
        <d v="1900-01-17T16:00:00"/>
        <d v="1900-02-03T06:00:00"/>
        <d v="1900-02-06T17:00:00"/>
        <d v="1900-01-08T23:00:00"/>
        <d v="1900-01-18T07:00:00"/>
        <d v="1900-01-04T02:00:00"/>
        <d v="1900-01-30T21:00:00"/>
        <d v="1900-01-22T12:00:00"/>
        <d v="1900-01-22T13:00:00"/>
        <d v="1900-02-02T21:00:00"/>
        <d v="1900-01-22T03:00:00"/>
        <d v="1900-02-03T21:00:00"/>
        <d v="1900-01-17T07:00:00"/>
      </sharedItems>
      <fieldGroup par="17" base="5">
        <rangePr groupBy="days" startDate="1899-12-30T00:00:00" endDate="1900-02-09T15:00:00"/>
        <groupItems count="368">
          <s v="&lt;1/0/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10/1900"/>
        </groupItems>
      </fieldGroup>
    </cacheField>
    <cacheField name="Holiday STATUS" numFmtId="0">
      <sharedItems count="2">
        <s v="Non-Holiday"/>
        <s v="Holiday"/>
      </sharedItems>
    </cacheField>
    <cacheField name="WEEKDAY" numFmtId="0">
      <sharedItems count="7">
        <s v="Saturday"/>
        <s v="Sunday"/>
        <s v="Monday"/>
        <s v="Tuesday"/>
        <s v="Thusday"/>
        <s v="Friday"/>
        <s v="Wednesday"/>
      </sharedItems>
    </cacheField>
    <cacheField name="WEATHERSHIT" numFmtId="0">
      <sharedItems count="4">
        <s v="Bright sunny"/>
        <s v="Little cloudy"/>
        <s v="Heavy rain"/>
        <s v="High thunderstrom"/>
      </sharedItems>
    </cacheField>
    <cacheField name="ACTUAL TEMP" numFmtId="0">
      <sharedItems containsSemiMixedTypes="0" containsString="0" containsNumber="1" minValue="0.02" maxValue="0.46" count="23">
        <n v="0.24"/>
        <n v="0.4"/>
        <n v="0.16"/>
        <n v="0.14000000000000001"/>
        <n v="0.2"/>
        <n v="0.18"/>
        <n v="0.08"/>
        <n v="0.1"/>
        <n v="0.12"/>
        <n v="0.26"/>
        <n v="0.22"/>
        <n v="0.04"/>
        <n v="0.02"/>
        <n v="0.28000000000000003"/>
        <n v="0.42"/>
        <n v="0.06"/>
        <n v="0.36"/>
        <n v="0.34"/>
        <n v="0.32"/>
        <n v="0.46"/>
        <n v="0.38"/>
        <n v="0.44"/>
        <n v="0.3"/>
      </sharedItems>
    </cacheField>
    <cacheField name="ASSUM TEMP" numFmtId="0">
      <sharedItems containsSemiMixedTypes="0" containsString="0" containsNumber="1" minValue="0" maxValue="0.45450000000000002" count="30">
        <n v="0.28789999999999999"/>
        <n v="0.2576"/>
        <n v="0.40910000000000002"/>
        <n v="0.13639999999999999"/>
        <n v="0.1515"/>
        <n v="0.19700000000000001"/>
        <n v="0.21210000000000001"/>
        <n v="9.0899999999999995E-2"/>
        <n v="0.1212"/>
        <n v="0.2273"/>
        <n v="7.5800000000000006E-2"/>
        <n v="4.5499999999999999E-2"/>
        <n v="3.0300000000000001E-2"/>
        <n v="6.0600000000000001E-2"/>
        <n v="0.16669999999999999"/>
        <n v="0.18179999999999999"/>
        <n v="0.2727"/>
        <n v="0.42420000000000002"/>
        <n v="0"/>
        <n v="0.2424"/>
        <n v="0.1061"/>
        <n v="0.33329999999999999"/>
        <n v="0.31819999999999998"/>
        <n v="0.30299999999999999"/>
        <n v="1.52E-2"/>
        <n v="0.45450000000000002"/>
        <n v="0.39389999999999997"/>
        <n v="0.34849999999999998"/>
        <n v="0.43940000000000001"/>
        <n v="0.36359999999999998"/>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19400000000000001"/>
        <n v="0.3881"/>
        <n v="0.1343"/>
        <n v="0.22389999999999999"/>
        <n v="0.16420000000000001"/>
        <n v="0.28360000000000002"/>
        <n v="0.1045"/>
        <n v="0.29849999999999999"/>
        <n v="0.25369999999999998"/>
        <n v="0.41789999999999999"/>
        <n v="0.35820000000000002"/>
        <n v="0.32840000000000003"/>
        <n v="0.52239999999999998"/>
        <n v="0.4627"/>
        <n v="0.44779999999999998"/>
        <n v="0.55220000000000002"/>
        <n v="0.58209999999999995"/>
        <n v="0.49249999999999999"/>
      </sharedItems>
    </cacheField>
    <cacheField name="CASUAL  CUSTOMER" numFmtId="0">
      <sharedItems containsSemiMixedTypes="0" containsString="0" containsNumber="1" containsInteger="1" minValue="0" maxValue="62"/>
    </cacheField>
    <cacheField name="REGISTERED CUSTOMER"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 name="Months" numFmtId="0" databaseField="0">
      <fieldGroup base="1">
        <rangePr groupBy="months" startDate="2011-01-01T00:00:00" endDate="2011-02-15T00:00:00"/>
        <groupItems count="14">
          <s v="&lt;1/1/2011"/>
          <s v="Jan"/>
          <s v="Feb"/>
          <s v="Mar"/>
          <s v="Apr"/>
          <s v="May"/>
          <s v="Jun"/>
          <s v="Jul"/>
          <s v="Aug"/>
          <s v="Sep"/>
          <s v="Oct"/>
          <s v="Nov"/>
          <s v="Dec"/>
          <s v="&gt;2/15/2011"/>
        </groupItems>
      </fieldGroup>
    </cacheField>
    <cacheField name="Months2" numFmtId="0" databaseField="0">
      <fieldGroup base="5">
        <rangePr groupBy="months" startDate="1899-12-30T00:00:00" endDate="1900-02-09T15:00:00"/>
        <groupItems count="14">
          <s v="&lt;1/0/1900"/>
          <s v="Jan"/>
          <s v="Feb"/>
          <s v="Mar"/>
          <s v="Apr"/>
          <s v="May"/>
          <s v="Jun"/>
          <s v="Jul"/>
          <s v="Aug"/>
          <s v="Sep"/>
          <s v="Oct"/>
          <s v="Nov"/>
          <s v="Dec"/>
          <s v="&gt;2/10/1900"/>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10.707882060182" createdVersion="6" refreshedVersion="6" minRefreshableVersion="3" recordCount="1000" xr:uid="{7F28D114-5339-49F0-947D-4A6E8E8A322B}">
  <cacheSource type="worksheet">
    <worksheetSource name="Table5" r:id="rId2"/>
  </cacheSource>
  <cacheFields count="16">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ount="1">
        <n v="1"/>
      </sharedItems>
    </cacheField>
    <cacheField name="YEAR" numFmtId="0">
      <sharedItems count="1">
        <s v="2011-12"/>
      </sharedItems>
    </cacheField>
    <cacheField name="MONTH" numFmtId="0">
      <sharedItems count="2">
        <s v="Jan"/>
        <s v="Feb"/>
      </sharedItems>
    </cacheField>
    <cacheField name="HOUR" numFmtId="18">
      <sharedItems containsSemiMixedTypes="0" containsNonDate="0" containsDate="1" containsString="0" minDate="1899-12-30T00:00:00" maxDate="1900-02-09T15:00:00"/>
    </cacheField>
    <cacheField name="Holiday STATUS" numFmtId="0">
      <sharedItems count="2">
        <s v="Non-Holiday"/>
        <s v="Holiday"/>
      </sharedItems>
    </cacheField>
    <cacheField name="WEEKDAY" numFmtId="0">
      <sharedItems count="7">
        <s v="Saturday"/>
        <s v="Sunday"/>
        <s v="Monday"/>
        <s v="Tuesday"/>
        <s v="Thusday"/>
        <s v="Friday"/>
        <s v="Wednesday"/>
      </sharedItems>
    </cacheField>
    <cacheField name="WEATHERSHIT" numFmtId="0">
      <sharedItems count="4">
        <s v="Bright sunny"/>
        <s v="Little cloudy"/>
        <s v="Heavy rain"/>
        <s v="High thunderstrom"/>
      </sharedItems>
    </cacheField>
    <cacheField name="ACTUAL TEMP" numFmtId="0">
      <sharedItems containsSemiMixedTypes="0" containsString="0" containsNumber="1" minValue="0.02" maxValue="0.46" count="23">
        <n v="0.24"/>
        <n v="0.4"/>
        <n v="0.16"/>
        <n v="0.14000000000000001"/>
        <n v="0.2"/>
        <n v="0.18"/>
        <n v="0.08"/>
        <n v="0.1"/>
        <n v="0.12"/>
        <n v="0.26"/>
        <n v="0.22"/>
        <n v="0.04"/>
        <n v="0.02"/>
        <n v="0.28000000000000003"/>
        <n v="0.42"/>
        <n v="0.06"/>
        <n v="0.36"/>
        <n v="0.34"/>
        <n v="0.32"/>
        <n v="0.46"/>
        <n v="0.38"/>
        <n v="0.44"/>
        <n v="0.3"/>
      </sharedItems>
    </cacheField>
    <cacheField name="ASSUM TEMP" numFmtId="0">
      <sharedItems containsSemiMixedTypes="0" containsString="0" containsNumber="1" minValue="0" maxValue="0.45450000000000002" count="30">
        <n v="0.28789999999999999"/>
        <n v="0.2576"/>
        <n v="0.40910000000000002"/>
        <n v="0.13639999999999999"/>
        <n v="0.1515"/>
        <n v="0.19700000000000001"/>
        <n v="0.21210000000000001"/>
        <n v="9.0899999999999995E-2"/>
        <n v="0.1212"/>
        <n v="0.2273"/>
        <n v="7.5800000000000006E-2"/>
        <n v="4.5499999999999999E-2"/>
        <n v="3.0300000000000001E-2"/>
        <n v="6.0600000000000001E-2"/>
        <n v="0.16669999999999999"/>
        <n v="0.18179999999999999"/>
        <n v="0.2727"/>
        <n v="0.42420000000000002"/>
        <n v="0"/>
        <n v="0.2424"/>
        <n v="0.1061"/>
        <n v="0.33329999999999999"/>
        <n v="0.31819999999999998"/>
        <n v="0.30299999999999999"/>
        <n v="1.52E-2"/>
        <n v="0.45450000000000002"/>
        <n v="0.39389999999999997"/>
        <n v="0.34849999999999998"/>
        <n v="0.43940000000000001"/>
        <n v="0.36359999999999998"/>
      </sharedItems>
    </cacheField>
    <cacheField name="HUMIDITY" numFmtId="0">
      <sharedItems containsSemiMixedTypes="0" containsString="0" containsNumber="1" minValue="0.21" maxValue="1"/>
    </cacheField>
    <cacheField name="WINDSPEED" numFmtId="0">
      <sharedItems containsSemiMixedTypes="0" containsString="0" containsNumber="1" minValue="0" maxValue="0.58209999999999995" count="20">
        <n v="0"/>
        <n v="8.9599999999999999E-2"/>
        <n v="0.19400000000000001"/>
        <n v="0.3881"/>
        <n v="0.1343"/>
        <n v="0.22389999999999999"/>
        <n v="0.16420000000000001"/>
        <n v="0.28360000000000002"/>
        <n v="0.1045"/>
        <n v="0.29849999999999999"/>
        <n v="0.25369999999999998"/>
        <n v="0.41789999999999999"/>
        <n v="0.35820000000000002"/>
        <n v="0.32840000000000003"/>
        <n v="0.52239999999999998"/>
        <n v="0.4627"/>
        <n v="0.44779999999999998"/>
        <n v="0.55220000000000002"/>
        <n v="0.58209999999999995"/>
        <n v="0.49249999999999999"/>
      </sharedItems>
    </cacheField>
    <cacheField name="CASUAL  CUSTOMER" numFmtId="0">
      <sharedItems containsSemiMixedTypes="0" containsString="0" containsNumber="1" containsInteger="1" minValue="0" maxValue="62"/>
    </cacheField>
    <cacheField name="REGISTERED CUSTOMER" numFmtId="0">
      <sharedItems containsSemiMixedTypes="0" containsString="0" containsNumber="1" containsInteger="1" minValue="0" maxValue="247"/>
    </cacheField>
    <cacheField name="TOTAL" numFmtId="0">
      <sharedItems containsSemiMixedTypes="0" containsString="0" containsNumber="1" containsInteger="1" minValue="1" maxValue="2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d v="2011-01-01T00:00:00"/>
    <x v="0"/>
    <x v="0"/>
    <x v="0"/>
    <x v="0"/>
    <x v="0"/>
    <x v="0"/>
    <x v="0"/>
    <x v="0"/>
    <x v="0"/>
    <n v="0.75"/>
    <x v="0"/>
    <n v="0"/>
    <n v="1"/>
    <n v="1"/>
  </r>
  <r>
    <n v="6"/>
    <d v="2011-01-01T00:00:00"/>
    <x v="0"/>
    <x v="0"/>
    <x v="0"/>
    <x v="1"/>
    <x v="0"/>
    <x v="0"/>
    <x v="1"/>
    <x v="0"/>
    <x v="1"/>
    <n v="0.75"/>
    <x v="1"/>
    <n v="0"/>
    <n v="1"/>
    <n v="1"/>
  </r>
  <r>
    <n v="31"/>
    <d v="2011-01-02T00:00:00"/>
    <x v="0"/>
    <x v="0"/>
    <x v="0"/>
    <x v="2"/>
    <x v="0"/>
    <x v="1"/>
    <x v="1"/>
    <x v="1"/>
    <x v="2"/>
    <n v="0.76"/>
    <x v="2"/>
    <n v="0"/>
    <n v="1"/>
    <n v="1"/>
  </r>
  <r>
    <n v="50"/>
    <d v="2011-01-03T00:00:00"/>
    <x v="0"/>
    <x v="0"/>
    <x v="0"/>
    <x v="3"/>
    <x v="0"/>
    <x v="2"/>
    <x v="0"/>
    <x v="2"/>
    <x v="3"/>
    <n v="0.47"/>
    <x v="3"/>
    <n v="0"/>
    <n v="1"/>
    <n v="1"/>
  </r>
  <r>
    <n v="72"/>
    <d v="2011-01-04T00:00:00"/>
    <x v="0"/>
    <x v="0"/>
    <x v="0"/>
    <x v="4"/>
    <x v="0"/>
    <x v="3"/>
    <x v="0"/>
    <x v="3"/>
    <x v="4"/>
    <n v="0.63"/>
    <x v="4"/>
    <n v="0"/>
    <n v="1"/>
    <n v="1"/>
  </r>
  <r>
    <n v="119"/>
    <d v="2011-01-06T00:00:00"/>
    <x v="0"/>
    <x v="0"/>
    <x v="0"/>
    <x v="5"/>
    <x v="0"/>
    <x v="4"/>
    <x v="1"/>
    <x v="2"/>
    <x v="5"/>
    <n v="0.64"/>
    <x v="1"/>
    <n v="0"/>
    <n v="1"/>
    <n v="1"/>
  </r>
  <r>
    <n v="141"/>
    <d v="2011-01-07T00:00:00"/>
    <x v="0"/>
    <x v="0"/>
    <x v="0"/>
    <x v="6"/>
    <x v="0"/>
    <x v="5"/>
    <x v="1"/>
    <x v="4"/>
    <x v="5"/>
    <n v="0.69"/>
    <x v="5"/>
    <n v="0"/>
    <n v="1"/>
    <n v="1"/>
  </r>
  <r>
    <n v="142"/>
    <d v="2011-01-07T00:00:00"/>
    <x v="0"/>
    <x v="0"/>
    <x v="0"/>
    <x v="7"/>
    <x v="0"/>
    <x v="5"/>
    <x v="1"/>
    <x v="4"/>
    <x v="6"/>
    <n v="0.69"/>
    <x v="4"/>
    <n v="0"/>
    <n v="1"/>
    <n v="1"/>
  </r>
  <r>
    <n v="166"/>
    <d v="2011-01-08T00:00:00"/>
    <x v="0"/>
    <x v="0"/>
    <x v="0"/>
    <x v="8"/>
    <x v="0"/>
    <x v="0"/>
    <x v="2"/>
    <x v="5"/>
    <x v="5"/>
    <n v="0.55000000000000004"/>
    <x v="6"/>
    <n v="0"/>
    <n v="1"/>
    <n v="1"/>
  </r>
  <r>
    <n v="190"/>
    <d v="2011-01-09T00:00:00"/>
    <x v="0"/>
    <x v="0"/>
    <x v="0"/>
    <x v="9"/>
    <x v="0"/>
    <x v="1"/>
    <x v="0"/>
    <x v="6"/>
    <x v="7"/>
    <n v="0.53"/>
    <x v="2"/>
    <n v="0"/>
    <n v="1"/>
    <n v="1"/>
  </r>
  <r>
    <n v="191"/>
    <d v="2011-01-09T00:00:00"/>
    <x v="0"/>
    <x v="0"/>
    <x v="0"/>
    <x v="10"/>
    <x v="0"/>
    <x v="1"/>
    <x v="0"/>
    <x v="6"/>
    <x v="7"/>
    <n v="0.53"/>
    <x v="2"/>
    <n v="0"/>
    <n v="1"/>
    <n v="1"/>
  </r>
  <r>
    <n v="192"/>
    <d v="2011-01-09T00:00:00"/>
    <x v="0"/>
    <x v="0"/>
    <x v="0"/>
    <x v="11"/>
    <x v="0"/>
    <x v="1"/>
    <x v="0"/>
    <x v="7"/>
    <x v="7"/>
    <n v="0.49"/>
    <x v="7"/>
    <n v="0"/>
    <n v="1"/>
    <n v="1"/>
  </r>
  <r>
    <n v="211"/>
    <d v="2011-01-10T00:00:00"/>
    <x v="0"/>
    <x v="0"/>
    <x v="0"/>
    <x v="12"/>
    <x v="0"/>
    <x v="2"/>
    <x v="0"/>
    <x v="8"/>
    <x v="8"/>
    <n v="0.5"/>
    <x v="7"/>
    <n v="1"/>
    <n v="0"/>
    <n v="1"/>
  </r>
  <r>
    <n v="213"/>
    <d v="2011-01-10T00:00:00"/>
    <x v="0"/>
    <x v="0"/>
    <x v="0"/>
    <x v="13"/>
    <x v="0"/>
    <x v="2"/>
    <x v="0"/>
    <x v="8"/>
    <x v="8"/>
    <n v="0.5"/>
    <x v="5"/>
    <n v="0"/>
    <n v="1"/>
    <n v="1"/>
  </r>
  <r>
    <n v="258"/>
    <d v="2011-01-12T00:00:00"/>
    <x v="0"/>
    <x v="0"/>
    <x v="0"/>
    <x v="14"/>
    <x v="0"/>
    <x v="6"/>
    <x v="0"/>
    <x v="3"/>
    <x v="4"/>
    <n v="0.86"/>
    <x v="4"/>
    <n v="0"/>
    <n v="1"/>
    <n v="1"/>
  </r>
  <r>
    <n v="304"/>
    <d v="2011-01-14T00:00:00"/>
    <x v="0"/>
    <x v="0"/>
    <x v="0"/>
    <x v="15"/>
    <x v="0"/>
    <x v="5"/>
    <x v="0"/>
    <x v="7"/>
    <x v="8"/>
    <n v="0.54"/>
    <x v="4"/>
    <n v="0"/>
    <n v="1"/>
    <n v="1"/>
  </r>
  <r>
    <n v="305"/>
    <d v="2011-01-14T00:00:00"/>
    <x v="0"/>
    <x v="0"/>
    <x v="0"/>
    <x v="16"/>
    <x v="0"/>
    <x v="5"/>
    <x v="0"/>
    <x v="7"/>
    <x v="3"/>
    <n v="0.54"/>
    <x v="8"/>
    <n v="0"/>
    <n v="1"/>
    <n v="1"/>
  </r>
  <r>
    <n v="330"/>
    <d v="2011-01-15T00:00:00"/>
    <x v="0"/>
    <x v="0"/>
    <x v="0"/>
    <x v="17"/>
    <x v="0"/>
    <x v="0"/>
    <x v="0"/>
    <x v="2"/>
    <x v="9"/>
    <n v="0.59"/>
    <x v="0"/>
    <n v="0"/>
    <n v="1"/>
    <n v="1"/>
  </r>
  <r>
    <n v="353"/>
    <d v="2011-01-16T00:00:00"/>
    <x v="0"/>
    <x v="0"/>
    <x v="0"/>
    <x v="18"/>
    <x v="0"/>
    <x v="1"/>
    <x v="0"/>
    <x v="9"/>
    <x v="1"/>
    <n v="0.56000000000000005"/>
    <x v="6"/>
    <n v="0"/>
    <n v="1"/>
    <n v="1"/>
  </r>
  <r>
    <n v="355"/>
    <d v="2011-01-16T00:00:00"/>
    <x v="0"/>
    <x v="0"/>
    <x v="0"/>
    <x v="19"/>
    <x v="0"/>
    <x v="1"/>
    <x v="1"/>
    <x v="9"/>
    <x v="1"/>
    <n v="0.56000000000000005"/>
    <x v="6"/>
    <n v="0"/>
    <n v="1"/>
    <n v="1"/>
  </r>
  <r>
    <n v="378"/>
    <d v="2011-01-17T00:00:00"/>
    <x v="0"/>
    <x v="0"/>
    <x v="0"/>
    <x v="20"/>
    <x v="1"/>
    <x v="2"/>
    <x v="1"/>
    <x v="5"/>
    <x v="5"/>
    <n v="0.43"/>
    <x v="6"/>
    <n v="0"/>
    <n v="1"/>
    <n v="1"/>
  </r>
  <r>
    <n v="435"/>
    <d v="2011-01-20T00:00:00"/>
    <x v="0"/>
    <x v="0"/>
    <x v="0"/>
    <x v="21"/>
    <x v="0"/>
    <x v="4"/>
    <x v="0"/>
    <x v="9"/>
    <x v="1"/>
    <n v="0.56000000000000005"/>
    <x v="6"/>
    <n v="0"/>
    <n v="1"/>
    <n v="1"/>
  </r>
  <r>
    <n v="436"/>
    <d v="2011-01-20T00:00:00"/>
    <x v="0"/>
    <x v="0"/>
    <x v="0"/>
    <x v="22"/>
    <x v="0"/>
    <x v="4"/>
    <x v="0"/>
    <x v="9"/>
    <x v="1"/>
    <n v="0.56000000000000005"/>
    <x v="6"/>
    <n v="0"/>
    <n v="1"/>
    <n v="1"/>
  </r>
  <r>
    <n v="459"/>
    <d v="2011-01-21T00:00:00"/>
    <x v="0"/>
    <x v="0"/>
    <x v="0"/>
    <x v="23"/>
    <x v="0"/>
    <x v="5"/>
    <x v="2"/>
    <x v="10"/>
    <x v="6"/>
    <n v="0.8"/>
    <x v="9"/>
    <n v="0"/>
    <n v="1"/>
    <n v="1"/>
  </r>
  <r>
    <n v="460"/>
    <d v="2011-01-21T00:00:00"/>
    <x v="0"/>
    <x v="0"/>
    <x v="0"/>
    <x v="24"/>
    <x v="0"/>
    <x v="5"/>
    <x v="1"/>
    <x v="10"/>
    <x v="1"/>
    <n v="0.87"/>
    <x v="1"/>
    <n v="0"/>
    <n v="1"/>
    <n v="1"/>
  </r>
  <r>
    <n v="508"/>
    <d v="2011-01-23T00:00:00"/>
    <x v="0"/>
    <x v="0"/>
    <x v="0"/>
    <x v="25"/>
    <x v="0"/>
    <x v="1"/>
    <x v="1"/>
    <x v="11"/>
    <x v="10"/>
    <n v="0.56999999999999995"/>
    <x v="8"/>
    <n v="0"/>
    <n v="1"/>
    <n v="1"/>
  </r>
  <r>
    <n v="527"/>
    <d v="2011-01-24T00:00:00"/>
    <x v="0"/>
    <x v="0"/>
    <x v="0"/>
    <x v="26"/>
    <x v="0"/>
    <x v="2"/>
    <x v="0"/>
    <x v="11"/>
    <x v="11"/>
    <n v="0.45"/>
    <x v="2"/>
    <n v="0"/>
    <n v="1"/>
    <n v="1"/>
  </r>
  <r>
    <n v="528"/>
    <d v="2011-01-24T00:00:00"/>
    <x v="0"/>
    <x v="0"/>
    <x v="0"/>
    <x v="27"/>
    <x v="0"/>
    <x v="2"/>
    <x v="0"/>
    <x v="11"/>
    <x v="12"/>
    <n v="0.45"/>
    <x v="10"/>
    <n v="0"/>
    <n v="1"/>
    <n v="1"/>
  </r>
  <r>
    <n v="529"/>
    <d v="2011-01-24T00:00:00"/>
    <x v="0"/>
    <x v="0"/>
    <x v="0"/>
    <x v="28"/>
    <x v="0"/>
    <x v="2"/>
    <x v="0"/>
    <x v="12"/>
    <x v="13"/>
    <n v="0.48"/>
    <x v="4"/>
    <n v="0"/>
    <n v="1"/>
    <n v="1"/>
  </r>
  <r>
    <n v="552"/>
    <d v="2011-01-25T00:00:00"/>
    <x v="0"/>
    <x v="0"/>
    <x v="0"/>
    <x v="29"/>
    <x v="0"/>
    <x v="3"/>
    <x v="0"/>
    <x v="3"/>
    <x v="14"/>
    <n v="0.74"/>
    <x v="8"/>
    <n v="0"/>
    <n v="1"/>
    <n v="1"/>
  </r>
  <r>
    <n v="575"/>
    <d v="2011-01-26T00:00:00"/>
    <x v="0"/>
    <x v="0"/>
    <x v="0"/>
    <x v="30"/>
    <x v="0"/>
    <x v="6"/>
    <x v="2"/>
    <x v="4"/>
    <x v="15"/>
    <n v="0.86"/>
    <x v="7"/>
    <n v="0"/>
    <n v="1"/>
    <n v="1"/>
  </r>
  <r>
    <n v="599"/>
    <d v="2011-01-28T00:00:00"/>
    <x v="0"/>
    <x v="0"/>
    <x v="0"/>
    <x v="31"/>
    <x v="0"/>
    <x v="5"/>
    <x v="1"/>
    <x v="4"/>
    <x v="9"/>
    <n v="0.75"/>
    <x v="8"/>
    <n v="1"/>
    <n v="0"/>
    <n v="1"/>
  </r>
  <r>
    <n v="646"/>
    <d v="2011-01-30T00:00:00"/>
    <x v="0"/>
    <x v="0"/>
    <x v="0"/>
    <x v="32"/>
    <x v="0"/>
    <x v="1"/>
    <x v="0"/>
    <x v="3"/>
    <x v="6"/>
    <n v="0.93"/>
    <x v="0"/>
    <n v="0"/>
    <n v="1"/>
    <n v="1"/>
  </r>
  <r>
    <n v="667"/>
    <d v="2011-01-31T00:00:00"/>
    <x v="0"/>
    <x v="0"/>
    <x v="0"/>
    <x v="33"/>
    <x v="0"/>
    <x v="2"/>
    <x v="0"/>
    <x v="10"/>
    <x v="9"/>
    <n v="0.64"/>
    <x v="2"/>
    <n v="0"/>
    <n v="1"/>
    <n v="1"/>
  </r>
  <r>
    <n v="715"/>
    <d v="2011-02-02T00:00:00"/>
    <x v="0"/>
    <x v="0"/>
    <x v="1"/>
    <x v="34"/>
    <x v="0"/>
    <x v="6"/>
    <x v="2"/>
    <x v="10"/>
    <x v="9"/>
    <n v="0.93"/>
    <x v="4"/>
    <n v="0"/>
    <n v="1"/>
    <n v="1"/>
  </r>
  <r>
    <n v="716"/>
    <d v="2011-02-02T00:00:00"/>
    <x v="0"/>
    <x v="0"/>
    <x v="1"/>
    <x v="35"/>
    <x v="0"/>
    <x v="6"/>
    <x v="2"/>
    <x v="10"/>
    <x v="6"/>
    <n v="0.93"/>
    <x v="7"/>
    <n v="0"/>
    <n v="1"/>
    <n v="1"/>
  </r>
  <r>
    <n v="739"/>
    <d v="2011-02-03T00:00:00"/>
    <x v="0"/>
    <x v="0"/>
    <x v="1"/>
    <x v="36"/>
    <x v="0"/>
    <x v="4"/>
    <x v="0"/>
    <x v="5"/>
    <x v="14"/>
    <n v="0.43"/>
    <x v="10"/>
    <n v="0"/>
    <n v="1"/>
    <n v="1"/>
  </r>
  <r>
    <n v="761"/>
    <d v="2011-02-04T00:00:00"/>
    <x v="0"/>
    <x v="0"/>
    <x v="1"/>
    <x v="37"/>
    <x v="0"/>
    <x v="5"/>
    <x v="1"/>
    <x v="3"/>
    <x v="14"/>
    <n v="0.63"/>
    <x v="8"/>
    <n v="0"/>
    <n v="1"/>
    <n v="1"/>
  </r>
  <r>
    <n v="762"/>
    <d v="2011-02-04T00:00:00"/>
    <x v="0"/>
    <x v="0"/>
    <x v="1"/>
    <x v="38"/>
    <x v="0"/>
    <x v="5"/>
    <x v="1"/>
    <x v="3"/>
    <x v="14"/>
    <n v="0.63"/>
    <x v="8"/>
    <n v="0"/>
    <n v="1"/>
    <n v="1"/>
  </r>
  <r>
    <n v="811"/>
    <d v="2011-02-06T00:00:00"/>
    <x v="0"/>
    <x v="0"/>
    <x v="1"/>
    <x v="39"/>
    <x v="0"/>
    <x v="1"/>
    <x v="0"/>
    <x v="9"/>
    <x v="1"/>
    <n v="0.6"/>
    <x v="5"/>
    <n v="0"/>
    <n v="1"/>
    <n v="1"/>
  </r>
  <r>
    <n v="812"/>
    <d v="2011-02-06T00:00:00"/>
    <x v="0"/>
    <x v="0"/>
    <x v="1"/>
    <x v="40"/>
    <x v="0"/>
    <x v="1"/>
    <x v="0"/>
    <x v="9"/>
    <x v="1"/>
    <n v="0.6"/>
    <x v="5"/>
    <n v="0"/>
    <n v="1"/>
    <n v="1"/>
  </r>
  <r>
    <n v="833"/>
    <d v="2011-02-07T00:00:00"/>
    <x v="0"/>
    <x v="0"/>
    <x v="1"/>
    <x v="41"/>
    <x v="0"/>
    <x v="2"/>
    <x v="0"/>
    <x v="4"/>
    <x v="1"/>
    <n v="0.86"/>
    <x v="0"/>
    <n v="0"/>
    <n v="1"/>
    <n v="1"/>
  </r>
  <r>
    <n v="857"/>
    <d v="2011-02-08T00:00:00"/>
    <x v="0"/>
    <x v="0"/>
    <x v="1"/>
    <x v="42"/>
    <x v="0"/>
    <x v="3"/>
    <x v="2"/>
    <x v="13"/>
    <x v="16"/>
    <n v="0.93"/>
    <x v="6"/>
    <n v="0"/>
    <n v="1"/>
    <n v="1"/>
  </r>
  <r>
    <n v="904"/>
    <d v="2011-02-10T00:00:00"/>
    <x v="0"/>
    <x v="0"/>
    <x v="1"/>
    <x v="43"/>
    <x v="0"/>
    <x v="4"/>
    <x v="1"/>
    <x v="3"/>
    <x v="3"/>
    <n v="0.59"/>
    <x v="5"/>
    <n v="0"/>
    <n v="1"/>
    <n v="1"/>
  </r>
  <r>
    <n v="951"/>
    <d v="2011-02-12T00:00:00"/>
    <x v="0"/>
    <x v="0"/>
    <x v="1"/>
    <x v="44"/>
    <x v="0"/>
    <x v="0"/>
    <x v="0"/>
    <x v="8"/>
    <x v="14"/>
    <n v="0.74"/>
    <x v="1"/>
    <n v="0"/>
    <n v="1"/>
    <n v="1"/>
  </r>
  <r>
    <n v="7"/>
    <d v="2011-01-01T00:00:00"/>
    <x v="0"/>
    <x v="0"/>
    <x v="0"/>
    <x v="45"/>
    <x v="0"/>
    <x v="0"/>
    <x v="0"/>
    <x v="10"/>
    <x v="16"/>
    <n v="0.8"/>
    <x v="0"/>
    <n v="2"/>
    <n v="0"/>
    <n v="2"/>
  </r>
  <r>
    <n v="30"/>
    <d v="2011-01-02T00:00:00"/>
    <x v="0"/>
    <x v="0"/>
    <x v="0"/>
    <x v="46"/>
    <x v="0"/>
    <x v="1"/>
    <x v="2"/>
    <x v="14"/>
    <x v="17"/>
    <n v="0.77"/>
    <x v="9"/>
    <n v="0"/>
    <n v="2"/>
    <n v="2"/>
  </r>
  <r>
    <n v="49"/>
    <d v="2011-01-03T00:00:00"/>
    <x v="0"/>
    <x v="0"/>
    <x v="0"/>
    <x v="47"/>
    <x v="0"/>
    <x v="2"/>
    <x v="0"/>
    <x v="4"/>
    <x v="18"/>
    <n v="0.44"/>
    <x v="11"/>
    <n v="0"/>
    <n v="2"/>
    <n v="2"/>
  </r>
  <r>
    <n v="71"/>
    <d v="2011-01-04T00:00:00"/>
    <x v="0"/>
    <x v="0"/>
    <x v="0"/>
    <x v="48"/>
    <x v="0"/>
    <x v="3"/>
    <x v="0"/>
    <x v="2"/>
    <x v="15"/>
    <n v="0.59"/>
    <x v="8"/>
    <n v="0"/>
    <n v="2"/>
    <n v="2"/>
  </r>
  <r>
    <n v="73"/>
    <d v="2011-01-04T00:00:00"/>
    <x v="0"/>
    <x v="0"/>
    <x v="0"/>
    <x v="49"/>
    <x v="0"/>
    <x v="3"/>
    <x v="0"/>
    <x v="3"/>
    <x v="15"/>
    <n v="0.63"/>
    <x v="1"/>
    <n v="0"/>
    <n v="2"/>
    <n v="2"/>
  </r>
  <r>
    <n v="95"/>
    <d v="2011-01-05T00:00:00"/>
    <x v="0"/>
    <x v="0"/>
    <x v="0"/>
    <x v="50"/>
    <x v="0"/>
    <x v="6"/>
    <x v="0"/>
    <x v="2"/>
    <x v="5"/>
    <n v="0.74"/>
    <x v="1"/>
    <n v="0"/>
    <n v="2"/>
    <n v="2"/>
  </r>
  <r>
    <n v="96"/>
    <d v="2011-01-05T00:00:00"/>
    <x v="0"/>
    <x v="0"/>
    <x v="0"/>
    <x v="51"/>
    <x v="0"/>
    <x v="6"/>
    <x v="0"/>
    <x v="0"/>
    <x v="9"/>
    <n v="0.48"/>
    <x v="5"/>
    <n v="0"/>
    <n v="2"/>
    <n v="2"/>
  </r>
  <r>
    <n v="118"/>
    <d v="2011-01-06T00:00:00"/>
    <x v="0"/>
    <x v="0"/>
    <x v="0"/>
    <x v="52"/>
    <x v="0"/>
    <x v="4"/>
    <x v="0"/>
    <x v="2"/>
    <x v="9"/>
    <n v="0.64"/>
    <x v="0"/>
    <n v="0"/>
    <n v="2"/>
    <n v="2"/>
  </r>
  <r>
    <n v="168"/>
    <d v="2011-01-08T00:00:00"/>
    <x v="0"/>
    <x v="0"/>
    <x v="0"/>
    <x v="53"/>
    <x v="0"/>
    <x v="0"/>
    <x v="1"/>
    <x v="2"/>
    <x v="14"/>
    <n v="0.74"/>
    <x v="6"/>
    <n v="0"/>
    <n v="2"/>
    <n v="2"/>
  </r>
  <r>
    <n v="279"/>
    <d v="2011-01-13T00:00:00"/>
    <x v="0"/>
    <x v="0"/>
    <x v="0"/>
    <x v="54"/>
    <x v="0"/>
    <x v="4"/>
    <x v="0"/>
    <x v="3"/>
    <x v="8"/>
    <n v="0.5"/>
    <x v="7"/>
    <n v="0"/>
    <n v="2"/>
    <n v="2"/>
  </r>
  <r>
    <n v="280"/>
    <d v="2011-01-13T00:00:00"/>
    <x v="0"/>
    <x v="0"/>
    <x v="0"/>
    <x v="55"/>
    <x v="0"/>
    <x v="4"/>
    <x v="0"/>
    <x v="3"/>
    <x v="8"/>
    <n v="0.5"/>
    <x v="12"/>
    <n v="0"/>
    <n v="2"/>
    <n v="2"/>
  </r>
  <r>
    <n v="354"/>
    <d v="2011-01-16T00:00:00"/>
    <x v="0"/>
    <x v="0"/>
    <x v="0"/>
    <x v="56"/>
    <x v="0"/>
    <x v="1"/>
    <x v="1"/>
    <x v="9"/>
    <x v="1"/>
    <n v="0.56000000000000005"/>
    <x v="6"/>
    <n v="1"/>
    <n v="1"/>
    <n v="2"/>
  </r>
  <r>
    <n v="376"/>
    <d v="2011-01-17T00:00:00"/>
    <x v="0"/>
    <x v="0"/>
    <x v="0"/>
    <x v="57"/>
    <x v="1"/>
    <x v="2"/>
    <x v="1"/>
    <x v="5"/>
    <x v="15"/>
    <n v="0.43"/>
    <x v="2"/>
    <n v="0"/>
    <n v="2"/>
    <n v="2"/>
  </r>
  <r>
    <n v="412"/>
    <d v="2011-01-19T00:00:00"/>
    <x v="0"/>
    <x v="0"/>
    <x v="0"/>
    <x v="58"/>
    <x v="0"/>
    <x v="6"/>
    <x v="2"/>
    <x v="10"/>
    <x v="9"/>
    <n v="0.93"/>
    <x v="4"/>
    <n v="1"/>
    <n v="1"/>
    <n v="2"/>
  </r>
  <r>
    <n v="434"/>
    <d v="2011-01-20T00:00:00"/>
    <x v="0"/>
    <x v="0"/>
    <x v="0"/>
    <x v="59"/>
    <x v="0"/>
    <x v="4"/>
    <x v="0"/>
    <x v="9"/>
    <x v="16"/>
    <n v="0.56000000000000005"/>
    <x v="0"/>
    <n v="0"/>
    <n v="2"/>
    <n v="2"/>
  </r>
  <r>
    <n v="458"/>
    <d v="2011-01-21T00:00:00"/>
    <x v="0"/>
    <x v="0"/>
    <x v="0"/>
    <x v="60"/>
    <x v="0"/>
    <x v="5"/>
    <x v="2"/>
    <x v="0"/>
    <x v="19"/>
    <n v="0.75"/>
    <x v="6"/>
    <n v="0"/>
    <n v="2"/>
    <n v="2"/>
  </r>
  <r>
    <n v="485"/>
    <d v="2011-01-22T00:00:00"/>
    <x v="0"/>
    <x v="0"/>
    <x v="0"/>
    <x v="61"/>
    <x v="0"/>
    <x v="0"/>
    <x v="1"/>
    <x v="12"/>
    <x v="12"/>
    <n v="0.44"/>
    <x v="5"/>
    <n v="0"/>
    <n v="2"/>
    <n v="2"/>
  </r>
  <r>
    <n v="509"/>
    <d v="2011-01-23T00:00:00"/>
    <x v="0"/>
    <x v="0"/>
    <x v="0"/>
    <x v="62"/>
    <x v="0"/>
    <x v="1"/>
    <x v="0"/>
    <x v="6"/>
    <x v="20"/>
    <n v="0.57999999999999996"/>
    <x v="6"/>
    <n v="1"/>
    <n v="1"/>
    <n v="2"/>
  </r>
  <r>
    <n v="551"/>
    <d v="2011-01-25T00:00:00"/>
    <x v="0"/>
    <x v="0"/>
    <x v="0"/>
    <x v="63"/>
    <x v="0"/>
    <x v="3"/>
    <x v="0"/>
    <x v="2"/>
    <x v="4"/>
    <n v="0.69"/>
    <x v="5"/>
    <n v="0"/>
    <n v="2"/>
    <n v="2"/>
  </r>
  <r>
    <n v="598"/>
    <d v="2011-01-28T00:00:00"/>
    <x v="0"/>
    <x v="0"/>
    <x v="0"/>
    <x v="64"/>
    <x v="0"/>
    <x v="5"/>
    <x v="1"/>
    <x v="4"/>
    <x v="6"/>
    <n v="0.75"/>
    <x v="6"/>
    <n v="0"/>
    <n v="2"/>
    <n v="2"/>
  </r>
  <r>
    <n v="624"/>
    <d v="2011-01-29T00:00:00"/>
    <x v="0"/>
    <x v="0"/>
    <x v="0"/>
    <x v="65"/>
    <x v="0"/>
    <x v="0"/>
    <x v="0"/>
    <x v="2"/>
    <x v="15"/>
    <n v="0.64"/>
    <x v="4"/>
    <n v="0"/>
    <n v="2"/>
    <n v="2"/>
  </r>
  <r>
    <n v="668"/>
    <d v="2011-01-31T00:00:00"/>
    <x v="0"/>
    <x v="0"/>
    <x v="0"/>
    <x v="66"/>
    <x v="0"/>
    <x v="2"/>
    <x v="0"/>
    <x v="10"/>
    <x v="9"/>
    <n v="0.64"/>
    <x v="2"/>
    <n v="0"/>
    <n v="2"/>
    <n v="2"/>
  </r>
  <r>
    <n v="669"/>
    <d v="2011-01-31T00:00:00"/>
    <x v="0"/>
    <x v="0"/>
    <x v="0"/>
    <x v="67"/>
    <x v="0"/>
    <x v="2"/>
    <x v="0"/>
    <x v="4"/>
    <x v="5"/>
    <n v="0.59"/>
    <x v="5"/>
    <n v="0"/>
    <n v="2"/>
    <n v="2"/>
  </r>
  <r>
    <n v="691"/>
    <d v="2011-02-01T00:00:00"/>
    <x v="0"/>
    <x v="0"/>
    <x v="1"/>
    <x v="68"/>
    <x v="0"/>
    <x v="3"/>
    <x v="1"/>
    <x v="2"/>
    <x v="9"/>
    <n v="0.69"/>
    <x v="0"/>
    <n v="0"/>
    <n v="2"/>
    <n v="2"/>
  </r>
  <r>
    <n v="692"/>
    <d v="2011-02-01T00:00:00"/>
    <x v="0"/>
    <x v="0"/>
    <x v="1"/>
    <x v="69"/>
    <x v="0"/>
    <x v="3"/>
    <x v="1"/>
    <x v="2"/>
    <x v="9"/>
    <n v="0.69"/>
    <x v="0"/>
    <n v="0"/>
    <n v="2"/>
    <n v="2"/>
  </r>
  <r>
    <n v="712"/>
    <d v="2011-02-02T00:00:00"/>
    <x v="0"/>
    <x v="0"/>
    <x v="1"/>
    <x v="70"/>
    <x v="0"/>
    <x v="6"/>
    <x v="2"/>
    <x v="10"/>
    <x v="19"/>
    <n v="0.93"/>
    <x v="8"/>
    <n v="0"/>
    <n v="2"/>
    <n v="2"/>
  </r>
  <r>
    <n v="738"/>
    <d v="2011-02-03T00:00:00"/>
    <x v="0"/>
    <x v="0"/>
    <x v="1"/>
    <x v="71"/>
    <x v="0"/>
    <x v="4"/>
    <x v="0"/>
    <x v="5"/>
    <x v="14"/>
    <n v="0.43"/>
    <x v="10"/>
    <n v="0"/>
    <n v="2"/>
    <n v="2"/>
  </r>
  <r>
    <n v="740"/>
    <d v="2011-02-03T00:00:00"/>
    <x v="0"/>
    <x v="0"/>
    <x v="1"/>
    <x v="72"/>
    <x v="0"/>
    <x v="4"/>
    <x v="0"/>
    <x v="2"/>
    <x v="3"/>
    <n v="0.5"/>
    <x v="9"/>
    <n v="0"/>
    <n v="2"/>
    <n v="2"/>
  </r>
  <r>
    <n v="810"/>
    <d v="2011-02-06T00:00:00"/>
    <x v="0"/>
    <x v="0"/>
    <x v="1"/>
    <x v="73"/>
    <x v="0"/>
    <x v="1"/>
    <x v="0"/>
    <x v="9"/>
    <x v="9"/>
    <n v="0.6"/>
    <x v="12"/>
    <n v="0"/>
    <n v="2"/>
    <n v="2"/>
  </r>
  <r>
    <n v="834"/>
    <d v="2011-02-07T00:00:00"/>
    <x v="0"/>
    <x v="0"/>
    <x v="1"/>
    <x v="74"/>
    <x v="0"/>
    <x v="2"/>
    <x v="0"/>
    <x v="4"/>
    <x v="1"/>
    <n v="0.86"/>
    <x v="0"/>
    <n v="1"/>
    <n v="1"/>
    <n v="2"/>
  </r>
  <r>
    <n v="856"/>
    <d v="2011-02-08T00:00:00"/>
    <x v="0"/>
    <x v="0"/>
    <x v="1"/>
    <x v="75"/>
    <x v="0"/>
    <x v="3"/>
    <x v="1"/>
    <x v="9"/>
    <x v="16"/>
    <n v="0.93"/>
    <x v="8"/>
    <n v="1"/>
    <n v="1"/>
    <n v="2"/>
  </r>
  <r>
    <n v="859"/>
    <d v="2011-02-08T00:00:00"/>
    <x v="0"/>
    <x v="0"/>
    <x v="1"/>
    <x v="76"/>
    <x v="0"/>
    <x v="3"/>
    <x v="0"/>
    <x v="9"/>
    <x v="9"/>
    <n v="0.81"/>
    <x v="13"/>
    <n v="0"/>
    <n v="2"/>
    <n v="2"/>
  </r>
  <r>
    <n v="881"/>
    <d v="2011-02-09T00:00:00"/>
    <x v="0"/>
    <x v="0"/>
    <x v="1"/>
    <x v="77"/>
    <x v="0"/>
    <x v="6"/>
    <x v="0"/>
    <x v="15"/>
    <x v="10"/>
    <n v="0.45"/>
    <x v="4"/>
    <n v="0"/>
    <n v="2"/>
    <n v="2"/>
  </r>
  <r>
    <n v="952"/>
    <d v="2011-02-12T00:00:00"/>
    <x v="0"/>
    <x v="0"/>
    <x v="1"/>
    <x v="78"/>
    <x v="0"/>
    <x v="0"/>
    <x v="0"/>
    <x v="8"/>
    <x v="3"/>
    <n v="0.93"/>
    <x v="2"/>
    <n v="1"/>
    <n v="1"/>
    <n v="2"/>
  </r>
  <r>
    <n v="974"/>
    <d v="2011-02-13T00:00:00"/>
    <x v="0"/>
    <x v="0"/>
    <x v="1"/>
    <x v="79"/>
    <x v="0"/>
    <x v="1"/>
    <x v="1"/>
    <x v="4"/>
    <x v="6"/>
    <n v="0.69"/>
    <x v="6"/>
    <n v="0"/>
    <n v="2"/>
    <n v="2"/>
  </r>
  <r>
    <n v="995"/>
    <d v="2011-02-14T00:00:00"/>
    <x v="0"/>
    <x v="0"/>
    <x v="1"/>
    <x v="80"/>
    <x v="0"/>
    <x v="2"/>
    <x v="0"/>
    <x v="16"/>
    <x v="21"/>
    <n v="0.4"/>
    <x v="9"/>
    <n v="0"/>
    <n v="2"/>
    <n v="2"/>
  </r>
  <r>
    <n v="996"/>
    <d v="2011-02-14T00:00:00"/>
    <x v="0"/>
    <x v="0"/>
    <x v="1"/>
    <x v="81"/>
    <x v="0"/>
    <x v="2"/>
    <x v="0"/>
    <x v="17"/>
    <x v="22"/>
    <n v="0.46"/>
    <x v="5"/>
    <n v="1"/>
    <n v="1"/>
    <n v="2"/>
  </r>
  <r>
    <n v="997"/>
    <d v="2011-02-14T00:00:00"/>
    <x v="0"/>
    <x v="0"/>
    <x v="1"/>
    <x v="82"/>
    <x v="0"/>
    <x v="2"/>
    <x v="0"/>
    <x v="18"/>
    <x v="23"/>
    <n v="0.53"/>
    <x v="7"/>
    <n v="0"/>
    <n v="2"/>
    <n v="2"/>
  </r>
  <r>
    <n v="8"/>
    <d v="2011-01-01T00:00:00"/>
    <x v="0"/>
    <x v="0"/>
    <x v="0"/>
    <x v="83"/>
    <x v="0"/>
    <x v="0"/>
    <x v="0"/>
    <x v="4"/>
    <x v="1"/>
    <n v="0.86"/>
    <x v="0"/>
    <n v="1"/>
    <n v="2"/>
    <n v="3"/>
  </r>
  <r>
    <n v="29"/>
    <d v="2011-01-02T00:00:00"/>
    <x v="0"/>
    <x v="0"/>
    <x v="0"/>
    <x v="84"/>
    <x v="0"/>
    <x v="1"/>
    <x v="1"/>
    <x v="19"/>
    <x v="18"/>
    <n v="0.94"/>
    <x v="2"/>
    <n v="2"/>
    <n v="1"/>
    <n v="3"/>
  </r>
  <r>
    <n v="51"/>
    <d v="2011-01-03T00:00:00"/>
    <x v="0"/>
    <x v="0"/>
    <x v="0"/>
    <x v="85"/>
    <x v="0"/>
    <x v="2"/>
    <x v="0"/>
    <x v="2"/>
    <x v="3"/>
    <n v="0.47"/>
    <x v="7"/>
    <n v="0"/>
    <n v="3"/>
    <n v="3"/>
  </r>
  <r>
    <n v="97"/>
    <d v="2011-01-05T00:00:00"/>
    <x v="0"/>
    <x v="0"/>
    <x v="0"/>
    <x v="86"/>
    <x v="0"/>
    <x v="6"/>
    <x v="0"/>
    <x v="10"/>
    <x v="9"/>
    <n v="0.47"/>
    <x v="6"/>
    <n v="0"/>
    <n v="3"/>
    <n v="3"/>
  </r>
  <r>
    <n v="212"/>
    <d v="2011-01-10T00:00:00"/>
    <x v="0"/>
    <x v="0"/>
    <x v="0"/>
    <x v="87"/>
    <x v="0"/>
    <x v="2"/>
    <x v="0"/>
    <x v="8"/>
    <x v="8"/>
    <n v="0.5"/>
    <x v="5"/>
    <n v="0"/>
    <n v="3"/>
    <n v="3"/>
  </r>
  <r>
    <n v="214"/>
    <d v="2011-01-10T00:00:00"/>
    <x v="0"/>
    <x v="0"/>
    <x v="0"/>
    <x v="88"/>
    <x v="0"/>
    <x v="2"/>
    <x v="0"/>
    <x v="7"/>
    <x v="8"/>
    <n v="0.54"/>
    <x v="4"/>
    <n v="1"/>
    <n v="2"/>
    <n v="3"/>
  </r>
  <r>
    <n v="215"/>
    <d v="2011-01-10T00:00:00"/>
    <x v="0"/>
    <x v="0"/>
    <x v="0"/>
    <x v="89"/>
    <x v="0"/>
    <x v="2"/>
    <x v="0"/>
    <x v="7"/>
    <x v="20"/>
    <n v="0.54"/>
    <x v="10"/>
    <n v="0"/>
    <n v="3"/>
    <n v="3"/>
  </r>
  <r>
    <n v="235"/>
    <d v="2011-01-11T00:00:00"/>
    <x v="0"/>
    <x v="0"/>
    <x v="0"/>
    <x v="90"/>
    <x v="0"/>
    <x v="3"/>
    <x v="0"/>
    <x v="3"/>
    <x v="4"/>
    <n v="0.59"/>
    <x v="6"/>
    <n v="0"/>
    <n v="3"/>
    <n v="3"/>
  </r>
  <r>
    <n v="236"/>
    <d v="2011-01-11T00:00:00"/>
    <x v="0"/>
    <x v="0"/>
    <x v="0"/>
    <x v="91"/>
    <x v="0"/>
    <x v="3"/>
    <x v="1"/>
    <x v="2"/>
    <x v="4"/>
    <n v="0.55000000000000004"/>
    <x v="2"/>
    <n v="0"/>
    <n v="3"/>
    <n v="3"/>
  </r>
  <r>
    <n v="281"/>
    <d v="2011-01-13T00:00:00"/>
    <x v="0"/>
    <x v="0"/>
    <x v="0"/>
    <x v="92"/>
    <x v="0"/>
    <x v="4"/>
    <x v="0"/>
    <x v="3"/>
    <x v="8"/>
    <n v="0.5"/>
    <x v="13"/>
    <n v="0"/>
    <n v="3"/>
    <n v="3"/>
  </r>
  <r>
    <n v="283"/>
    <d v="2011-01-13T00:00:00"/>
    <x v="0"/>
    <x v="0"/>
    <x v="0"/>
    <x v="93"/>
    <x v="0"/>
    <x v="4"/>
    <x v="0"/>
    <x v="3"/>
    <x v="8"/>
    <n v="0.5"/>
    <x v="9"/>
    <n v="0"/>
    <n v="3"/>
    <n v="3"/>
  </r>
  <r>
    <n v="331"/>
    <d v="2011-01-15T00:00:00"/>
    <x v="0"/>
    <x v="0"/>
    <x v="0"/>
    <x v="94"/>
    <x v="0"/>
    <x v="0"/>
    <x v="0"/>
    <x v="3"/>
    <x v="14"/>
    <n v="0.63"/>
    <x v="8"/>
    <n v="1"/>
    <n v="2"/>
    <n v="3"/>
  </r>
  <r>
    <n v="356"/>
    <d v="2011-01-16T00:00:00"/>
    <x v="0"/>
    <x v="0"/>
    <x v="0"/>
    <x v="95"/>
    <x v="0"/>
    <x v="1"/>
    <x v="1"/>
    <x v="0"/>
    <x v="6"/>
    <n v="0.56000000000000005"/>
    <x v="9"/>
    <n v="0"/>
    <n v="3"/>
    <n v="3"/>
  </r>
  <r>
    <n v="377"/>
    <d v="2011-01-17T00:00:00"/>
    <x v="0"/>
    <x v="0"/>
    <x v="0"/>
    <x v="96"/>
    <x v="1"/>
    <x v="2"/>
    <x v="1"/>
    <x v="5"/>
    <x v="5"/>
    <n v="0.43"/>
    <x v="4"/>
    <n v="1"/>
    <n v="2"/>
    <n v="3"/>
  </r>
  <r>
    <n v="397"/>
    <d v="2011-01-18T00:00:00"/>
    <x v="0"/>
    <x v="0"/>
    <x v="0"/>
    <x v="97"/>
    <x v="0"/>
    <x v="3"/>
    <x v="1"/>
    <x v="4"/>
    <x v="15"/>
    <n v="0.86"/>
    <x v="13"/>
    <n v="0"/>
    <n v="3"/>
    <n v="3"/>
  </r>
  <r>
    <n v="409"/>
    <d v="2011-01-19T00:00:00"/>
    <x v="0"/>
    <x v="0"/>
    <x v="0"/>
    <x v="98"/>
    <x v="0"/>
    <x v="6"/>
    <x v="1"/>
    <x v="10"/>
    <x v="16"/>
    <n v="0.93"/>
    <x v="0"/>
    <n v="0"/>
    <n v="3"/>
    <n v="3"/>
  </r>
  <r>
    <n v="411"/>
    <d v="2011-01-19T00:00:00"/>
    <x v="0"/>
    <x v="0"/>
    <x v="0"/>
    <x v="99"/>
    <x v="0"/>
    <x v="6"/>
    <x v="2"/>
    <x v="10"/>
    <x v="9"/>
    <n v="0.93"/>
    <x v="4"/>
    <n v="0"/>
    <n v="3"/>
    <n v="3"/>
  </r>
  <r>
    <n v="484"/>
    <d v="2011-01-22T00:00:00"/>
    <x v="0"/>
    <x v="0"/>
    <x v="0"/>
    <x v="100"/>
    <x v="0"/>
    <x v="0"/>
    <x v="1"/>
    <x v="12"/>
    <x v="24"/>
    <n v="0.48"/>
    <x v="9"/>
    <n v="0"/>
    <n v="3"/>
    <n v="3"/>
  </r>
  <r>
    <n v="507"/>
    <d v="2011-01-23T00:00:00"/>
    <x v="0"/>
    <x v="0"/>
    <x v="0"/>
    <x v="101"/>
    <x v="0"/>
    <x v="1"/>
    <x v="1"/>
    <x v="11"/>
    <x v="10"/>
    <n v="0.56999999999999995"/>
    <x v="8"/>
    <n v="0"/>
    <n v="3"/>
    <n v="3"/>
  </r>
  <r>
    <n v="597"/>
    <d v="2011-01-28T00:00:00"/>
    <x v="0"/>
    <x v="0"/>
    <x v="0"/>
    <x v="102"/>
    <x v="0"/>
    <x v="5"/>
    <x v="1"/>
    <x v="4"/>
    <x v="6"/>
    <n v="0.75"/>
    <x v="4"/>
    <n v="1"/>
    <n v="2"/>
    <n v="3"/>
  </r>
  <r>
    <n v="623"/>
    <d v="2011-01-29T00:00:00"/>
    <x v="0"/>
    <x v="0"/>
    <x v="0"/>
    <x v="103"/>
    <x v="0"/>
    <x v="0"/>
    <x v="0"/>
    <x v="2"/>
    <x v="15"/>
    <n v="0.69"/>
    <x v="8"/>
    <n v="1"/>
    <n v="2"/>
    <n v="3"/>
  </r>
  <r>
    <n v="647"/>
    <d v="2011-01-30T00:00:00"/>
    <x v="0"/>
    <x v="0"/>
    <x v="0"/>
    <x v="104"/>
    <x v="0"/>
    <x v="1"/>
    <x v="0"/>
    <x v="3"/>
    <x v="6"/>
    <n v="0.86"/>
    <x v="0"/>
    <n v="0"/>
    <n v="3"/>
    <n v="3"/>
  </r>
  <r>
    <n v="648"/>
    <d v="2011-01-30T00:00:00"/>
    <x v="0"/>
    <x v="0"/>
    <x v="0"/>
    <x v="105"/>
    <x v="0"/>
    <x v="1"/>
    <x v="0"/>
    <x v="3"/>
    <x v="6"/>
    <n v="0.86"/>
    <x v="0"/>
    <n v="0"/>
    <n v="3"/>
    <n v="3"/>
  </r>
  <r>
    <n v="690"/>
    <d v="2011-02-01T00:00:00"/>
    <x v="0"/>
    <x v="0"/>
    <x v="1"/>
    <x v="106"/>
    <x v="0"/>
    <x v="3"/>
    <x v="1"/>
    <x v="2"/>
    <x v="15"/>
    <n v="0.69"/>
    <x v="8"/>
    <n v="0"/>
    <n v="3"/>
    <n v="3"/>
  </r>
  <r>
    <n v="693"/>
    <d v="2011-02-01T00:00:00"/>
    <x v="0"/>
    <x v="0"/>
    <x v="1"/>
    <x v="107"/>
    <x v="0"/>
    <x v="3"/>
    <x v="2"/>
    <x v="3"/>
    <x v="6"/>
    <n v="0.93"/>
    <x v="0"/>
    <n v="0"/>
    <n v="3"/>
    <n v="3"/>
  </r>
  <r>
    <n v="713"/>
    <d v="2011-02-02T00:00:00"/>
    <x v="0"/>
    <x v="0"/>
    <x v="1"/>
    <x v="108"/>
    <x v="0"/>
    <x v="6"/>
    <x v="2"/>
    <x v="10"/>
    <x v="9"/>
    <n v="0.93"/>
    <x v="2"/>
    <n v="0"/>
    <n v="3"/>
    <n v="3"/>
  </r>
  <r>
    <n v="717"/>
    <d v="2011-02-02T00:00:00"/>
    <x v="0"/>
    <x v="0"/>
    <x v="1"/>
    <x v="109"/>
    <x v="0"/>
    <x v="6"/>
    <x v="2"/>
    <x v="10"/>
    <x v="19"/>
    <n v="0.93"/>
    <x v="8"/>
    <n v="0"/>
    <n v="3"/>
    <n v="3"/>
  </r>
  <r>
    <n v="832"/>
    <d v="2011-02-07T00:00:00"/>
    <x v="0"/>
    <x v="0"/>
    <x v="1"/>
    <x v="110"/>
    <x v="0"/>
    <x v="2"/>
    <x v="0"/>
    <x v="4"/>
    <x v="1"/>
    <n v="0.8"/>
    <x v="0"/>
    <n v="0"/>
    <n v="3"/>
    <n v="3"/>
  </r>
  <r>
    <n v="858"/>
    <d v="2011-02-08T00:00:00"/>
    <x v="0"/>
    <x v="0"/>
    <x v="1"/>
    <x v="111"/>
    <x v="0"/>
    <x v="3"/>
    <x v="0"/>
    <x v="9"/>
    <x v="1"/>
    <n v="0.93"/>
    <x v="6"/>
    <n v="0"/>
    <n v="3"/>
    <n v="3"/>
  </r>
  <r>
    <n v="880"/>
    <d v="2011-02-09T00:00:00"/>
    <x v="0"/>
    <x v="0"/>
    <x v="1"/>
    <x v="112"/>
    <x v="0"/>
    <x v="6"/>
    <x v="0"/>
    <x v="6"/>
    <x v="10"/>
    <n v="0.38"/>
    <x v="7"/>
    <n v="1"/>
    <n v="2"/>
    <n v="3"/>
  </r>
  <r>
    <n v="903"/>
    <d v="2011-02-10T00:00:00"/>
    <x v="0"/>
    <x v="0"/>
    <x v="1"/>
    <x v="113"/>
    <x v="0"/>
    <x v="4"/>
    <x v="2"/>
    <x v="3"/>
    <x v="4"/>
    <n v="0.8"/>
    <x v="4"/>
    <n v="0"/>
    <n v="3"/>
    <n v="3"/>
  </r>
  <r>
    <n v="926"/>
    <d v="2011-02-11T00:00:00"/>
    <x v="0"/>
    <x v="0"/>
    <x v="1"/>
    <x v="114"/>
    <x v="0"/>
    <x v="5"/>
    <x v="0"/>
    <x v="7"/>
    <x v="3"/>
    <n v="0.54"/>
    <x v="1"/>
    <n v="0"/>
    <n v="3"/>
    <n v="3"/>
  </r>
  <r>
    <n v="976"/>
    <d v="2011-02-13T00:00:00"/>
    <x v="0"/>
    <x v="0"/>
    <x v="1"/>
    <x v="115"/>
    <x v="0"/>
    <x v="1"/>
    <x v="1"/>
    <x v="10"/>
    <x v="16"/>
    <n v="0.55000000000000004"/>
    <x v="0"/>
    <n v="0"/>
    <n v="3"/>
    <n v="3"/>
  </r>
  <r>
    <n v="998"/>
    <d v="2011-02-14T00:00:00"/>
    <x v="0"/>
    <x v="0"/>
    <x v="1"/>
    <x v="116"/>
    <x v="0"/>
    <x v="2"/>
    <x v="0"/>
    <x v="18"/>
    <x v="23"/>
    <n v="0.53"/>
    <x v="7"/>
    <n v="0"/>
    <n v="3"/>
    <n v="3"/>
  </r>
  <r>
    <n v="74"/>
    <d v="2011-01-04T00:00:00"/>
    <x v="0"/>
    <x v="0"/>
    <x v="0"/>
    <x v="117"/>
    <x v="0"/>
    <x v="3"/>
    <x v="0"/>
    <x v="8"/>
    <x v="4"/>
    <n v="0.68"/>
    <x v="8"/>
    <n v="0"/>
    <n v="4"/>
    <n v="4"/>
  </r>
  <r>
    <n v="117"/>
    <d v="2011-01-06T00:00:00"/>
    <x v="0"/>
    <x v="0"/>
    <x v="0"/>
    <x v="118"/>
    <x v="0"/>
    <x v="4"/>
    <x v="0"/>
    <x v="2"/>
    <x v="9"/>
    <n v="0.64"/>
    <x v="0"/>
    <n v="0"/>
    <n v="4"/>
    <n v="4"/>
  </r>
  <r>
    <n v="120"/>
    <d v="2011-01-06T00:00:00"/>
    <x v="0"/>
    <x v="0"/>
    <x v="0"/>
    <x v="119"/>
    <x v="0"/>
    <x v="4"/>
    <x v="1"/>
    <x v="3"/>
    <x v="15"/>
    <n v="0.69"/>
    <x v="1"/>
    <n v="0"/>
    <n v="4"/>
    <n v="4"/>
  </r>
  <r>
    <n v="189"/>
    <d v="2011-01-09T00:00:00"/>
    <x v="0"/>
    <x v="0"/>
    <x v="0"/>
    <x v="120"/>
    <x v="0"/>
    <x v="1"/>
    <x v="0"/>
    <x v="7"/>
    <x v="10"/>
    <n v="0.46"/>
    <x v="11"/>
    <n v="0"/>
    <n v="4"/>
    <n v="4"/>
  </r>
  <r>
    <n v="282"/>
    <d v="2011-01-13T00:00:00"/>
    <x v="0"/>
    <x v="0"/>
    <x v="0"/>
    <x v="121"/>
    <x v="0"/>
    <x v="4"/>
    <x v="0"/>
    <x v="3"/>
    <x v="8"/>
    <n v="0.5"/>
    <x v="10"/>
    <n v="0"/>
    <n v="4"/>
    <n v="4"/>
  </r>
  <r>
    <n v="396"/>
    <d v="2011-01-17T00:00:00"/>
    <x v="0"/>
    <x v="0"/>
    <x v="0"/>
    <x v="122"/>
    <x v="1"/>
    <x v="2"/>
    <x v="2"/>
    <x v="2"/>
    <x v="3"/>
    <n v="0.86"/>
    <x v="7"/>
    <n v="1"/>
    <n v="3"/>
    <n v="4"/>
  </r>
  <r>
    <n v="600"/>
    <d v="2011-01-28T00:00:00"/>
    <x v="0"/>
    <x v="0"/>
    <x v="0"/>
    <x v="123"/>
    <x v="0"/>
    <x v="5"/>
    <x v="1"/>
    <x v="5"/>
    <x v="6"/>
    <n v="0.8"/>
    <x v="8"/>
    <n v="0"/>
    <n v="4"/>
    <n v="4"/>
  </r>
  <r>
    <n v="714"/>
    <d v="2011-02-02T00:00:00"/>
    <x v="0"/>
    <x v="0"/>
    <x v="1"/>
    <x v="124"/>
    <x v="0"/>
    <x v="6"/>
    <x v="2"/>
    <x v="10"/>
    <x v="9"/>
    <n v="0.93"/>
    <x v="4"/>
    <n v="4"/>
    <n v="0"/>
    <n v="4"/>
  </r>
  <r>
    <n v="788"/>
    <d v="2011-02-05T00:00:00"/>
    <x v="0"/>
    <x v="0"/>
    <x v="1"/>
    <x v="125"/>
    <x v="0"/>
    <x v="0"/>
    <x v="2"/>
    <x v="4"/>
    <x v="1"/>
    <n v="1"/>
    <x v="0"/>
    <n v="0"/>
    <n v="4"/>
    <n v="4"/>
  </r>
  <r>
    <n v="789"/>
    <d v="2011-02-05T00:00:00"/>
    <x v="0"/>
    <x v="0"/>
    <x v="1"/>
    <x v="126"/>
    <x v="0"/>
    <x v="0"/>
    <x v="2"/>
    <x v="10"/>
    <x v="1"/>
    <n v="0.93"/>
    <x v="1"/>
    <n v="0"/>
    <n v="4"/>
    <n v="4"/>
  </r>
  <r>
    <n v="855"/>
    <d v="2011-02-08T00:00:00"/>
    <x v="0"/>
    <x v="0"/>
    <x v="1"/>
    <x v="127"/>
    <x v="0"/>
    <x v="3"/>
    <x v="1"/>
    <x v="13"/>
    <x v="22"/>
    <n v="0.87"/>
    <x v="0"/>
    <n v="0"/>
    <n v="4"/>
    <n v="4"/>
  </r>
  <r>
    <n v="927"/>
    <d v="2011-02-11T00:00:00"/>
    <x v="0"/>
    <x v="0"/>
    <x v="1"/>
    <x v="128"/>
    <x v="0"/>
    <x v="5"/>
    <x v="0"/>
    <x v="6"/>
    <x v="8"/>
    <n v="0.63"/>
    <x v="1"/>
    <n v="0"/>
    <n v="4"/>
    <n v="4"/>
  </r>
  <r>
    <n v="950"/>
    <d v="2011-02-12T00:00:00"/>
    <x v="0"/>
    <x v="0"/>
    <x v="1"/>
    <x v="129"/>
    <x v="0"/>
    <x v="0"/>
    <x v="0"/>
    <x v="8"/>
    <x v="14"/>
    <n v="0.74"/>
    <x v="1"/>
    <n v="0"/>
    <n v="4"/>
    <n v="4"/>
  </r>
  <r>
    <n v="48"/>
    <d v="2011-01-03T00:00:00"/>
    <x v="0"/>
    <x v="0"/>
    <x v="0"/>
    <x v="130"/>
    <x v="0"/>
    <x v="2"/>
    <x v="0"/>
    <x v="10"/>
    <x v="5"/>
    <n v="0.44"/>
    <x v="12"/>
    <n v="0"/>
    <n v="5"/>
    <n v="5"/>
  </r>
  <r>
    <n v="70"/>
    <d v="2011-01-04T00:00:00"/>
    <x v="0"/>
    <x v="0"/>
    <x v="0"/>
    <x v="131"/>
    <x v="0"/>
    <x v="3"/>
    <x v="0"/>
    <x v="2"/>
    <x v="18"/>
    <n v="0.55000000000000004"/>
    <x v="8"/>
    <n v="0"/>
    <n v="5"/>
    <n v="5"/>
  </r>
  <r>
    <n v="143"/>
    <d v="2011-01-07T00:00:00"/>
    <x v="0"/>
    <x v="0"/>
    <x v="0"/>
    <x v="132"/>
    <x v="0"/>
    <x v="5"/>
    <x v="2"/>
    <x v="10"/>
    <x v="16"/>
    <n v="0.55000000000000004"/>
    <x v="0"/>
    <n v="0"/>
    <n v="5"/>
    <n v="5"/>
  </r>
  <r>
    <n v="167"/>
    <d v="2011-01-08T00:00:00"/>
    <x v="0"/>
    <x v="0"/>
    <x v="0"/>
    <x v="133"/>
    <x v="0"/>
    <x v="0"/>
    <x v="1"/>
    <x v="2"/>
    <x v="14"/>
    <n v="0.74"/>
    <x v="6"/>
    <n v="0"/>
    <n v="5"/>
    <n v="5"/>
  </r>
  <r>
    <n v="210"/>
    <d v="2011-01-10T00:00:00"/>
    <x v="0"/>
    <x v="0"/>
    <x v="0"/>
    <x v="134"/>
    <x v="0"/>
    <x v="2"/>
    <x v="0"/>
    <x v="8"/>
    <x v="8"/>
    <n v="0.5"/>
    <x v="7"/>
    <n v="2"/>
    <n v="3"/>
    <n v="5"/>
  </r>
  <r>
    <n v="259"/>
    <d v="2011-01-12T00:00:00"/>
    <x v="0"/>
    <x v="0"/>
    <x v="0"/>
    <x v="135"/>
    <x v="0"/>
    <x v="6"/>
    <x v="0"/>
    <x v="3"/>
    <x v="4"/>
    <n v="0.86"/>
    <x v="6"/>
    <n v="0"/>
    <n v="5"/>
    <n v="5"/>
  </r>
  <r>
    <n v="303"/>
    <d v="2011-01-14T00:00:00"/>
    <x v="0"/>
    <x v="0"/>
    <x v="0"/>
    <x v="136"/>
    <x v="0"/>
    <x v="5"/>
    <x v="0"/>
    <x v="7"/>
    <x v="8"/>
    <n v="0.54"/>
    <x v="6"/>
    <n v="0"/>
    <n v="5"/>
    <n v="5"/>
  </r>
  <r>
    <n v="329"/>
    <d v="2011-01-15T00:00:00"/>
    <x v="0"/>
    <x v="0"/>
    <x v="0"/>
    <x v="137"/>
    <x v="0"/>
    <x v="0"/>
    <x v="1"/>
    <x v="2"/>
    <x v="9"/>
    <n v="0.59"/>
    <x v="0"/>
    <n v="0"/>
    <n v="5"/>
    <n v="5"/>
  </r>
  <r>
    <n v="379"/>
    <d v="2011-01-17T00:00:00"/>
    <x v="0"/>
    <x v="0"/>
    <x v="0"/>
    <x v="138"/>
    <x v="1"/>
    <x v="2"/>
    <x v="1"/>
    <x v="5"/>
    <x v="15"/>
    <n v="0.43"/>
    <x v="2"/>
    <n v="0"/>
    <n v="5"/>
    <n v="5"/>
  </r>
  <r>
    <n v="433"/>
    <d v="2011-01-20T00:00:00"/>
    <x v="0"/>
    <x v="0"/>
    <x v="0"/>
    <x v="139"/>
    <x v="0"/>
    <x v="4"/>
    <x v="0"/>
    <x v="9"/>
    <x v="16"/>
    <n v="0.56000000000000005"/>
    <x v="0"/>
    <n v="2"/>
    <n v="3"/>
    <n v="5"/>
  </r>
  <r>
    <n v="461"/>
    <d v="2011-01-21T00:00:00"/>
    <x v="0"/>
    <x v="0"/>
    <x v="0"/>
    <x v="140"/>
    <x v="0"/>
    <x v="5"/>
    <x v="0"/>
    <x v="0"/>
    <x v="5"/>
    <n v="0.6"/>
    <x v="11"/>
    <n v="1"/>
    <n v="4"/>
    <n v="5"/>
  </r>
  <r>
    <n v="506"/>
    <d v="2011-01-23T00:00:00"/>
    <x v="0"/>
    <x v="0"/>
    <x v="0"/>
    <x v="141"/>
    <x v="0"/>
    <x v="1"/>
    <x v="0"/>
    <x v="12"/>
    <x v="13"/>
    <n v="0.62"/>
    <x v="4"/>
    <n v="1"/>
    <n v="4"/>
    <n v="5"/>
  </r>
  <r>
    <n v="530"/>
    <d v="2011-01-24T00:00:00"/>
    <x v="0"/>
    <x v="0"/>
    <x v="0"/>
    <x v="142"/>
    <x v="0"/>
    <x v="2"/>
    <x v="0"/>
    <x v="12"/>
    <x v="13"/>
    <n v="0.48"/>
    <x v="4"/>
    <n v="0"/>
    <n v="5"/>
    <n v="5"/>
  </r>
  <r>
    <n v="550"/>
    <d v="2011-01-25T00:00:00"/>
    <x v="0"/>
    <x v="0"/>
    <x v="0"/>
    <x v="143"/>
    <x v="0"/>
    <x v="3"/>
    <x v="1"/>
    <x v="2"/>
    <x v="14"/>
    <n v="0.69"/>
    <x v="6"/>
    <n v="0"/>
    <n v="5"/>
    <n v="5"/>
  </r>
  <r>
    <n v="573"/>
    <d v="2011-01-26T00:00:00"/>
    <x v="0"/>
    <x v="0"/>
    <x v="0"/>
    <x v="144"/>
    <x v="0"/>
    <x v="6"/>
    <x v="1"/>
    <x v="0"/>
    <x v="19"/>
    <n v="0.65"/>
    <x v="4"/>
    <n v="0"/>
    <n v="5"/>
    <n v="5"/>
  </r>
  <r>
    <n v="625"/>
    <d v="2011-01-29T00:00:00"/>
    <x v="0"/>
    <x v="0"/>
    <x v="0"/>
    <x v="145"/>
    <x v="0"/>
    <x v="0"/>
    <x v="0"/>
    <x v="2"/>
    <x v="15"/>
    <n v="0.59"/>
    <x v="8"/>
    <n v="1"/>
    <n v="4"/>
    <n v="5"/>
  </r>
  <r>
    <n v="737"/>
    <d v="2011-02-03T00:00:00"/>
    <x v="0"/>
    <x v="0"/>
    <x v="1"/>
    <x v="146"/>
    <x v="0"/>
    <x v="4"/>
    <x v="0"/>
    <x v="4"/>
    <x v="4"/>
    <n v="0.44"/>
    <x v="14"/>
    <n v="0"/>
    <n v="5"/>
    <n v="5"/>
  </r>
  <r>
    <n v="831"/>
    <d v="2011-02-07T00:00:00"/>
    <x v="0"/>
    <x v="0"/>
    <x v="1"/>
    <x v="147"/>
    <x v="0"/>
    <x v="2"/>
    <x v="0"/>
    <x v="10"/>
    <x v="16"/>
    <n v="0.75"/>
    <x v="0"/>
    <n v="1"/>
    <n v="4"/>
    <n v="5"/>
  </r>
  <r>
    <n v="975"/>
    <d v="2011-02-13T00:00:00"/>
    <x v="0"/>
    <x v="0"/>
    <x v="1"/>
    <x v="148"/>
    <x v="0"/>
    <x v="1"/>
    <x v="1"/>
    <x v="4"/>
    <x v="6"/>
    <n v="0.69"/>
    <x v="4"/>
    <n v="2"/>
    <n v="3"/>
    <n v="5"/>
  </r>
  <r>
    <n v="28"/>
    <d v="2011-01-02T00:00:00"/>
    <x v="0"/>
    <x v="0"/>
    <x v="0"/>
    <x v="149"/>
    <x v="0"/>
    <x v="1"/>
    <x v="1"/>
    <x v="19"/>
    <x v="25"/>
    <n v="0.94"/>
    <x v="2"/>
    <n v="2"/>
    <n v="4"/>
    <n v="6"/>
  </r>
  <r>
    <n v="93"/>
    <d v="2011-01-05T00:00:00"/>
    <x v="0"/>
    <x v="0"/>
    <x v="0"/>
    <x v="150"/>
    <x v="0"/>
    <x v="6"/>
    <x v="0"/>
    <x v="4"/>
    <x v="1"/>
    <n v="0.64"/>
    <x v="0"/>
    <n v="0"/>
    <n v="6"/>
    <n v="6"/>
  </r>
  <r>
    <n v="94"/>
    <d v="2011-01-05T00:00:00"/>
    <x v="0"/>
    <x v="0"/>
    <x v="0"/>
    <x v="151"/>
    <x v="0"/>
    <x v="6"/>
    <x v="0"/>
    <x v="2"/>
    <x v="5"/>
    <n v="0.74"/>
    <x v="1"/>
    <n v="0"/>
    <n v="6"/>
    <n v="6"/>
  </r>
  <r>
    <n v="193"/>
    <d v="2011-01-09T00:00:00"/>
    <x v="0"/>
    <x v="0"/>
    <x v="0"/>
    <x v="152"/>
    <x v="0"/>
    <x v="1"/>
    <x v="0"/>
    <x v="6"/>
    <x v="7"/>
    <n v="0.53"/>
    <x v="2"/>
    <n v="1"/>
    <n v="5"/>
    <n v="6"/>
  </r>
  <r>
    <n v="209"/>
    <d v="2011-01-09T00:00:00"/>
    <x v="0"/>
    <x v="0"/>
    <x v="0"/>
    <x v="153"/>
    <x v="0"/>
    <x v="1"/>
    <x v="0"/>
    <x v="8"/>
    <x v="3"/>
    <n v="0.5"/>
    <x v="2"/>
    <n v="0"/>
    <n v="6"/>
    <n v="6"/>
  </r>
  <r>
    <n v="237"/>
    <d v="2011-01-11T00:00:00"/>
    <x v="0"/>
    <x v="0"/>
    <x v="0"/>
    <x v="154"/>
    <x v="0"/>
    <x v="3"/>
    <x v="1"/>
    <x v="2"/>
    <x v="15"/>
    <n v="0.55000000000000004"/>
    <x v="4"/>
    <n v="0"/>
    <n v="6"/>
    <n v="6"/>
  </r>
  <r>
    <n v="257"/>
    <d v="2011-01-12T00:00:00"/>
    <x v="0"/>
    <x v="0"/>
    <x v="0"/>
    <x v="155"/>
    <x v="0"/>
    <x v="6"/>
    <x v="1"/>
    <x v="2"/>
    <x v="15"/>
    <n v="0.86"/>
    <x v="8"/>
    <n v="0"/>
    <n v="6"/>
    <n v="6"/>
  </r>
  <r>
    <n v="437"/>
    <d v="2011-01-20T00:00:00"/>
    <x v="0"/>
    <x v="0"/>
    <x v="0"/>
    <x v="156"/>
    <x v="0"/>
    <x v="4"/>
    <x v="0"/>
    <x v="0"/>
    <x v="9"/>
    <n v="0.6"/>
    <x v="5"/>
    <n v="0"/>
    <n v="6"/>
    <n v="6"/>
  </r>
  <r>
    <n v="457"/>
    <d v="2011-01-21T00:00:00"/>
    <x v="0"/>
    <x v="0"/>
    <x v="0"/>
    <x v="157"/>
    <x v="0"/>
    <x v="5"/>
    <x v="1"/>
    <x v="0"/>
    <x v="9"/>
    <n v="0.7"/>
    <x v="10"/>
    <n v="0"/>
    <n v="6"/>
    <n v="6"/>
  </r>
  <r>
    <n v="905"/>
    <d v="2011-02-10T00:00:00"/>
    <x v="0"/>
    <x v="0"/>
    <x v="1"/>
    <x v="158"/>
    <x v="0"/>
    <x v="4"/>
    <x v="1"/>
    <x v="8"/>
    <x v="8"/>
    <n v="0.5"/>
    <x v="5"/>
    <n v="0"/>
    <n v="6"/>
    <n v="6"/>
  </r>
  <r>
    <n v="140"/>
    <d v="2011-01-07T00:00:00"/>
    <x v="0"/>
    <x v="0"/>
    <x v="0"/>
    <x v="159"/>
    <x v="0"/>
    <x v="5"/>
    <x v="1"/>
    <x v="4"/>
    <x v="5"/>
    <n v="0.69"/>
    <x v="5"/>
    <n v="2"/>
    <n v="5"/>
    <n v="7"/>
  </r>
  <r>
    <n v="165"/>
    <d v="2011-01-08T00:00:00"/>
    <x v="0"/>
    <x v="0"/>
    <x v="0"/>
    <x v="160"/>
    <x v="0"/>
    <x v="0"/>
    <x v="2"/>
    <x v="5"/>
    <x v="5"/>
    <n v="0.55000000000000004"/>
    <x v="6"/>
    <n v="0"/>
    <n v="7"/>
    <n v="7"/>
  </r>
  <r>
    <n v="256"/>
    <d v="2011-01-12T00:00:00"/>
    <x v="0"/>
    <x v="0"/>
    <x v="0"/>
    <x v="161"/>
    <x v="0"/>
    <x v="6"/>
    <x v="1"/>
    <x v="2"/>
    <x v="5"/>
    <n v="0.86"/>
    <x v="1"/>
    <n v="0"/>
    <n v="7"/>
    <n v="7"/>
  </r>
  <r>
    <n v="278"/>
    <d v="2011-01-13T00:00:00"/>
    <x v="0"/>
    <x v="0"/>
    <x v="0"/>
    <x v="162"/>
    <x v="0"/>
    <x v="4"/>
    <x v="0"/>
    <x v="3"/>
    <x v="8"/>
    <n v="0.59"/>
    <x v="7"/>
    <n v="1"/>
    <n v="6"/>
    <n v="7"/>
  </r>
  <r>
    <n v="410"/>
    <d v="2011-01-19T00:00:00"/>
    <x v="0"/>
    <x v="0"/>
    <x v="0"/>
    <x v="163"/>
    <x v="0"/>
    <x v="6"/>
    <x v="2"/>
    <x v="10"/>
    <x v="9"/>
    <n v="0.93"/>
    <x v="4"/>
    <n v="1"/>
    <n v="6"/>
    <n v="7"/>
  </r>
  <r>
    <n v="413"/>
    <d v="2011-01-19T00:00:00"/>
    <x v="0"/>
    <x v="0"/>
    <x v="0"/>
    <x v="164"/>
    <x v="0"/>
    <x v="6"/>
    <x v="1"/>
    <x v="10"/>
    <x v="1"/>
    <n v="0.93"/>
    <x v="1"/>
    <n v="0"/>
    <n v="7"/>
    <n v="7"/>
  </r>
  <r>
    <n v="483"/>
    <d v="2011-01-22T00:00:00"/>
    <x v="0"/>
    <x v="0"/>
    <x v="0"/>
    <x v="165"/>
    <x v="0"/>
    <x v="0"/>
    <x v="1"/>
    <x v="11"/>
    <x v="12"/>
    <n v="0.41"/>
    <x v="7"/>
    <n v="1"/>
    <n v="6"/>
    <n v="7"/>
  </r>
  <r>
    <n v="526"/>
    <d v="2011-01-24T00:00:00"/>
    <x v="0"/>
    <x v="0"/>
    <x v="0"/>
    <x v="166"/>
    <x v="0"/>
    <x v="2"/>
    <x v="0"/>
    <x v="15"/>
    <x v="13"/>
    <n v="0.41"/>
    <x v="2"/>
    <n v="0"/>
    <n v="7"/>
    <n v="7"/>
  </r>
  <r>
    <n v="665"/>
    <d v="2011-01-31T00:00:00"/>
    <x v="0"/>
    <x v="0"/>
    <x v="0"/>
    <x v="167"/>
    <x v="0"/>
    <x v="2"/>
    <x v="1"/>
    <x v="0"/>
    <x v="9"/>
    <n v="0.65"/>
    <x v="5"/>
    <n v="1"/>
    <n v="6"/>
    <n v="7"/>
  </r>
  <r>
    <n v="666"/>
    <d v="2011-01-31T00:00:00"/>
    <x v="0"/>
    <x v="0"/>
    <x v="0"/>
    <x v="168"/>
    <x v="0"/>
    <x v="2"/>
    <x v="0"/>
    <x v="10"/>
    <x v="6"/>
    <n v="0.64"/>
    <x v="10"/>
    <n v="2"/>
    <n v="5"/>
    <n v="7"/>
  </r>
  <r>
    <n v="760"/>
    <d v="2011-02-04T00:00:00"/>
    <x v="0"/>
    <x v="0"/>
    <x v="1"/>
    <x v="169"/>
    <x v="0"/>
    <x v="5"/>
    <x v="1"/>
    <x v="2"/>
    <x v="9"/>
    <n v="0.59"/>
    <x v="0"/>
    <n v="0"/>
    <n v="7"/>
    <n v="7"/>
  </r>
  <r>
    <n v="763"/>
    <d v="2011-02-04T00:00:00"/>
    <x v="0"/>
    <x v="0"/>
    <x v="1"/>
    <x v="170"/>
    <x v="0"/>
    <x v="5"/>
    <x v="1"/>
    <x v="3"/>
    <x v="4"/>
    <n v="0.63"/>
    <x v="4"/>
    <n v="0"/>
    <n v="7"/>
    <n v="7"/>
  </r>
  <r>
    <n v="879"/>
    <d v="2011-02-09T00:00:00"/>
    <x v="0"/>
    <x v="0"/>
    <x v="1"/>
    <x v="171"/>
    <x v="0"/>
    <x v="6"/>
    <x v="0"/>
    <x v="7"/>
    <x v="20"/>
    <n v="0.36"/>
    <x v="5"/>
    <n v="0"/>
    <n v="7"/>
    <n v="7"/>
  </r>
  <r>
    <n v="882"/>
    <d v="2011-02-09T00:00:00"/>
    <x v="0"/>
    <x v="0"/>
    <x v="1"/>
    <x v="172"/>
    <x v="0"/>
    <x v="6"/>
    <x v="0"/>
    <x v="15"/>
    <x v="20"/>
    <n v="0.45"/>
    <x v="8"/>
    <n v="0"/>
    <n v="7"/>
    <n v="7"/>
  </r>
  <r>
    <n v="902"/>
    <d v="2011-02-10T00:00:00"/>
    <x v="0"/>
    <x v="0"/>
    <x v="1"/>
    <x v="173"/>
    <x v="0"/>
    <x v="4"/>
    <x v="2"/>
    <x v="3"/>
    <x v="4"/>
    <n v="0.8"/>
    <x v="4"/>
    <n v="0"/>
    <n v="7"/>
    <n v="7"/>
  </r>
  <r>
    <n v="925"/>
    <d v="2011-02-11T00:00:00"/>
    <x v="0"/>
    <x v="0"/>
    <x v="1"/>
    <x v="174"/>
    <x v="0"/>
    <x v="5"/>
    <x v="0"/>
    <x v="7"/>
    <x v="3"/>
    <n v="0.54"/>
    <x v="1"/>
    <n v="1"/>
    <n v="6"/>
    <n v="7"/>
  </r>
  <r>
    <n v="994"/>
    <d v="2011-02-14T00:00:00"/>
    <x v="0"/>
    <x v="0"/>
    <x v="1"/>
    <x v="175"/>
    <x v="0"/>
    <x v="2"/>
    <x v="0"/>
    <x v="20"/>
    <x v="26"/>
    <n v="0.37"/>
    <x v="12"/>
    <n v="1"/>
    <n v="6"/>
    <n v="7"/>
  </r>
  <r>
    <n v="9"/>
    <d v="2011-01-01T00:00:00"/>
    <x v="0"/>
    <x v="0"/>
    <x v="0"/>
    <x v="176"/>
    <x v="0"/>
    <x v="0"/>
    <x v="0"/>
    <x v="0"/>
    <x v="18"/>
    <n v="0.75"/>
    <x v="0"/>
    <n v="1"/>
    <n v="7"/>
    <n v="8"/>
  </r>
  <r>
    <n v="32"/>
    <d v="2011-01-02T00:00:00"/>
    <x v="0"/>
    <x v="0"/>
    <x v="0"/>
    <x v="177"/>
    <x v="0"/>
    <x v="1"/>
    <x v="2"/>
    <x v="1"/>
    <x v="2"/>
    <n v="0.71"/>
    <x v="5"/>
    <n v="0"/>
    <n v="8"/>
    <n v="8"/>
  </r>
  <r>
    <n v="47"/>
    <d v="2011-01-02T00:00:00"/>
    <x v="0"/>
    <x v="0"/>
    <x v="0"/>
    <x v="178"/>
    <x v="0"/>
    <x v="1"/>
    <x v="0"/>
    <x v="10"/>
    <x v="9"/>
    <n v="0.47"/>
    <x v="6"/>
    <n v="0"/>
    <n v="8"/>
    <n v="8"/>
  </r>
  <r>
    <n v="306"/>
    <d v="2011-01-14T00:00:00"/>
    <x v="0"/>
    <x v="0"/>
    <x v="0"/>
    <x v="179"/>
    <x v="0"/>
    <x v="5"/>
    <x v="0"/>
    <x v="7"/>
    <x v="3"/>
    <n v="0.54"/>
    <x v="1"/>
    <n v="0"/>
    <n v="8"/>
    <n v="8"/>
  </r>
  <r>
    <n v="328"/>
    <d v="2011-01-15T00:00:00"/>
    <x v="0"/>
    <x v="0"/>
    <x v="0"/>
    <x v="180"/>
    <x v="0"/>
    <x v="0"/>
    <x v="1"/>
    <x v="2"/>
    <x v="9"/>
    <n v="0.59"/>
    <x v="0"/>
    <n v="1"/>
    <n v="7"/>
    <n v="8"/>
  </r>
  <r>
    <n v="375"/>
    <d v="2011-01-17T00:00:00"/>
    <x v="0"/>
    <x v="0"/>
    <x v="0"/>
    <x v="181"/>
    <x v="1"/>
    <x v="2"/>
    <x v="1"/>
    <x v="5"/>
    <x v="14"/>
    <n v="0.43"/>
    <x v="10"/>
    <n v="0"/>
    <n v="8"/>
    <n v="8"/>
  </r>
  <r>
    <n v="486"/>
    <d v="2011-01-22T00:00:00"/>
    <x v="0"/>
    <x v="0"/>
    <x v="0"/>
    <x v="182"/>
    <x v="0"/>
    <x v="0"/>
    <x v="0"/>
    <x v="12"/>
    <x v="24"/>
    <n v="0.44"/>
    <x v="7"/>
    <n v="0"/>
    <n v="8"/>
    <n v="8"/>
  </r>
  <r>
    <n v="576"/>
    <d v="2011-01-26T00:00:00"/>
    <x v="0"/>
    <x v="0"/>
    <x v="0"/>
    <x v="183"/>
    <x v="0"/>
    <x v="6"/>
    <x v="2"/>
    <x v="4"/>
    <x v="15"/>
    <n v="0.86"/>
    <x v="7"/>
    <n v="0"/>
    <n v="8"/>
    <n v="8"/>
  </r>
  <r>
    <n v="622"/>
    <d v="2011-01-29T00:00:00"/>
    <x v="0"/>
    <x v="0"/>
    <x v="0"/>
    <x v="184"/>
    <x v="0"/>
    <x v="0"/>
    <x v="0"/>
    <x v="4"/>
    <x v="6"/>
    <n v="0.64"/>
    <x v="4"/>
    <n v="3"/>
    <n v="5"/>
    <n v="8"/>
  </r>
  <r>
    <n v="645"/>
    <d v="2011-01-30T00:00:00"/>
    <x v="0"/>
    <x v="0"/>
    <x v="0"/>
    <x v="185"/>
    <x v="0"/>
    <x v="1"/>
    <x v="0"/>
    <x v="3"/>
    <x v="6"/>
    <n v="0.93"/>
    <x v="0"/>
    <n v="1"/>
    <n v="7"/>
    <n v="8"/>
  </r>
  <r>
    <n v="670"/>
    <d v="2011-01-31T00:00:00"/>
    <x v="0"/>
    <x v="0"/>
    <x v="0"/>
    <x v="186"/>
    <x v="0"/>
    <x v="2"/>
    <x v="0"/>
    <x v="5"/>
    <x v="14"/>
    <n v="0.64"/>
    <x v="7"/>
    <n v="0"/>
    <n v="8"/>
    <n v="8"/>
  </r>
  <r>
    <n v="689"/>
    <d v="2011-02-01T00:00:00"/>
    <x v="0"/>
    <x v="0"/>
    <x v="1"/>
    <x v="187"/>
    <x v="0"/>
    <x v="3"/>
    <x v="1"/>
    <x v="2"/>
    <x v="15"/>
    <n v="0.64"/>
    <x v="8"/>
    <n v="2"/>
    <n v="6"/>
    <n v="8"/>
  </r>
  <r>
    <n v="786"/>
    <d v="2011-02-05T00:00:00"/>
    <x v="0"/>
    <x v="0"/>
    <x v="1"/>
    <x v="188"/>
    <x v="0"/>
    <x v="0"/>
    <x v="2"/>
    <x v="10"/>
    <x v="9"/>
    <n v="0.93"/>
    <x v="4"/>
    <n v="0"/>
    <n v="8"/>
    <n v="8"/>
  </r>
  <r>
    <n v="813"/>
    <d v="2011-02-06T00:00:00"/>
    <x v="0"/>
    <x v="0"/>
    <x v="1"/>
    <x v="189"/>
    <x v="0"/>
    <x v="1"/>
    <x v="0"/>
    <x v="0"/>
    <x v="19"/>
    <n v="0.65"/>
    <x v="6"/>
    <n v="0"/>
    <n v="8"/>
    <n v="8"/>
  </r>
  <r>
    <n v="27"/>
    <d v="2011-01-02T00:00:00"/>
    <x v="0"/>
    <x v="0"/>
    <x v="0"/>
    <x v="190"/>
    <x v="0"/>
    <x v="1"/>
    <x v="1"/>
    <x v="14"/>
    <x v="17"/>
    <n v="1"/>
    <x v="7"/>
    <n v="1"/>
    <n v="8"/>
    <n v="9"/>
  </r>
  <r>
    <n v="46"/>
    <d v="2011-01-02T00:00:00"/>
    <x v="0"/>
    <x v="0"/>
    <x v="0"/>
    <x v="191"/>
    <x v="0"/>
    <x v="1"/>
    <x v="0"/>
    <x v="0"/>
    <x v="6"/>
    <n v="0.44"/>
    <x v="9"/>
    <n v="0"/>
    <n v="9"/>
    <n v="9"/>
  </r>
  <r>
    <n v="169"/>
    <d v="2011-01-08T00:00:00"/>
    <x v="0"/>
    <x v="0"/>
    <x v="0"/>
    <x v="192"/>
    <x v="0"/>
    <x v="0"/>
    <x v="1"/>
    <x v="2"/>
    <x v="15"/>
    <n v="0.74"/>
    <x v="8"/>
    <n v="1"/>
    <n v="8"/>
    <n v="9"/>
  </r>
  <r>
    <n v="549"/>
    <d v="2011-01-25T00:00:00"/>
    <x v="0"/>
    <x v="0"/>
    <x v="0"/>
    <x v="193"/>
    <x v="0"/>
    <x v="3"/>
    <x v="1"/>
    <x v="2"/>
    <x v="3"/>
    <n v="0.69"/>
    <x v="7"/>
    <n v="3"/>
    <n v="6"/>
    <n v="9"/>
  </r>
  <r>
    <n v="553"/>
    <d v="2011-01-25T00:00:00"/>
    <x v="0"/>
    <x v="0"/>
    <x v="0"/>
    <x v="194"/>
    <x v="0"/>
    <x v="3"/>
    <x v="0"/>
    <x v="3"/>
    <x v="3"/>
    <n v="0.74"/>
    <x v="5"/>
    <n v="0"/>
    <n v="9"/>
    <n v="9"/>
  </r>
  <r>
    <n v="596"/>
    <d v="2011-01-28T00:00:00"/>
    <x v="0"/>
    <x v="0"/>
    <x v="0"/>
    <x v="195"/>
    <x v="0"/>
    <x v="5"/>
    <x v="1"/>
    <x v="4"/>
    <x v="6"/>
    <n v="0.75"/>
    <x v="4"/>
    <n v="0"/>
    <n v="9"/>
    <n v="9"/>
  </r>
  <r>
    <n v="787"/>
    <d v="2011-02-05T00:00:00"/>
    <x v="0"/>
    <x v="0"/>
    <x v="1"/>
    <x v="196"/>
    <x v="0"/>
    <x v="0"/>
    <x v="2"/>
    <x v="4"/>
    <x v="9"/>
    <n v="1"/>
    <x v="1"/>
    <n v="0"/>
    <n v="9"/>
    <n v="9"/>
  </r>
  <r>
    <n v="194"/>
    <d v="2011-01-09T00:00:00"/>
    <x v="0"/>
    <x v="0"/>
    <x v="0"/>
    <x v="197"/>
    <x v="0"/>
    <x v="1"/>
    <x v="0"/>
    <x v="7"/>
    <x v="7"/>
    <n v="0.49"/>
    <x v="7"/>
    <n v="0"/>
    <n v="10"/>
    <n v="10"/>
  </r>
  <r>
    <n v="332"/>
    <d v="2011-01-15T00:00:00"/>
    <x v="0"/>
    <x v="0"/>
    <x v="0"/>
    <x v="198"/>
    <x v="0"/>
    <x v="0"/>
    <x v="0"/>
    <x v="3"/>
    <x v="6"/>
    <n v="0.63"/>
    <x v="0"/>
    <n v="1"/>
    <n v="9"/>
    <n v="10"/>
  </r>
  <r>
    <n v="574"/>
    <d v="2011-01-26T00:00:00"/>
    <x v="0"/>
    <x v="0"/>
    <x v="0"/>
    <x v="199"/>
    <x v="0"/>
    <x v="6"/>
    <x v="2"/>
    <x v="10"/>
    <x v="9"/>
    <n v="0.69"/>
    <x v="2"/>
    <n v="3"/>
    <n v="7"/>
    <n v="10"/>
  </r>
  <r>
    <n v="790"/>
    <d v="2011-02-05T00:00:00"/>
    <x v="0"/>
    <x v="0"/>
    <x v="1"/>
    <x v="200"/>
    <x v="0"/>
    <x v="0"/>
    <x v="2"/>
    <x v="4"/>
    <x v="9"/>
    <n v="1"/>
    <x v="1"/>
    <n v="0"/>
    <n v="10"/>
    <n v="10"/>
  </r>
  <r>
    <n v="835"/>
    <d v="2011-02-07T00:00:00"/>
    <x v="0"/>
    <x v="0"/>
    <x v="1"/>
    <x v="201"/>
    <x v="0"/>
    <x v="2"/>
    <x v="0"/>
    <x v="4"/>
    <x v="1"/>
    <n v="0.86"/>
    <x v="0"/>
    <n v="1"/>
    <n v="9"/>
    <n v="10"/>
  </r>
  <r>
    <n v="854"/>
    <d v="2011-02-08T00:00:00"/>
    <x v="0"/>
    <x v="0"/>
    <x v="1"/>
    <x v="202"/>
    <x v="0"/>
    <x v="3"/>
    <x v="1"/>
    <x v="13"/>
    <x v="22"/>
    <n v="0.87"/>
    <x v="0"/>
    <n v="4"/>
    <n v="6"/>
    <n v="10"/>
  </r>
  <r>
    <n v="949"/>
    <d v="2011-02-12T00:00:00"/>
    <x v="0"/>
    <x v="0"/>
    <x v="1"/>
    <x v="203"/>
    <x v="0"/>
    <x v="0"/>
    <x v="0"/>
    <x v="8"/>
    <x v="5"/>
    <n v="0.8"/>
    <x v="0"/>
    <n v="3"/>
    <n v="7"/>
    <n v="10"/>
  </r>
  <r>
    <n v="92"/>
    <d v="2011-01-04T00:00:00"/>
    <x v="0"/>
    <x v="0"/>
    <x v="0"/>
    <x v="204"/>
    <x v="0"/>
    <x v="3"/>
    <x v="0"/>
    <x v="4"/>
    <x v="9"/>
    <n v="0.69"/>
    <x v="1"/>
    <n v="2"/>
    <n v="9"/>
    <n v="11"/>
  </r>
  <r>
    <n v="116"/>
    <d v="2011-01-06T00:00:00"/>
    <x v="0"/>
    <x v="0"/>
    <x v="0"/>
    <x v="205"/>
    <x v="0"/>
    <x v="4"/>
    <x v="0"/>
    <x v="5"/>
    <x v="19"/>
    <n v="0.55000000000000004"/>
    <x v="0"/>
    <n v="0"/>
    <n v="11"/>
    <n v="11"/>
  </r>
  <r>
    <n v="188"/>
    <d v="2011-01-09T00:00:00"/>
    <x v="0"/>
    <x v="0"/>
    <x v="0"/>
    <x v="206"/>
    <x v="0"/>
    <x v="1"/>
    <x v="0"/>
    <x v="7"/>
    <x v="13"/>
    <n v="0.46"/>
    <x v="15"/>
    <n v="0"/>
    <n v="11"/>
    <n v="11"/>
  </r>
  <r>
    <n v="482"/>
    <d v="2011-01-22T00:00:00"/>
    <x v="0"/>
    <x v="0"/>
    <x v="0"/>
    <x v="207"/>
    <x v="0"/>
    <x v="0"/>
    <x v="1"/>
    <x v="11"/>
    <x v="12"/>
    <n v="0.41"/>
    <x v="10"/>
    <n v="0"/>
    <n v="11"/>
    <n v="11"/>
  </r>
  <r>
    <n v="644"/>
    <d v="2011-01-30T00:00:00"/>
    <x v="0"/>
    <x v="0"/>
    <x v="0"/>
    <x v="208"/>
    <x v="0"/>
    <x v="1"/>
    <x v="0"/>
    <x v="2"/>
    <x v="9"/>
    <n v="0.8"/>
    <x v="0"/>
    <n v="1"/>
    <n v="10"/>
    <n v="11"/>
  </r>
  <r>
    <n v="785"/>
    <d v="2011-02-05T00:00:00"/>
    <x v="0"/>
    <x v="0"/>
    <x v="1"/>
    <x v="209"/>
    <x v="0"/>
    <x v="0"/>
    <x v="1"/>
    <x v="0"/>
    <x v="19"/>
    <n v="0.75"/>
    <x v="6"/>
    <n v="1"/>
    <n v="10"/>
    <n v="11"/>
  </r>
  <r>
    <n v="953"/>
    <d v="2011-02-12T00:00:00"/>
    <x v="0"/>
    <x v="0"/>
    <x v="1"/>
    <x v="210"/>
    <x v="0"/>
    <x v="0"/>
    <x v="0"/>
    <x v="8"/>
    <x v="4"/>
    <n v="0.8"/>
    <x v="8"/>
    <n v="2"/>
    <n v="9"/>
    <n v="11"/>
  </r>
  <r>
    <n v="993"/>
    <d v="2011-02-14T00:00:00"/>
    <x v="0"/>
    <x v="0"/>
    <x v="1"/>
    <x v="211"/>
    <x v="0"/>
    <x v="2"/>
    <x v="0"/>
    <x v="20"/>
    <x v="26"/>
    <n v="0.37"/>
    <x v="12"/>
    <n v="3"/>
    <n v="8"/>
    <n v="11"/>
  </r>
  <r>
    <n v="69"/>
    <d v="2011-01-03T00:00:00"/>
    <x v="0"/>
    <x v="0"/>
    <x v="0"/>
    <x v="212"/>
    <x v="0"/>
    <x v="2"/>
    <x v="0"/>
    <x v="5"/>
    <x v="6"/>
    <n v="0.55000000000000004"/>
    <x v="8"/>
    <n v="1"/>
    <n v="11"/>
    <n v="12"/>
  </r>
  <r>
    <n v="187"/>
    <d v="2011-01-09T00:00:00"/>
    <x v="0"/>
    <x v="0"/>
    <x v="0"/>
    <x v="213"/>
    <x v="0"/>
    <x v="1"/>
    <x v="0"/>
    <x v="7"/>
    <x v="13"/>
    <n v="0.42"/>
    <x v="15"/>
    <n v="0"/>
    <n v="12"/>
    <n v="12"/>
  </r>
  <r>
    <n v="234"/>
    <d v="2011-01-11T00:00:00"/>
    <x v="0"/>
    <x v="0"/>
    <x v="0"/>
    <x v="214"/>
    <x v="0"/>
    <x v="3"/>
    <x v="0"/>
    <x v="3"/>
    <x v="14"/>
    <n v="0.59"/>
    <x v="8"/>
    <n v="2"/>
    <n v="10"/>
    <n v="12"/>
  </r>
  <r>
    <n v="327"/>
    <d v="2011-01-15T00:00:00"/>
    <x v="0"/>
    <x v="0"/>
    <x v="0"/>
    <x v="215"/>
    <x v="0"/>
    <x v="0"/>
    <x v="1"/>
    <x v="2"/>
    <x v="5"/>
    <n v="0.59"/>
    <x v="1"/>
    <n v="0"/>
    <n v="12"/>
    <n v="12"/>
  </r>
  <r>
    <n v="481"/>
    <d v="2011-01-22T00:00:00"/>
    <x v="0"/>
    <x v="0"/>
    <x v="0"/>
    <x v="216"/>
    <x v="0"/>
    <x v="0"/>
    <x v="1"/>
    <x v="11"/>
    <x v="18"/>
    <n v="0.41"/>
    <x v="3"/>
    <n v="3"/>
    <n v="9"/>
    <n v="12"/>
  </r>
  <r>
    <n v="649"/>
    <d v="2011-01-30T00:00:00"/>
    <x v="0"/>
    <x v="0"/>
    <x v="0"/>
    <x v="217"/>
    <x v="0"/>
    <x v="1"/>
    <x v="1"/>
    <x v="3"/>
    <x v="6"/>
    <n v="0.86"/>
    <x v="0"/>
    <n v="1"/>
    <n v="11"/>
    <n v="12"/>
  </r>
  <r>
    <n v="736"/>
    <d v="2011-02-03T00:00:00"/>
    <x v="0"/>
    <x v="0"/>
    <x v="1"/>
    <x v="218"/>
    <x v="0"/>
    <x v="4"/>
    <x v="0"/>
    <x v="4"/>
    <x v="14"/>
    <n v="0.4"/>
    <x v="16"/>
    <n v="1"/>
    <n v="11"/>
    <n v="12"/>
  </r>
  <r>
    <n v="877"/>
    <d v="2011-02-08T00:00:00"/>
    <x v="0"/>
    <x v="0"/>
    <x v="1"/>
    <x v="219"/>
    <x v="0"/>
    <x v="3"/>
    <x v="0"/>
    <x v="8"/>
    <x v="20"/>
    <n v="0.33"/>
    <x v="13"/>
    <n v="3"/>
    <n v="9"/>
    <n v="12"/>
  </r>
  <r>
    <n v="973"/>
    <d v="2011-02-13T00:00:00"/>
    <x v="0"/>
    <x v="0"/>
    <x v="1"/>
    <x v="220"/>
    <x v="0"/>
    <x v="1"/>
    <x v="1"/>
    <x v="4"/>
    <x v="9"/>
    <n v="0.69"/>
    <x v="8"/>
    <n v="4"/>
    <n v="8"/>
    <n v="12"/>
  </r>
  <r>
    <n v="977"/>
    <d v="2011-02-13T00:00:00"/>
    <x v="0"/>
    <x v="0"/>
    <x v="1"/>
    <x v="221"/>
    <x v="0"/>
    <x v="1"/>
    <x v="1"/>
    <x v="10"/>
    <x v="9"/>
    <n v="0.64"/>
    <x v="2"/>
    <n v="1"/>
    <n v="11"/>
    <n v="12"/>
  </r>
  <r>
    <n v="4"/>
    <d v="2011-01-01T00:00:00"/>
    <x v="0"/>
    <x v="0"/>
    <x v="0"/>
    <x v="222"/>
    <x v="0"/>
    <x v="0"/>
    <x v="0"/>
    <x v="0"/>
    <x v="0"/>
    <n v="0.75"/>
    <x v="0"/>
    <n v="3"/>
    <n v="10"/>
    <n v="13"/>
  </r>
  <r>
    <n v="380"/>
    <d v="2011-01-17T00:00:00"/>
    <x v="0"/>
    <x v="0"/>
    <x v="0"/>
    <x v="223"/>
    <x v="1"/>
    <x v="2"/>
    <x v="1"/>
    <x v="2"/>
    <x v="15"/>
    <n v="0.5"/>
    <x v="4"/>
    <n v="4"/>
    <n v="9"/>
    <n v="13"/>
  </r>
  <r>
    <n v="395"/>
    <d v="2011-01-17T00:00:00"/>
    <x v="0"/>
    <x v="0"/>
    <x v="0"/>
    <x v="224"/>
    <x v="1"/>
    <x v="2"/>
    <x v="2"/>
    <x v="3"/>
    <x v="8"/>
    <n v="0.93"/>
    <x v="10"/>
    <n v="0"/>
    <n v="13"/>
    <n v="13"/>
  </r>
  <r>
    <n v="432"/>
    <d v="2011-01-20T00:00:00"/>
    <x v="0"/>
    <x v="0"/>
    <x v="0"/>
    <x v="225"/>
    <x v="0"/>
    <x v="4"/>
    <x v="0"/>
    <x v="9"/>
    <x v="9"/>
    <n v="0.56000000000000005"/>
    <x v="3"/>
    <n v="5"/>
    <n v="8"/>
    <n v="13"/>
  </r>
  <r>
    <n v="480"/>
    <d v="2011-01-22T00:00:00"/>
    <x v="0"/>
    <x v="0"/>
    <x v="0"/>
    <x v="226"/>
    <x v="0"/>
    <x v="0"/>
    <x v="0"/>
    <x v="11"/>
    <x v="12"/>
    <n v="0.45"/>
    <x v="10"/>
    <n v="0"/>
    <n v="13"/>
    <n v="13"/>
  </r>
  <r>
    <n v="504"/>
    <d v="2011-01-23T00:00:00"/>
    <x v="0"/>
    <x v="0"/>
    <x v="0"/>
    <x v="227"/>
    <x v="0"/>
    <x v="1"/>
    <x v="0"/>
    <x v="11"/>
    <x v="10"/>
    <n v="0.56999999999999995"/>
    <x v="8"/>
    <n v="1"/>
    <n v="12"/>
    <n v="13"/>
  </r>
  <r>
    <n v="759"/>
    <d v="2011-02-04T00:00:00"/>
    <x v="0"/>
    <x v="0"/>
    <x v="1"/>
    <x v="228"/>
    <x v="0"/>
    <x v="5"/>
    <x v="1"/>
    <x v="4"/>
    <x v="1"/>
    <n v="0.44"/>
    <x v="0"/>
    <n v="3"/>
    <n v="10"/>
    <n v="13"/>
  </r>
  <r>
    <n v="809"/>
    <d v="2011-02-06T00:00:00"/>
    <x v="0"/>
    <x v="0"/>
    <x v="1"/>
    <x v="229"/>
    <x v="0"/>
    <x v="1"/>
    <x v="0"/>
    <x v="9"/>
    <x v="0"/>
    <n v="0.6"/>
    <x v="1"/>
    <n v="3"/>
    <n v="10"/>
    <n v="13"/>
  </r>
  <r>
    <n v="10"/>
    <d v="2011-01-01T00:00:00"/>
    <x v="0"/>
    <x v="0"/>
    <x v="0"/>
    <x v="230"/>
    <x v="0"/>
    <x v="0"/>
    <x v="0"/>
    <x v="18"/>
    <x v="27"/>
    <n v="0.76"/>
    <x v="0"/>
    <n v="8"/>
    <n v="6"/>
    <n v="14"/>
  </r>
  <r>
    <n v="302"/>
    <d v="2011-01-14T00:00:00"/>
    <x v="0"/>
    <x v="0"/>
    <x v="0"/>
    <x v="231"/>
    <x v="0"/>
    <x v="5"/>
    <x v="0"/>
    <x v="8"/>
    <x v="3"/>
    <n v="0.5"/>
    <x v="2"/>
    <n v="0"/>
    <n v="14"/>
    <n v="14"/>
  </r>
  <r>
    <n v="924"/>
    <d v="2011-02-11T00:00:00"/>
    <x v="0"/>
    <x v="0"/>
    <x v="1"/>
    <x v="232"/>
    <x v="0"/>
    <x v="5"/>
    <x v="0"/>
    <x v="7"/>
    <x v="3"/>
    <n v="0.49"/>
    <x v="8"/>
    <n v="2"/>
    <n v="12"/>
    <n v="14"/>
  </r>
  <r>
    <n v="161"/>
    <d v="2011-01-07T00:00:00"/>
    <x v="0"/>
    <x v="0"/>
    <x v="0"/>
    <x v="233"/>
    <x v="0"/>
    <x v="5"/>
    <x v="1"/>
    <x v="5"/>
    <x v="5"/>
    <n v="0.51"/>
    <x v="6"/>
    <n v="1"/>
    <n v="14"/>
    <n v="15"/>
  </r>
  <r>
    <n v="170"/>
    <d v="2011-01-08T00:00:00"/>
    <x v="0"/>
    <x v="0"/>
    <x v="0"/>
    <x v="234"/>
    <x v="0"/>
    <x v="0"/>
    <x v="2"/>
    <x v="2"/>
    <x v="15"/>
    <n v="0.93"/>
    <x v="8"/>
    <n v="0"/>
    <n v="15"/>
    <n v="15"/>
  </r>
  <r>
    <n v="208"/>
    <d v="2011-01-09T00:00:00"/>
    <x v="0"/>
    <x v="0"/>
    <x v="0"/>
    <x v="235"/>
    <x v="0"/>
    <x v="1"/>
    <x v="0"/>
    <x v="3"/>
    <x v="8"/>
    <n v="0.46"/>
    <x v="9"/>
    <n v="5"/>
    <n v="10"/>
    <n v="15"/>
  </r>
  <r>
    <n v="301"/>
    <d v="2011-01-13T00:00:00"/>
    <x v="0"/>
    <x v="0"/>
    <x v="0"/>
    <x v="236"/>
    <x v="0"/>
    <x v="4"/>
    <x v="0"/>
    <x v="8"/>
    <x v="3"/>
    <n v="0.5"/>
    <x v="2"/>
    <n v="1"/>
    <n v="14"/>
    <n v="15"/>
  </r>
  <r>
    <n v="352"/>
    <d v="2011-01-16T00:00:00"/>
    <x v="0"/>
    <x v="0"/>
    <x v="0"/>
    <x v="237"/>
    <x v="0"/>
    <x v="1"/>
    <x v="0"/>
    <x v="10"/>
    <x v="16"/>
    <n v="0.69"/>
    <x v="0"/>
    <n v="9"/>
    <n v="6"/>
    <n v="15"/>
  </r>
  <r>
    <n v="531"/>
    <d v="2011-01-24T00:00:00"/>
    <x v="0"/>
    <x v="0"/>
    <x v="0"/>
    <x v="238"/>
    <x v="0"/>
    <x v="2"/>
    <x v="0"/>
    <x v="12"/>
    <x v="10"/>
    <n v="0.48"/>
    <x v="1"/>
    <n v="0"/>
    <n v="15"/>
    <n v="15"/>
  </r>
  <r>
    <n v="621"/>
    <d v="2011-01-29T00:00:00"/>
    <x v="0"/>
    <x v="0"/>
    <x v="0"/>
    <x v="239"/>
    <x v="0"/>
    <x v="0"/>
    <x v="0"/>
    <x v="10"/>
    <x v="9"/>
    <n v="0.64"/>
    <x v="6"/>
    <n v="0"/>
    <n v="15"/>
    <n v="15"/>
  </r>
  <r>
    <n v="830"/>
    <d v="2011-02-07T00:00:00"/>
    <x v="0"/>
    <x v="0"/>
    <x v="1"/>
    <x v="240"/>
    <x v="0"/>
    <x v="2"/>
    <x v="0"/>
    <x v="0"/>
    <x v="0"/>
    <n v="0.65"/>
    <x v="0"/>
    <n v="1"/>
    <n v="14"/>
    <n v="15"/>
  </r>
  <r>
    <n v="948"/>
    <d v="2011-02-12T00:00:00"/>
    <x v="0"/>
    <x v="0"/>
    <x v="1"/>
    <x v="241"/>
    <x v="0"/>
    <x v="0"/>
    <x v="0"/>
    <x v="3"/>
    <x v="6"/>
    <n v="0.8"/>
    <x v="0"/>
    <n v="2"/>
    <n v="13"/>
    <n v="15"/>
  </r>
  <r>
    <n v="1"/>
    <d v="2011-01-01T00:00:00"/>
    <x v="0"/>
    <x v="0"/>
    <x v="0"/>
    <x v="242"/>
    <x v="0"/>
    <x v="0"/>
    <x v="0"/>
    <x v="0"/>
    <x v="0"/>
    <n v="0.81"/>
    <x v="0"/>
    <n v="3"/>
    <n v="13"/>
    <n v="16"/>
  </r>
  <r>
    <n v="163"/>
    <d v="2011-01-08T00:00:00"/>
    <x v="0"/>
    <x v="0"/>
    <x v="0"/>
    <x v="243"/>
    <x v="0"/>
    <x v="0"/>
    <x v="1"/>
    <x v="5"/>
    <x v="6"/>
    <n v="0.55000000000000004"/>
    <x v="1"/>
    <n v="1"/>
    <n v="15"/>
    <n v="16"/>
  </r>
  <r>
    <n v="164"/>
    <d v="2011-01-08T00:00:00"/>
    <x v="0"/>
    <x v="0"/>
    <x v="0"/>
    <x v="244"/>
    <x v="0"/>
    <x v="0"/>
    <x v="1"/>
    <x v="5"/>
    <x v="19"/>
    <n v="0.55000000000000004"/>
    <x v="0"/>
    <n v="3"/>
    <n v="13"/>
    <n v="16"/>
  </r>
  <r>
    <n v="260"/>
    <d v="2011-01-12T00:00:00"/>
    <x v="0"/>
    <x v="0"/>
    <x v="0"/>
    <x v="245"/>
    <x v="0"/>
    <x v="6"/>
    <x v="0"/>
    <x v="8"/>
    <x v="4"/>
    <n v="0.93"/>
    <x v="4"/>
    <n v="0"/>
    <n v="16"/>
    <n v="16"/>
  </r>
  <r>
    <n v="351"/>
    <d v="2011-01-16T00:00:00"/>
    <x v="0"/>
    <x v="0"/>
    <x v="0"/>
    <x v="246"/>
    <x v="0"/>
    <x v="1"/>
    <x v="0"/>
    <x v="9"/>
    <x v="0"/>
    <n v="0.56000000000000005"/>
    <x v="1"/>
    <n v="3"/>
    <n v="13"/>
    <n v="16"/>
  </r>
  <r>
    <n v="374"/>
    <d v="2011-01-17T00:00:00"/>
    <x v="0"/>
    <x v="0"/>
    <x v="0"/>
    <x v="247"/>
    <x v="1"/>
    <x v="2"/>
    <x v="1"/>
    <x v="4"/>
    <x v="5"/>
    <n v="0.44"/>
    <x v="2"/>
    <n v="1"/>
    <n v="15"/>
    <n v="16"/>
  </r>
  <r>
    <n v="595"/>
    <d v="2011-01-27T00:00:00"/>
    <x v="0"/>
    <x v="0"/>
    <x v="0"/>
    <x v="248"/>
    <x v="0"/>
    <x v="4"/>
    <x v="0"/>
    <x v="5"/>
    <x v="5"/>
    <n v="0.8"/>
    <x v="6"/>
    <n v="0"/>
    <n v="16"/>
    <n v="16"/>
  </r>
  <r>
    <n v="601"/>
    <d v="2011-01-28T00:00:00"/>
    <x v="0"/>
    <x v="0"/>
    <x v="0"/>
    <x v="249"/>
    <x v="0"/>
    <x v="5"/>
    <x v="1"/>
    <x v="5"/>
    <x v="5"/>
    <n v="0.8"/>
    <x v="4"/>
    <n v="0"/>
    <n v="16"/>
    <n v="16"/>
  </r>
  <r>
    <n v="711"/>
    <d v="2011-02-01T00:00:00"/>
    <x v="0"/>
    <x v="0"/>
    <x v="1"/>
    <x v="250"/>
    <x v="0"/>
    <x v="3"/>
    <x v="2"/>
    <x v="4"/>
    <x v="5"/>
    <n v="0.93"/>
    <x v="2"/>
    <n v="1"/>
    <n v="15"/>
    <n v="16"/>
  </r>
  <r>
    <n v="901"/>
    <d v="2011-02-10T00:00:00"/>
    <x v="0"/>
    <x v="0"/>
    <x v="1"/>
    <x v="251"/>
    <x v="0"/>
    <x v="4"/>
    <x v="2"/>
    <x v="3"/>
    <x v="3"/>
    <n v="0.86"/>
    <x v="2"/>
    <n v="0"/>
    <n v="16"/>
    <n v="16"/>
  </r>
  <r>
    <n v="25"/>
    <d v="2011-01-02T00:00:00"/>
    <x v="0"/>
    <x v="0"/>
    <x v="0"/>
    <x v="252"/>
    <x v="0"/>
    <x v="1"/>
    <x v="1"/>
    <x v="19"/>
    <x v="25"/>
    <n v="0.88"/>
    <x v="9"/>
    <n v="4"/>
    <n v="13"/>
    <n v="17"/>
  </r>
  <r>
    <n v="26"/>
    <d v="2011-01-02T00:00:00"/>
    <x v="0"/>
    <x v="0"/>
    <x v="0"/>
    <x v="253"/>
    <x v="0"/>
    <x v="1"/>
    <x v="1"/>
    <x v="21"/>
    <x v="28"/>
    <n v="0.94"/>
    <x v="10"/>
    <n v="1"/>
    <n v="16"/>
    <n v="17"/>
  </r>
  <r>
    <n v="139"/>
    <d v="2011-01-07T00:00:00"/>
    <x v="0"/>
    <x v="0"/>
    <x v="0"/>
    <x v="254"/>
    <x v="0"/>
    <x v="5"/>
    <x v="1"/>
    <x v="4"/>
    <x v="5"/>
    <n v="0.64"/>
    <x v="2"/>
    <n v="4"/>
    <n v="13"/>
    <n v="17"/>
  </r>
  <r>
    <n v="307"/>
    <d v="2011-01-14T00:00:00"/>
    <x v="0"/>
    <x v="0"/>
    <x v="0"/>
    <x v="255"/>
    <x v="0"/>
    <x v="5"/>
    <x v="0"/>
    <x v="7"/>
    <x v="15"/>
    <n v="0.54"/>
    <x v="0"/>
    <n v="0"/>
    <n v="17"/>
    <n v="17"/>
  </r>
  <r>
    <n v="373"/>
    <d v="2011-01-17T00:00:00"/>
    <x v="0"/>
    <x v="0"/>
    <x v="0"/>
    <x v="256"/>
    <x v="1"/>
    <x v="2"/>
    <x v="1"/>
    <x v="4"/>
    <x v="5"/>
    <n v="0.47"/>
    <x v="5"/>
    <n v="1"/>
    <n v="16"/>
    <n v="17"/>
  </r>
  <r>
    <n v="572"/>
    <d v="2011-01-26T00:00:00"/>
    <x v="0"/>
    <x v="0"/>
    <x v="0"/>
    <x v="257"/>
    <x v="0"/>
    <x v="6"/>
    <x v="1"/>
    <x v="10"/>
    <x v="9"/>
    <n v="0.69"/>
    <x v="4"/>
    <n v="3"/>
    <n v="14"/>
    <n v="17"/>
  </r>
  <r>
    <n v="688"/>
    <d v="2011-01-31T00:00:00"/>
    <x v="0"/>
    <x v="0"/>
    <x v="0"/>
    <x v="258"/>
    <x v="0"/>
    <x v="2"/>
    <x v="1"/>
    <x v="2"/>
    <x v="5"/>
    <n v="0.64"/>
    <x v="1"/>
    <n v="2"/>
    <n v="15"/>
    <n v="17"/>
  </r>
  <r>
    <n v="784"/>
    <d v="2011-02-05T00:00:00"/>
    <x v="0"/>
    <x v="0"/>
    <x v="1"/>
    <x v="259"/>
    <x v="0"/>
    <x v="0"/>
    <x v="1"/>
    <x v="0"/>
    <x v="19"/>
    <n v="0.75"/>
    <x v="6"/>
    <n v="5"/>
    <n v="12"/>
    <n v="17"/>
  </r>
  <r>
    <n v="878"/>
    <d v="2011-02-09T00:00:00"/>
    <x v="0"/>
    <x v="0"/>
    <x v="1"/>
    <x v="260"/>
    <x v="0"/>
    <x v="6"/>
    <x v="0"/>
    <x v="7"/>
    <x v="10"/>
    <n v="0.36"/>
    <x v="12"/>
    <n v="0"/>
    <n v="17"/>
    <n v="17"/>
  </r>
  <r>
    <n v="233"/>
    <d v="2011-01-10T00:00:00"/>
    <x v="0"/>
    <x v="0"/>
    <x v="0"/>
    <x v="261"/>
    <x v="0"/>
    <x v="2"/>
    <x v="0"/>
    <x v="3"/>
    <x v="4"/>
    <n v="0.59"/>
    <x v="6"/>
    <n v="0"/>
    <n v="18"/>
    <n v="18"/>
  </r>
  <r>
    <n v="357"/>
    <d v="2011-01-16T00:00:00"/>
    <x v="0"/>
    <x v="0"/>
    <x v="0"/>
    <x v="262"/>
    <x v="0"/>
    <x v="1"/>
    <x v="0"/>
    <x v="10"/>
    <x v="6"/>
    <n v="0.55000000000000004"/>
    <x v="7"/>
    <n v="0"/>
    <n v="18"/>
    <n v="18"/>
  </r>
  <r>
    <n v="372"/>
    <d v="2011-01-16T00:00:00"/>
    <x v="0"/>
    <x v="0"/>
    <x v="0"/>
    <x v="263"/>
    <x v="0"/>
    <x v="1"/>
    <x v="1"/>
    <x v="4"/>
    <x v="9"/>
    <n v="0.4"/>
    <x v="8"/>
    <n v="0"/>
    <n v="18"/>
    <n v="18"/>
  </r>
  <r>
    <n v="505"/>
    <d v="2011-01-23T00:00:00"/>
    <x v="0"/>
    <x v="0"/>
    <x v="0"/>
    <x v="264"/>
    <x v="0"/>
    <x v="1"/>
    <x v="0"/>
    <x v="12"/>
    <x v="13"/>
    <n v="0.62"/>
    <x v="4"/>
    <n v="3"/>
    <n v="15"/>
    <n v="18"/>
  </r>
  <r>
    <n v="718"/>
    <d v="2011-02-02T00:00:00"/>
    <x v="0"/>
    <x v="0"/>
    <x v="1"/>
    <x v="265"/>
    <x v="0"/>
    <x v="6"/>
    <x v="2"/>
    <x v="10"/>
    <x v="19"/>
    <n v="0.93"/>
    <x v="8"/>
    <n v="1"/>
    <n v="17"/>
    <n v="18"/>
  </r>
  <r>
    <n v="783"/>
    <d v="2011-02-05T00:00:00"/>
    <x v="0"/>
    <x v="0"/>
    <x v="1"/>
    <x v="266"/>
    <x v="0"/>
    <x v="0"/>
    <x v="1"/>
    <x v="0"/>
    <x v="19"/>
    <n v="0.65"/>
    <x v="6"/>
    <n v="1"/>
    <n v="17"/>
    <n v="18"/>
  </r>
  <r>
    <n v="115"/>
    <d v="2011-01-05T00:00:00"/>
    <x v="0"/>
    <x v="0"/>
    <x v="0"/>
    <x v="267"/>
    <x v="0"/>
    <x v="6"/>
    <x v="0"/>
    <x v="4"/>
    <x v="1"/>
    <n v="0.47"/>
    <x v="0"/>
    <n v="1"/>
    <n v="18"/>
    <n v="19"/>
  </r>
  <r>
    <n v="195"/>
    <d v="2011-01-09T00:00:00"/>
    <x v="0"/>
    <x v="0"/>
    <x v="0"/>
    <x v="268"/>
    <x v="0"/>
    <x v="1"/>
    <x v="0"/>
    <x v="8"/>
    <x v="10"/>
    <n v="0.46"/>
    <x v="14"/>
    <n v="0"/>
    <n v="19"/>
    <n v="19"/>
  </r>
  <r>
    <n v="255"/>
    <d v="2011-01-11T00:00:00"/>
    <x v="0"/>
    <x v="0"/>
    <x v="0"/>
    <x v="269"/>
    <x v="0"/>
    <x v="3"/>
    <x v="2"/>
    <x v="2"/>
    <x v="5"/>
    <n v="0.93"/>
    <x v="1"/>
    <n v="1"/>
    <n v="18"/>
    <n v="19"/>
  </r>
  <r>
    <n v="510"/>
    <d v="2011-01-23T00:00:00"/>
    <x v="0"/>
    <x v="0"/>
    <x v="0"/>
    <x v="270"/>
    <x v="0"/>
    <x v="1"/>
    <x v="0"/>
    <x v="15"/>
    <x v="10"/>
    <n v="0.62"/>
    <x v="6"/>
    <n v="2"/>
    <n v="17"/>
    <n v="19"/>
  </r>
  <r>
    <n v="33"/>
    <d v="2011-01-02T00:00:00"/>
    <x v="0"/>
    <x v="0"/>
    <x v="0"/>
    <x v="271"/>
    <x v="0"/>
    <x v="1"/>
    <x v="1"/>
    <x v="20"/>
    <x v="18"/>
    <n v="0.76"/>
    <x v="5"/>
    <n v="1"/>
    <n v="19"/>
    <n v="20"/>
  </r>
  <r>
    <n v="68"/>
    <d v="2011-01-03T00:00:00"/>
    <x v="0"/>
    <x v="0"/>
    <x v="0"/>
    <x v="272"/>
    <x v="0"/>
    <x v="2"/>
    <x v="0"/>
    <x v="3"/>
    <x v="4"/>
    <n v="0.69"/>
    <x v="4"/>
    <n v="0"/>
    <n v="20"/>
    <n v="20"/>
  </r>
  <r>
    <n v="171"/>
    <d v="2011-01-08T00:00:00"/>
    <x v="0"/>
    <x v="0"/>
    <x v="0"/>
    <x v="273"/>
    <x v="0"/>
    <x v="0"/>
    <x v="2"/>
    <x v="2"/>
    <x v="15"/>
    <n v="0.93"/>
    <x v="8"/>
    <n v="0"/>
    <n v="20"/>
    <n v="20"/>
  </r>
  <r>
    <n v="207"/>
    <d v="2011-01-09T00:00:00"/>
    <x v="0"/>
    <x v="0"/>
    <x v="0"/>
    <x v="274"/>
    <x v="0"/>
    <x v="1"/>
    <x v="0"/>
    <x v="3"/>
    <x v="20"/>
    <n v="0.46"/>
    <x v="11"/>
    <n v="1"/>
    <n v="19"/>
    <n v="20"/>
  </r>
  <r>
    <n v="253"/>
    <d v="2011-01-11T00:00:00"/>
    <x v="0"/>
    <x v="0"/>
    <x v="0"/>
    <x v="275"/>
    <x v="0"/>
    <x v="3"/>
    <x v="2"/>
    <x v="2"/>
    <x v="5"/>
    <n v="0.86"/>
    <x v="1"/>
    <n v="0"/>
    <n v="20"/>
    <n v="20"/>
  </r>
  <r>
    <n v="277"/>
    <d v="2011-01-12T00:00:00"/>
    <x v="0"/>
    <x v="0"/>
    <x v="0"/>
    <x v="276"/>
    <x v="0"/>
    <x v="6"/>
    <x v="0"/>
    <x v="3"/>
    <x v="20"/>
    <n v="0.59"/>
    <x v="11"/>
    <n v="1"/>
    <n v="19"/>
    <n v="20"/>
  </r>
  <r>
    <n v="326"/>
    <d v="2011-01-15T00:00:00"/>
    <x v="0"/>
    <x v="0"/>
    <x v="0"/>
    <x v="277"/>
    <x v="0"/>
    <x v="0"/>
    <x v="1"/>
    <x v="2"/>
    <x v="5"/>
    <n v="0.59"/>
    <x v="1"/>
    <n v="2"/>
    <n v="18"/>
    <n v="20"/>
  </r>
  <r>
    <n v="408"/>
    <d v="2011-01-18T00:00:00"/>
    <x v="0"/>
    <x v="0"/>
    <x v="0"/>
    <x v="278"/>
    <x v="0"/>
    <x v="3"/>
    <x v="1"/>
    <x v="10"/>
    <x v="16"/>
    <n v="0.93"/>
    <x v="0"/>
    <n v="1"/>
    <n v="19"/>
    <n v="20"/>
  </r>
  <r>
    <n v="620"/>
    <d v="2011-01-29T00:00:00"/>
    <x v="0"/>
    <x v="0"/>
    <x v="0"/>
    <x v="279"/>
    <x v="0"/>
    <x v="0"/>
    <x v="0"/>
    <x v="10"/>
    <x v="9"/>
    <n v="0.64"/>
    <x v="2"/>
    <n v="0"/>
    <n v="20"/>
    <n v="20"/>
  </r>
  <r>
    <n v="791"/>
    <d v="2011-02-05T00:00:00"/>
    <x v="0"/>
    <x v="0"/>
    <x v="1"/>
    <x v="280"/>
    <x v="0"/>
    <x v="0"/>
    <x v="2"/>
    <x v="4"/>
    <x v="9"/>
    <n v="1"/>
    <x v="1"/>
    <n v="3"/>
    <n v="17"/>
    <n v="20"/>
  </r>
  <r>
    <n v="808"/>
    <d v="2011-02-06T00:00:00"/>
    <x v="0"/>
    <x v="0"/>
    <x v="1"/>
    <x v="281"/>
    <x v="0"/>
    <x v="1"/>
    <x v="0"/>
    <x v="9"/>
    <x v="9"/>
    <n v="0.6"/>
    <x v="13"/>
    <n v="0"/>
    <n v="20"/>
    <n v="20"/>
  </r>
  <r>
    <n v="972"/>
    <d v="2011-02-13T00:00:00"/>
    <x v="0"/>
    <x v="0"/>
    <x v="1"/>
    <x v="282"/>
    <x v="0"/>
    <x v="1"/>
    <x v="1"/>
    <x v="4"/>
    <x v="9"/>
    <n v="0.75"/>
    <x v="1"/>
    <n v="1"/>
    <n v="19"/>
    <n v="20"/>
  </r>
  <r>
    <n v="371"/>
    <d v="2011-01-16T00:00:00"/>
    <x v="0"/>
    <x v="0"/>
    <x v="0"/>
    <x v="283"/>
    <x v="0"/>
    <x v="1"/>
    <x v="1"/>
    <x v="4"/>
    <x v="6"/>
    <n v="0.49"/>
    <x v="4"/>
    <n v="2"/>
    <n v="19"/>
    <n v="21"/>
  </r>
  <r>
    <n v="456"/>
    <d v="2011-01-21T00:00:00"/>
    <x v="0"/>
    <x v="0"/>
    <x v="0"/>
    <x v="284"/>
    <x v="0"/>
    <x v="5"/>
    <x v="1"/>
    <x v="0"/>
    <x v="9"/>
    <n v="0.7"/>
    <x v="10"/>
    <n v="1"/>
    <n v="20"/>
    <n v="21"/>
  </r>
  <r>
    <n v="525"/>
    <d v="2011-01-23T00:00:00"/>
    <x v="0"/>
    <x v="0"/>
    <x v="0"/>
    <x v="285"/>
    <x v="0"/>
    <x v="1"/>
    <x v="0"/>
    <x v="15"/>
    <x v="13"/>
    <n v="0.41"/>
    <x v="5"/>
    <n v="4"/>
    <n v="17"/>
    <n v="21"/>
  </r>
  <r>
    <n v="663"/>
    <d v="2011-01-30T00:00:00"/>
    <x v="0"/>
    <x v="0"/>
    <x v="0"/>
    <x v="286"/>
    <x v="0"/>
    <x v="1"/>
    <x v="1"/>
    <x v="0"/>
    <x v="9"/>
    <n v="0.7"/>
    <x v="2"/>
    <n v="2"/>
    <n v="19"/>
    <n v="21"/>
  </r>
  <r>
    <n v="664"/>
    <d v="2011-01-30T00:00:00"/>
    <x v="0"/>
    <x v="0"/>
    <x v="0"/>
    <x v="287"/>
    <x v="0"/>
    <x v="1"/>
    <x v="1"/>
    <x v="0"/>
    <x v="6"/>
    <n v="0.65"/>
    <x v="7"/>
    <n v="5"/>
    <n v="16"/>
    <n v="21"/>
  </r>
  <r>
    <n v="825"/>
    <d v="2011-02-06T00:00:00"/>
    <x v="0"/>
    <x v="0"/>
    <x v="1"/>
    <x v="288"/>
    <x v="0"/>
    <x v="1"/>
    <x v="0"/>
    <x v="13"/>
    <x v="0"/>
    <n v="0.61"/>
    <x v="4"/>
    <n v="1"/>
    <n v="20"/>
    <n v="21"/>
  </r>
  <r>
    <n v="44"/>
    <d v="2011-01-02T00:00:00"/>
    <x v="0"/>
    <x v="0"/>
    <x v="0"/>
    <x v="289"/>
    <x v="0"/>
    <x v="1"/>
    <x v="0"/>
    <x v="22"/>
    <x v="18"/>
    <n v="0.39"/>
    <x v="12"/>
    <n v="5"/>
    <n v="17"/>
    <n v="22"/>
  </r>
  <r>
    <n v="185"/>
    <d v="2011-01-08T00:00:00"/>
    <x v="0"/>
    <x v="0"/>
    <x v="0"/>
    <x v="290"/>
    <x v="0"/>
    <x v="0"/>
    <x v="0"/>
    <x v="7"/>
    <x v="13"/>
    <n v="0.39"/>
    <x v="16"/>
    <n v="0"/>
    <n v="22"/>
    <n v="22"/>
  </r>
  <r>
    <n v="398"/>
    <d v="2011-01-18T00:00:00"/>
    <x v="0"/>
    <x v="0"/>
    <x v="0"/>
    <x v="291"/>
    <x v="0"/>
    <x v="3"/>
    <x v="1"/>
    <x v="4"/>
    <x v="5"/>
    <n v="0.86"/>
    <x v="5"/>
    <n v="0"/>
    <n v="22"/>
    <n v="22"/>
  </r>
  <r>
    <n v="503"/>
    <d v="2011-01-23T00:00:00"/>
    <x v="0"/>
    <x v="0"/>
    <x v="0"/>
    <x v="292"/>
    <x v="0"/>
    <x v="1"/>
    <x v="0"/>
    <x v="11"/>
    <x v="10"/>
    <n v="0.56999999999999995"/>
    <x v="8"/>
    <n v="2"/>
    <n v="20"/>
    <n v="22"/>
  </r>
  <r>
    <n v="694"/>
    <d v="2011-02-01T00:00:00"/>
    <x v="0"/>
    <x v="0"/>
    <x v="1"/>
    <x v="293"/>
    <x v="0"/>
    <x v="3"/>
    <x v="2"/>
    <x v="3"/>
    <x v="6"/>
    <n v="0.93"/>
    <x v="0"/>
    <n v="0"/>
    <n v="22"/>
    <n v="22"/>
  </r>
  <r>
    <n v="138"/>
    <d v="2011-01-06T00:00:00"/>
    <x v="0"/>
    <x v="0"/>
    <x v="0"/>
    <x v="294"/>
    <x v="0"/>
    <x v="4"/>
    <x v="1"/>
    <x v="4"/>
    <x v="5"/>
    <n v="0.59"/>
    <x v="2"/>
    <n v="4"/>
    <n v="19"/>
    <n v="23"/>
  </r>
  <r>
    <n v="333"/>
    <d v="2011-01-15T00:00:00"/>
    <x v="0"/>
    <x v="0"/>
    <x v="0"/>
    <x v="295"/>
    <x v="0"/>
    <x v="0"/>
    <x v="0"/>
    <x v="3"/>
    <x v="4"/>
    <n v="0.63"/>
    <x v="4"/>
    <n v="1"/>
    <n v="22"/>
    <n v="23"/>
  </r>
  <r>
    <n v="350"/>
    <d v="2011-01-16T00:00:00"/>
    <x v="0"/>
    <x v="0"/>
    <x v="0"/>
    <x v="296"/>
    <x v="0"/>
    <x v="1"/>
    <x v="0"/>
    <x v="9"/>
    <x v="16"/>
    <n v="0.56000000000000005"/>
    <x v="4"/>
    <n v="4"/>
    <n v="19"/>
    <n v="23"/>
  </r>
  <r>
    <n v="618"/>
    <d v="2011-01-28T00:00:00"/>
    <x v="0"/>
    <x v="0"/>
    <x v="0"/>
    <x v="297"/>
    <x v="0"/>
    <x v="5"/>
    <x v="0"/>
    <x v="0"/>
    <x v="9"/>
    <n v="0.6"/>
    <x v="5"/>
    <n v="1"/>
    <n v="22"/>
    <n v="23"/>
  </r>
  <r>
    <n v="814"/>
    <d v="2011-02-06T00:00:00"/>
    <x v="0"/>
    <x v="0"/>
    <x v="1"/>
    <x v="298"/>
    <x v="0"/>
    <x v="1"/>
    <x v="0"/>
    <x v="0"/>
    <x v="1"/>
    <n v="0.65"/>
    <x v="8"/>
    <n v="2"/>
    <n v="21"/>
    <n v="23"/>
  </r>
  <r>
    <n v="232"/>
    <d v="2011-01-10T00:00:00"/>
    <x v="0"/>
    <x v="0"/>
    <x v="0"/>
    <x v="299"/>
    <x v="0"/>
    <x v="2"/>
    <x v="0"/>
    <x v="3"/>
    <x v="4"/>
    <n v="0.59"/>
    <x v="6"/>
    <n v="2"/>
    <n v="22"/>
    <n v="24"/>
  </r>
  <r>
    <n v="548"/>
    <d v="2011-01-24T00:00:00"/>
    <x v="0"/>
    <x v="0"/>
    <x v="0"/>
    <x v="300"/>
    <x v="0"/>
    <x v="2"/>
    <x v="1"/>
    <x v="2"/>
    <x v="4"/>
    <n v="0.64"/>
    <x v="10"/>
    <n v="3"/>
    <n v="21"/>
    <n v="24"/>
  </r>
  <r>
    <n v="588"/>
    <d v="2011-01-27T00:00:00"/>
    <x v="0"/>
    <x v="0"/>
    <x v="0"/>
    <x v="301"/>
    <x v="0"/>
    <x v="4"/>
    <x v="0"/>
    <x v="10"/>
    <x v="9"/>
    <n v="0.55000000000000004"/>
    <x v="2"/>
    <n v="1"/>
    <n v="23"/>
    <n v="24"/>
  </r>
  <r>
    <n v="928"/>
    <d v="2011-02-11T00:00:00"/>
    <x v="0"/>
    <x v="0"/>
    <x v="1"/>
    <x v="302"/>
    <x v="0"/>
    <x v="5"/>
    <x v="0"/>
    <x v="7"/>
    <x v="15"/>
    <n v="0.68"/>
    <x v="0"/>
    <n v="1"/>
    <n v="23"/>
    <n v="24"/>
  </r>
  <r>
    <n v="947"/>
    <d v="2011-02-12T00:00:00"/>
    <x v="0"/>
    <x v="0"/>
    <x v="1"/>
    <x v="303"/>
    <x v="0"/>
    <x v="0"/>
    <x v="0"/>
    <x v="3"/>
    <x v="6"/>
    <n v="0.86"/>
    <x v="0"/>
    <n v="2"/>
    <n v="22"/>
    <n v="24"/>
  </r>
  <r>
    <n v="971"/>
    <d v="2011-02-13T00:00:00"/>
    <x v="0"/>
    <x v="0"/>
    <x v="1"/>
    <x v="304"/>
    <x v="0"/>
    <x v="1"/>
    <x v="0"/>
    <x v="4"/>
    <x v="9"/>
    <n v="0.59"/>
    <x v="1"/>
    <n v="1"/>
    <n v="23"/>
    <n v="24"/>
  </r>
  <r>
    <n v="162"/>
    <d v="2011-01-08T00:00:00"/>
    <x v="0"/>
    <x v="0"/>
    <x v="0"/>
    <x v="305"/>
    <x v="0"/>
    <x v="0"/>
    <x v="1"/>
    <x v="5"/>
    <x v="5"/>
    <n v="0.51"/>
    <x v="6"/>
    <n v="1"/>
    <n v="24"/>
    <n v="25"/>
  </r>
  <r>
    <n v="186"/>
    <d v="2011-01-09T00:00:00"/>
    <x v="0"/>
    <x v="0"/>
    <x v="0"/>
    <x v="306"/>
    <x v="0"/>
    <x v="1"/>
    <x v="0"/>
    <x v="7"/>
    <x v="10"/>
    <n v="0.42"/>
    <x v="3"/>
    <n v="1"/>
    <n v="24"/>
    <n v="25"/>
  </r>
  <r>
    <n v="523"/>
    <d v="2011-01-23T00:00:00"/>
    <x v="0"/>
    <x v="0"/>
    <x v="0"/>
    <x v="307"/>
    <x v="0"/>
    <x v="1"/>
    <x v="0"/>
    <x v="7"/>
    <x v="20"/>
    <n v="0.36"/>
    <x v="2"/>
    <n v="5"/>
    <n v="20"/>
    <n v="25"/>
  </r>
  <r>
    <n v="853"/>
    <d v="2011-02-07T00:00:00"/>
    <x v="0"/>
    <x v="0"/>
    <x v="1"/>
    <x v="308"/>
    <x v="0"/>
    <x v="2"/>
    <x v="1"/>
    <x v="22"/>
    <x v="21"/>
    <n v="0.81"/>
    <x v="0"/>
    <n v="6"/>
    <n v="19"/>
    <n v="25"/>
  </r>
  <r>
    <n v="347"/>
    <d v="2011-01-15T00:00:00"/>
    <x v="0"/>
    <x v="0"/>
    <x v="0"/>
    <x v="309"/>
    <x v="0"/>
    <x v="0"/>
    <x v="1"/>
    <x v="22"/>
    <x v="22"/>
    <n v="0.42"/>
    <x v="8"/>
    <n v="0"/>
    <n v="26"/>
    <n v="26"/>
  </r>
  <r>
    <n v="587"/>
    <d v="2011-01-26T00:00:00"/>
    <x v="0"/>
    <x v="0"/>
    <x v="0"/>
    <x v="310"/>
    <x v="0"/>
    <x v="6"/>
    <x v="2"/>
    <x v="4"/>
    <x v="15"/>
    <n v="0.93"/>
    <x v="12"/>
    <n v="0"/>
    <n v="26"/>
    <n v="26"/>
  </r>
  <r>
    <n v="617"/>
    <d v="2011-01-28T00:00:00"/>
    <x v="0"/>
    <x v="0"/>
    <x v="0"/>
    <x v="311"/>
    <x v="0"/>
    <x v="5"/>
    <x v="0"/>
    <x v="0"/>
    <x v="6"/>
    <n v="0.65"/>
    <x v="12"/>
    <n v="0"/>
    <n v="26"/>
    <n v="26"/>
  </r>
  <r>
    <n v="826"/>
    <d v="2011-02-06T00:00:00"/>
    <x v="0"/>
    <x v="0"/>
    <x v="1"/>
    <x v="312"/>
    <x v="0"/>
    <x v="1"/>
    <x v="0"/>
    <x v="13"/>
    <x v="0"/>
    <n v="0.61"/>
    <x v="8"/>
    <n v="5"/>
    <n v="21"/>
    <n v="26"/>
  </r>
  <r>
    <n v="906"/>
    <d v="2011-02-10T00:00:00"/>
    <x v="0"/>
    <x v="0"/>
    <x v="1"/>
    <x v="313"/>
    <x v="0"/>
    <x v="4"/>
    <x v="1"/>
    <x v="8"/>
    <x v="8"/>
    <n v="0.54"/>
    <x v="7"/>
    <n v="0"/>
    <n v="26"/>
    <n v="26"/>
  </r>
  <r>
    <n v="999"/>
    <d v="2011-02-14T00:00:00"/>
    <x v="0"/>
    <x v="0"/>
    <x v="1"/>
    <x v="314"/>
    <x v="0"/>
    <x v="2"/>
    <x v="0"/>
    <x v="17"/>
    <x v="23"/>
    <n v="0.46"/>
    <x v="9"/>
    <n v="1"/>
    <n v="25"/>
    <n v="26"/>
  </r>
  <r>
    <n v="238"/>
    <d v="2011-01-11T00:00:00"/>
    <x v="0"/>
    <x v="0"/>
    <x v="0"/>
    <x v="315"/>
    <x v="0"/>
    <x v="3"/>
    <x v="1"/>
    <x v="2"/>
    <x v="15"/>
    <n v="0.55000000000000004"/>
    <x v="4"/>
    <n v="0"/>
    <n v="27"/>
    <n v="27"/>
  </r>
  <r>
    <n v="324"/>
    <d v="2011-01-14T00:00:00"/>
    <x v="0"/>
    <x v="0"/>
    <x v="0"/>
    <x v="316"/>
    <x v="0"/>
    <x v="5"/>
    <x v="1"/>
    <x v="5"/>
    <x v="19"/>
    <n v="0.55000000000000004"/>
    <x v="0"/>
    <n v="1"/>
    <n v="26"/>
    <n v="27"/>
  </r>
  <r>
    <n v="394"/>
    <d v="2011-01-17T00:00:00"/>
    <x v="0"/>
    <x v="0"/>
    <x v="0"/>
    <x v="317"/>
    <x v="1"/>
    <x v="2"/>
    <x v="2"/>
    <x v="2"/>
    <x v="4"/>
    <n v="0.8"/>
    <x v="2"/>
    <n v="3"/>
    <n v="24"/>
    <n v="27"/>
  </r>
  <r>
    <n v="462"/>
    <d v="2011-01-21T00:00:00"/>
    <x v="0"/>
    <x v="0"/>
    <x v="0"/>
    <x v="318"/>
    <x v="0"/>
    <x v="5"/>
    <x v="0"/>
    <x v="10"/>
    <x v="6"/>
    <n v="0.55000000000000004"/>
    <x v="10"/>
    <n v="0"/>
    <n v="27"/>
    <n v="27"/>
  </r>
  <r>
    <n v="479"/>
    <d v="2011-01-21T00:00:00"/>
    <x v="0"/>
    <x v="0"/>
    <x v="0"/>
    <x v="319"/>
    <x v="0"/>
    <x v="5"/>
    <x v="0"/>
    <x v="15"/>
    <x v="11"/>
    <n v="0.38"/>
    <x v="13"/>
    <n v="0"/>
    <n v="27"/>
    <n v="27"/>
  </r>
  <r>
    <n v="487"/>
    <d v="2011-01-22T00:00:00"/>
    <x v="0"/>
    <x v="0"/>
    <x v="0"/>
    <x v="320"/>
    <x v="0"/>
    <x v="0"/>
    <x v="0"/>
    <x v="12"/>
    <x v="18"/>
    <n v="0.44"/>
    <x v="13"/>
    <n v="1"/>
    <n v="26"/>
    <n v="27"/>
  </r>
  <r>
    <n v="594"/>
    <d v="2011-01-27T00:00:00"/>
    <x v="0"/>
    <x v="0"/>
    <x v="0"/>
    <x v="321"/>
    <x v="0"/>
    <x v="4"/>
    <x v="0"/>
    <x v="5"/>
    <x v="6"/>
    <n v="0.74"/>
    <x v="1"/>
    <n v="0"/>
    <n v="27"/>
    <n v="27"/>
  </r>
  <r>
    <n v="827"/>
    <d v="2011-02-06T00:00:00"/>
    <x v="0"/>
    <x v="0"/>
    <x v="1"/>
    <x v="322"/>
    <x v="0"/>
    <x v="1"/>
    <x v="0"/>
    <x v="9"/>
    <x v="23"/>
    <n v="0.6"/>
    <x v="0"/>
    <n v="5"/>
    <n v="22"/>
    <n v="27"/>
  </r>
  <r>
    <n v="23"/>
    <d v="2011-01-01T00:00:00"/>
    <x v="0"/>
    <x v="0"/>
    <x v="0"/>
    <x v="323"/>
    <x v="0"/>
    <x v="0"/>
    <x v="1"/>
    <x v="1"/>
    <x v="2"/>
    <n v="0.94"/>
    <x v="5"/>
    <n v="11"/>
    <n v="17"/>
    <n v="28"/>
  </r>
  <r>
    <n v="182"/>
    <d v="2011-01-08T00:00:00"/>
    <x v="0"/>
    <x v="0"/>
    <x v="0"/>
    <x v="324"/>
    <x v="0"/>
    <x v="0"/>
    <x v="0"/>
    <x v="8"/>
    <x v="8"/>
    <n v="0.36"/>
    <x v="10"/>
    <n v="0"/>
    <n v="28"/>
    <n v="28"/>
  </r>
  <r>
    <n v="284"/>
    <d v="2011-01-13T00:00:00"/>
    <x v="0"/>
    <x v="0"/>
    <x v="0"/>
    <x v="325"/>
    <x v="0"/>
    <x v="4"/>
    <x v="0"/>
    <x v="8"/>
    <x v="4"/>
    <n v="0.54"/>
    <x v="4"/>
    <n v="0"/>
    <n v="28"/>
    <n v="28"/>
  </r>
  <r>
    <n v="325"/>
    <d v="2011-01-15T00:00:00"/>
    <x v="0"/>
    <x v="0"/>
    <x v="0"/>
    <x v="326"/>
    <x v="0"/>
    <x v="0"/>
    <x v="0"/>
    <x v="5"/>
    <x v="19"/>
    <n v="0.55000000000000004"/>
    <x v="0"/>
    <n v="3"/>
    <n v="25"/>
    <n v="28"/>
  </r>
  <r>
    <n v="370"/>
    <d v="2011-01-16T00:00:00"/>
    <x v="0"/>
    <x v="0"/>
    <x v="0"/>
    <x v="327"/>
    <x v="0"/>
    <x v="1"/>
    <x v="0"/>
    <x v="5"/>
    <x v="5"/>
    <n v="0.51"/>
    <x v="6"/>
    <n v="6"/>
    <n v="22"/>
    <n v="28"/>
  </r>
  <r>
    <n v="399"/>
    <d v="2011-01-18T00:00:00"/>
    <x v="0"/>
    <x v="0"/>
    <x v="0"/>
    <x v="328"/>
    <x v="0"/>
    <x v="3"/>
    <x v="1"/>
    <x v="10"/>
    <x v="9"/>
    <n v="0.8"/>
    <x v="6"/>
    <n v="2"/>
    <n v="26"/>
    <n v="28"/>
  </r>
  <r>
    <n v="431"/>
    <d v="2011-01-19T00:00:00"/>
    <x v="0"/>
    <x v="0"/>
    <x v="0"/>
    <x v="329"/>
    <x v="0"/>
    <x v="6"/>
    <x v="0"/>
    <x v="22"/>
    <x v="16"/>
    <n v="0.52"/>
    <x v="15"/>
    <n v="1"/>
    <n v="27"/>
    <n v="28"/>
  </r>
  <r>
    <n v="511"/>
    <d v="2011-01-23T00:00:00"/>
    <x v="0"/>
    <x v="0"/>
    <x v="0"/>
    <x v="330"/>
    <x v="0"/>
    <x v="1"/>
    <x v="0"/>
    <x v="7"/>
    <x v="10"/>
    <n v="0.54"/>
    <x v="12"/>
    <n v="3"/>
    <n v="25"/>
    <n v="28"/>
  </r>
  <r>
    <n v="524"/>
    <d v="2011-01-23T00:00:00"/>
    <x v="0"/>
    <x v="0"/>
    <x v="0"/>
    <x v="331"/>
    <x v="0"/>
    <x v="1"/>
    <x v="0"/>
    <x v="6"/>
    <x v="7"/>
    <n v="0.38"/>
    <x v="2"/>
    <n v="5"/>
    <n v="23"/>
    <n v="28"/>
  </r>
  <r>
    <n v="580"/>
    <d v="2011-01-26T00:00:00"/>
    <x v="0"/>
    <x v="0"/>
    <x v="0"/>
    <x v="332"/>
    <x v="0"/>
    <x v="6"/>
    <x v="2"/>
    <x v="10"/>
    <x v="6"/>
    <n v="0.93"/>
    <x v="7"/>
    <n v="2"/>
    <n v="26"/>
    <n v="28"/>
  </r>
  <r>
    <n v="619"/>
    <d v="2011-01-29T00:00:00"/>
    <x v="0"/>
    <x v="0"/>
    <x v="0"/>
    <x v="333"/>
    <x v="0"/>
    <x v="0"/>
    <x v="0"/>
    <x v="10"/>
    <x v="5"/>
    <n v="0.64"/>
    <x v="12"/>
    <n v="2"/>
    <n v="26"/>
    <n v="28"/>
  </r>
  <r>
    <n v="662"/>
    <d v="2011-01-30T00:00:00"/>
    <x v="0"/>
    <x v="0"/>
    <x v="0"/>
    <x v="334"/>
    <x v="0"/>
    <x v="1"/>
    <x v="1"/>
    <x v="0"/>
    <x v="19"/>
    <n v="0.7"/>
    <x v="6"/>
    <n v="3"/>
    <n v="25"/>
    <n v="28"/>
  </r>
  <r>
    <n v="764"/>
    <d v="2011-02-04T00:00:00"/>
    <x v="0"/>
    <x v="0"/>
    <x v="1"/>
    <x v="335"/>
    <x v="0"/>
    <x v="5"/>
    <x v="1"/>
    <x v="2"/>
    <x v="9"/>
    <n v="0.55000000000000004"/>
    <x v="0"/>
    <n v="2"/>
    <n v="26"/>
    <n v="28"/>
  </r>
  <r>
    <n v="254"/>
    <d v="2011-01-11T00:00:00"/>
    <x v="0"/>
    <x v="0"/>
    <x v="0"/>
    <x v="336"/>
    <x v="0"/>
    <x v="3"/>
    <x v="2"/>
    <x v="2"/>
    <x v="15"/>
    <n v="0.93"/>
    <x v="8"/>
    <n v="1"/>
    <n v="28"/>
    <n v="29"/>
  </r>
  <r>
    <n v="607"/>
    <d v="2011-01-28T00:00:00"/>
    <x v="0"/>
    <x v="0"/>
    <x v="0"/>
    <x v="337"/>
    <x v="0"/>
    <x v="5"/>
    <x v="2"/>
    <x v="5"/>
    <x v="6"/>
    <n v="0.93"/>
    <x v="8"/>
    <n v="1"/>
    <n v="28"/>
    <n v="29"/>
  </r>
  <r>
    <n v="643"/>
    <d v="2011-01-30T00:00:00"/>
    <x v="0"/>
    <x v="0"/>
    <x v="0"/>
    <x v="338"/>
    <x v="0"/>
    <x v="1"/>
    <x v="0"/>
    <x v="3"/>
    <x v="6"/>
    <n v="0.8"/>
    <x v="0"/>
    <n v="7"/>
    <n v="22"/>
    <n v="29"/>
  </r>
  <r>
    <n v="876"/>
    <d v="2011-02-08T00:00:00"/>
    <x v="0"/>
    <x v="0"/>
    <x v="1"/>
    <x v="339"/>
    <x v="0"/>
    <x v="3"/>
    <x v="0"/>
    <x v="8"/>
    <x v="20"/>
    <n v="0.33"/>
    <x v="12"/>
    <n v="0"/>
    <n v="29"/>
    <n v="29"/>
  </r>
  <r>
    <n v="43"/>
    <d v="2011-01-02T00:00:00"/>
    <x v="0"/>
    <x v="0"/>
    <x v="0"/>
    <x v="340"/>
    <x v="0"/>
    <x v="1"/>
    <x v="0"/>
    <x v="18"/>
    <x v="0"/>
    <n v="0.42"/>
    <x v="16"/>
    <n v="1"/>
    <n v="29"/>
    <n v="30"/>
  </r>
  <r>
    <n v="52"/>
    <d v="2011-01-03T00:00:00"/>
    <x v="0"/>
    <x v="0"/>
    <x v="0"/>
    <x v="341"/>
    <x v="0"/>
    <x v="2"/>
    <x v="0"/>
    <x v="3"/>
    <x v="20"/>
    <n v="0.5"/>
    <x v="3"/>
    <n v="0"/>
    <n v="30"/>
    <n v="30"/>
  </r>
  <r>
    <n v="181"/>
    <d v="2011-01-08T00:00:00"/>
    <x v="0"/>
    <x v="0"/>
    <x v="0"/>
    <x v="342"/>
    <x v="0"/>
    <x v="0"/>
    <x v="0"/>
    <x v="3"/>
    <x v="8"/>
    <n v="0.36"/>
    <x v="10"/>
    <n v="4"/>
    <n v="26"/>
    <n v="30"/>
  </r>
  <r>
    <n v="221"/>
    <d v="2011-01-10T00:00:00"/>
    <x v="0"/>
    <x v="0"/>
    <x v="0"/>
    <x v="343"/>
    <x v="0"/>
    <x v="2"/>
    <x v="1"/>
    <x v="2"/>
    <x v="3"/>
    <n v="0.47"/>
    <x v="7"/>
    <n v="2"/>
    <n v="28"/>
    <n v="30"/>
  </r>
  <r>
    <n v="300"/>
    <d v="2011-01-13T00:00:00"/>
    <x v="0"/>
    <x v="0"/>
    <x v="0"/>
    <x v="344"/>
    <x v="0"/>
    <x v="4"/>
    <x v="0"/>
    <x v="3"/>
    <x v="8"/>
    <n v="0.46"/>
    <x v="13"/>
    <n v="0"/>
    <n v="30"/>
    <n v="30"/>
  </r>
  <r>
    <n v="501"/>
    <d v="2011-01-22T00:00:00"/>
    <x v="0"/>
    <x v="0"/>
    <x v="0"/>
    <x v="345"/>
    <x v="0"/>
    <x v="0"/>
    <x v="0"/>
    <x v="15"/>
    <x v="4"/>
    <n v="0.49"/>
    <x v="0"/>
    <n v="7"/>
    <n v="23"/>
    <n v="30"/>
  </r>
  <r>
    <n v="577"/>
    <d v="2011-01-26T00:00:00"/>
    <x v="0"/>
    <x v="0"/>
    <x v="0"/>
    <x v="346"/>
    <x v="0"/>
    <x v="6"/>
    <x v="2"/>
    <x v="10"/>
    <x v="6"/>
    <n v="0.87"/>
    <x v="9"/>
    <n v="1"/>
    <n v="29"/>
    <n v="30"/>
  </r>
  <r>
    <n v="606"/>
    <d v="2011-01-28T00:00:00"/>
    <x v="0"/>
    <x v="0"/>
    <x v="0"/>
    <x v="347"/>
    <x v="0"/>
    <x v="5"/>
    <x v="2"/>
    <x v="5"/>
    <x v="6"/>
    <n v="0.93"/>
    <x v="8"/>
    <n v="0"/>
    <n v="30"/>
    <n v="30"/>
  </r>
  <r>
    <n v="829"/>
    <d v="2011-02-06T00:00:00"/>
    <x v="0"/>
    <x v="0"/>
    <x v="1"/>
    <x v="348"/>
    <x v="0"/>
    <x v="1"/>
    <x v="0"/>
    <x v="0"/>
    <x v="0"/>
    <n v="0.65"/>
    <x v="0"/>
    <n v="4"/>
    <n v="26"/>
    <n v="30"/>
  </r>
  <r>
    <n v="836"/>
    <d v="2011-02-07T00:00:00"/>
    <x v="0"/>
    <x v="0"/>
    <x v="1"/>
    <x v="349"/>
    <x v="0"/>
    <x v="2"/>
    <x v="0"/>
    <x v="5"/>
    <x v="19"/>
    <n v="0.93"/>
    <x v="0"/>
    <n v="1"/>
    <n v="29"/>
    <n v="30"/>
  </r>
  <r>
    <n v="946"/>
    <d v="2011-02-12T00:00:00"/>
    <x v="0"/>
    <x v="0"/>
    <x v="1"/>
    <x v="350"/>
    <x v="0"/>
    <x v="0"/>
    <x v="0"/>
    <x v="2"/>
    <x v="5"/>
    <n v="0.69"/>
    <x v="1"/>
    <n v="3"/>
    <n v="27"/>
    <n v="30"/>
  </r>
  <r>
    <n v="954"/>
    <d v="2011-02-12T00:00:00"/>
    <x v="0"/>
    <x v="0"/>
    <x v="1"/>
    <x v="351"/>
    <x v="0"/>
    <x v="0"/>
    <x v="0"/>
    <x v="3"/>
    <x v="4"/>
    <n v="0.86"/>
    <x v="4"/>
    <n v="2"/>
    <n v="28"/>
    <n v="30"/>
  </r>
  <r>
    <n v="992"/>
    <d v="2011-02-13T00:00:00"/>
    <x v="0"/>
    <x v="0"/>
    <x v="1"/>
    <x v="352"/>
    <x v="0"/>
    <x v="1"/>
    <x v="0"/>
    <x v="1"/>
    <x v="2"/>
    <n v="0.35"/>
    <x v="12"/>
    <n v="3"/>
    <n v="27"/>
    <n v="30"/>
  </r>
  <r>
    <n v="45"/>
    <d v="2011-01-02T00:00:00"/>
    <x v="0"/>
    <x v="0"/>
    <x v="0"/>
    <x v="353"/>
    <x v="0"/>
    <x v="1"/>
    <x v="0"/>
    <x v="9"/>
    <x v="9"/>
    <n v="0.44"/>
    <x v="13"/>
    <n v="11"/>
    <n v="20"/>
    <n v="31"/>
  </r>
  <r>
    <n v="216"/>
    <d v="2011-01-10T00:00:00"/>
    <x v="0"/>
    <x v="0"/>
    <x v="0"/>
    <x v="354"/>
    <x v="0"/>
    <x v="2"/>
    <x v="0"/>
    <x v="8"/>
    <x v="8"/>
    <n v="0.5"/>
    <x v="7"/>
    <n v="0"/>
    <n v="31"/>
    <n v="31"/>
  </r>
  <r>
    <n v="220"/>
    <d v="2011-01-10T00:00:00"/>
    <x v="0"/>
    <x v="0"/>
    <x v="0"/>
    <x v="355"/>
    <x v="0"/>
    <x v="2"/>
    <x v="1"/>
    <x v="3"/>
    <x v="8"/>
    <n v="0.5"/>
    <x v="9"/>
    <n v="0"/>
    <n v="31"/>
    <n v="31"/>
  </r>
  <r>
    <n v="455"/>
    <d v="2011-01-20T00:00:00"/>
    <x v="0"/>
    <x v="0"/>
    <x v="0"/>
    <x v="356"/>
    <x v="0"/>
    <x v="4"/>
    <x v="1"/>
    <x v="0"/>
    <x v="6"/>
    <n v="0.65"/>
    <x v="13"/>
    <n v="3"/>
    <n v="28"/>
    <n v="31"/>
  </r>
  <r>
    <n v="608"/>
    <d v="2011-01-28T00:00:00"/>
    <x v="0"/>
    <x v="0"/>
    <x v="0"/>
    <x v="357"/>
    <x v="0"/>
    <x v="5"/>
    <x v="2"/>
    <x v="5"/>
    <x v="6"/>
    <n v="0.93"/>
    <x v="8"/>
    <n v="0"/>
    <n v="31"/>
    <n v="31"/>
  </r>
  <r>
    <n v="781"/>
    <d v="2011-02-04T00:00:00"/>
    <x v="0"/>
    <x v="0"/>
    <x v="1"/>
    <x v="358"/>
    <x v="0"/>
    <x v="5"/>
    <x v="1"/>
    <x v="0"/>
    <x v="19"/>
    <n v="0.7"/>
    <x v="4"/>
    <n v="1"/>
    <n v="30"/>
    <n v="31"/>
  </r>
  <r>
    <n v="3"/>
    <d v="2011-01-01T00:00:00"/>
    <x v="0"/>
    <x v="0"/>
    <x v="0"/>
    <x v="359"/>
    <x v="0"/>
    <x v="0"/>
    <x v="0"/>
    <x v="10"/>
    <x v="16"/>
    <n v="0.8"/>
    <x v="0"/>
    <n v="5"/>
    <n v="27"/>
    <n v="32"/>
  </r>
  <r>
    <n v="252"/>
    <d v="2011-01-11T00:00:00"/>
    <x v="0"/>
    <x v="0"/>
    <x v="0"/>
    <x v="360"/>
    <x v="0"/>
    <x v="3"/>
    <x v="2"/>
    <x v="2"/>
    <x v="4"/>
    <n v="0.93"/>
    <x v="2"/>
    <n v="0"/>
    <n v="32"/>
    <n v="32"/>
  </r>
  <r>
    <n v="358"/>
    <d v="2011-01-16T00:00:00"/>
    <x v="0"/>
    <x v="0"/>
    <x v="0"/>
    <x v="361"/>
    <x v="0"/>
    <x v="1"/>
    <x v="0"/>
    <x v="10"/>
    <x v="6"/>
    <n v="0.51"/>
    <x v="10"/>
    <n v="3"/>
    <n v="29"/>
    <n v="32"/>
  </r>
  <r>
    <n v="414"/>
    <d v="2011-01-19T00:00:00"/>
    <x v="0"/>
    <x v="0"/>
    <x v="0"/>
    <x v="362"/>
    <x v="0"/>
    <x v="6"/>
    <x v="1"/>
    <x v="10"/>
    <x v="1"/>
    <n v="0.93"/>
    <x v="1"/>
    <n v="0"/>
    <n v="32"/>
    <n v="32"/>
  </r>
  <r>
    <n v="640"/>
    <d v="2011-01-29T00:00:00"/>
    <x v="0"/>
    <x v="0"/>
    <x v="0"/>
    <x v="363"/>
    <x v="0"/>
    <x v="0"/>
    <x v="0"/>
    <x v="2"/>
    <x v="5"/>
    <n v="0.8"/>
    <x v="1"/>
    <n v="4"/>
    <n v="28"/>
    <n v="32"/>
  </r>
  <r>
    <n v="735"/>
    <d v="2011-02-02T00:00:00"/>
    <x v="0"/>
    <x v="0"/>
    <x v="1"/>
    <x v="364"/>
    <x v="0"/>
    <x v="6"/>
    <x v="0"/>
    <x v="4"/>
    <x v="14"/>
    <n v="0.44"/>
    <x v="16"/>
    <n v="3"/>
    <n v="29"/>
    <n v="32"/>
  </r>
  <r>
    <n v="969"/>
    <d v="2011-02-12T00:00:00"/>
    <x v="0"/>
    <x v="0"/>
    <x v="1"/>
    <x v="365"/>
    <x v="0"/>
    <x v="0"/>
    <x v="0"/>
    <x v="10"/>
    <x v="9"/>
    <n v="0.51"/>
    <x v="4"/>
    <n v="1"/>
    <n v="31"/>
    <n v="32"/>
  </r>
  <r>
    <n v="98"/>
    <d v="2011-01-05T00:00:00"/>
    <x v="0"/>
    <x v="0"/>
    <x v="0"/>
    <x v="366"/>
    <x v="0"/>
    <x v="6"/>
    <x v="0"/>
    <x v="4"/>
    <x v="5"/>
    <n v="0.47"/>
    <x v="5"/>
    <n v="0"/>
    <n v="33"/>
    <n v="33"/>
  </r>
  <r>
    <n v="276"/>
    <d v="2011-01-12T00:00:00"/>
    <x v="0"/>
    <x v="0"/>
    <x v="0"/>
    <x v="367"/>
    <x v="0"/>
    <x v="6"/>
    <x v="0"/>
    <x v="2"/>
    <x v="8"/>
    <n v="0.55000000000000004"/>
    <x v="16"/>
    <n v="1"/>
    <n v="32"/>
    <n v="33"/>
  </r>
  <r>
    <n v="334"/>
    <d v="2011-01-15T00:00:00"/>
    <x v="0"/>
    <x v="0"/>
    <x v="0"/>
    <x v="368"/>
    <x v="0"/>
    <x v="0"/>
    <x v="0"/>
    <x v="2"/>
    <x v="15"/>
    <n v="0.64"/>
    <x v="4"/>
    <n v="2"/>
    <n v="31"/>
    <n v="33"/>
  </r>
  <r>
    <n v="381"/>
    <d v="2011-01-17T00:00:00"/>
    <x v="0"/>
    <x v="0"/>
    <x v="0"/>
    <x v="369"/>
    <x v="1"/>
    <x v="2"/>
    <x v="1"/>
    <x v="2"/>
    <x v="4"/>
    <n v="0.47"/>
    <x v="5"/>
    <n v="3"/>
    <n v="30"/>
    <n v="33"/>
  </r>
  <r>
    <n v="393"/>
    <d v="2011-01-17T00:00:00"/>
    <x v="0"/>
    <x v="0"/>
    <x v="0"/>
    <x v="370"/>
    <x v="1"/>
    <x v="2"/>
    <x v="2"/>
    <x v="2"/>
    <x v="4"/>
    <n v="0.8"/>
    <x v="2"/>
    <n v="4"/>
    <n v="29"/>
    <n v="33"/>
  </r>
  <r>
    <n v="407"/>
    <d v="2011-01-18T00:00:00"/>
    <x v="0"/>
    <x v="0"/>
    <x v="0"/>
    <x v="371"/>
    <x v="0"/>
    <x v="3"/>
    <x v="1"/>
    <x v="10"/>
    <x v="1"/>
    <n v="0.93"/>
    <x v="1"/>
    <n v="0"/>
    <n v="33"/>
    <n v="33"/>
  </r>
  <r>
    <n v="502"/>
    <d v="2011-01-22T00:00:00"/>
    <x v="0"/>
    <x v="0"/>
    <x v="0"/>
    <x v="372"/>
    <x v="0"/>
    <x v="0"/>
    <x v="0"/>
    <x v="11"/>
    <x v="10"/>
    <n v="0.56999999999999995"/>
    <x v="8"/>
    <n v="2"/>
    <n v="31"/>
    <n v="33"/>
  </r>
  <r>
    <n v="641"/>
    <d v="2011-01-29T00:00:00"/>
    <x v="0"/>
    <x v="0"/>
    <x v="0"/>
    <x v="373"/>
    <x v="0"/>
    <x v="0"/>
    <x v="0"/>
    <x v="2"/>
    <x v="5"/>
    <n v="0.8"/>
    <x v="1"/>
    <n v="3"/>
    <n v="30"/>
    <n v="33"/>
  </r>
  <r>
    <n v="642"/>
    <d v="2011-01-30T00:00:00"/>
    <x v="0"/>
    <x v="0"/>
    <x v="0"/>
    <x v="374"/>
    <x v="0"/>
    <x v="1"/>
    <x v="0"/>
    <x v="2"/>
    <x v="15"/>
    <n v="0.8"/>
    <x v="8"/>
    <n v="0"/>
    <n v="33"/>
    <n v="33"/>
  </r>
  <r>
    <n v="661"/>
    <d v="2011-01-30T00:00:00"/>
    <x v="0"/>
    <x v="0"/>
    <x v="0"/>
    <x v="375"/>
    <x v="0"/>
    <x v="1"/>
    <x v="1"/>
    <x v="9"/>
    <x v="16"/>
    <n v="0.65"/>
    <x v="8"/>
    <n v="3"/>
    <n v="30"/>
    <n v="33"/>
  </r>
  <r>
    <n v="22"/>
    <d v="2011-01-01T00:00:00"/>
    <x v="0"/>
    <x v="0"/>
    <x v="0"/>
    <x v="376"/>
    <x v="0"/>
    <x v="0"/>
    <x v="1"/>
    <x v="1"/>
    <x v="2"/>
    <n v="0.87"/>
    <x v="2"/>
    <n v="3"/>
    <n v="31"/>
    <n v="34"/>
  </r>
  <r>
    <n v="144"/>
    <d v="2011-01-07T00:00:00"/>
    <x v="0"/>
    <x v="0"/>
    <x v="0"/>
    <x v="377"/>
    <x v="0"/>
    <x v="5"/>
    <x v="1"/>
    <x v="4"/>
    <x v="1"/>
    <n v="0.69"/>
    <x v="0"/>
    <n v="8"/>
    <n v="26"/>
    <n v="34"/>
  </r>
  <r>
    <n v="184"/>
    <d v="2011-01-08T00:00:00"/>
    <x v="0"/>
    <x v="0"/>
    <x v="0"/>
    <x v="378"/>
    <x v="0"/>
    <x v="0"/>
    <x v="0"/>
    <x v="8"/>
    <x v="20"/>
    <n v="0.36"/>
    <x v="3"/>
    <n v="1"/>
    <n v="33"/>
    <n v="34"/>
  </r>
  <r>
    <n v="478"/>
    <d v="2011-01-21T00:00:00"/>
    <x v="0"/>
    <x v="0"/>
    <x v="0"/>
    <x v="379"/>
    <x v="0"/>
    <x v="5"/>
    <x v="0"/>
    <x v="15"/>
    <x v="12"/>
    <n v="0.41"/>
    <x v="3"/>
    <n v="1"/>
    <n v="33"/>
    <n v="34"/>
  </r>
  <r>
    <n v="626"/>
    <d v="2011-01-29T00:00:00"/>
    <x v="0"/>
    <x v="0"/>
    <x v="0"/>
    <x v="380"/>
    <x v="0"/>
    <x v="0"/>
    <x v="0"/>
    <x v="5"/>
    <x v="5"/>
    <n v="0.55000000000000004"/>
    <x v="6"/>
    <n v="3"/>
    <n v="31"/>
    <n v="34"/>
  </r>
  <r>
    <n v="627"/>
    <d v="2011-01-29T00:00:00"/>
    <x v="0"/>
    <x v="0"/>
    <x v="0"/>
    <x v="381"/>
    <x v="0"/>
    <x v="0"/>
    <x v="0"/>
    <x v="5"/>
    <x v="6"/>
    <n v="0.59"/>
    <x v="1"/>
    <n v="0"/>
    <n v="34"/>
    <n v="34"/>
  </r>
  <r>
    <n v="687"/>
    <d v="2011-01-31T00:00:00"/>
    <x v="0"/>
    <x v="0"/>
    <x v="0"/>
    <x v="382"/>
    <x v="0"/>
    <x v="2"/>
    <x v="1"/>
    <x v="2"/>
    <x v="15"/>
    <n v="0.59"/>
    <x v="8"/>
    <n v="0"/>
    <n v="34"/>
    <n v="34"/>
  </r>
  <r>
    <n v="792"/>
    <d v="2011-02-05T00:00:00"/>
    <x v="0"/>
    <x v="0"/>
    <x v="1"/>
    <x v="383"/>
    <x v="0"/>
    <x v="0"/>
    <x v="2"/>
    <x v="4"/>
    <x v="6"/>
    <n v="1"/>
    <x v="4"/>
    <n v="3"/>
    <n v="31"/>
    <n v="34"/>
  </r>
  <r>
    <n v="923"/>
    <d v="2011-02-10T00:00:00"/>
    <x v="0"/>
    <x v="0"/>
    <x v="1"/>
    <x v="384"/>
    <x v="0"/>
    <x v="4"/>
    <x v="0"/>
    <x v="8"/>
    <x v="4"/>
    <n v="0.42"/>
    <x v="8"/>
    <n v="1"/>
    <n v="33"/>
    <n v="34"/>
  </r>
  <r>
    <n v="19"/>
    <d v="2011-01-01T00:00:00"/>
    <x v="0"/>
    <x v="0"/>
    <x v="0"/>
    <x v="385"/>
    <x v="0"/>
    <x v="0"/>
    <x v="2"/>
    <x v="14"/>
    <x v="17"/>
    <n v="0.88"/>
    <x v="10"/>
    <n v="9"/>
    <n v="26"/>
    <n v="35"/>
  </r>
  <r>
    <n v="91"/>
    <d v="2011-01-04T00:00:00"/>
    <x v="0"/>
    <x v="0"/>
    <x v="0"/>
    <x v="386"/>
    <x v="0"/>
    <x v="3"/>
    <x v="0"/>
    <x v="10"/>
    <x v="1"/>
    <n v="0.64"/>
    <x v="1"/>
    <n v="1"/>
    <n v="34"/>
    <n v="35"/>
  </r>
  <r>
    <n v="243"/>
    <d v="2011-01-11T00:00:00"/>
    <x v="0"/>
    <x v="0"/>
    <x v="0"/>
    <x v="387"/>
    <x v="0"/>
    <x v="3"/>
    <x v="1"/>
    <x v="4"/>
    <x v="6"/>
    <n v="0.47"/>
    <x v="4"/>
    <n v="4"/>
    <n v="31"/>
    <n v="35"/>
  </r>
  <r>
    <n v="265"/>
    <d v="2011-01-12T00:00:00"/>
    <x v="0"/>
    <x v="0"/>
    <x v="0"/>
    <x v="388"/>
    <x v="0"/>
    <x v="6"/>
    <x v="0"/>
    <x v="4"/>
    <x v="15"/>
    <n v="0.51"/>
    <x v="3"/>
    <n v="3"/>
    <n v="32"/>
    <n v="35"/>
  </r>
  <r>
    <n v="400"/>
    <d v="2011-01-18T00:00:00"/>
    <x v="0"/>
    <x v="0"/>
    <x v="0"/>
    <x v="389"/>
    <x v="0"/>
    <x v="3"/>
    <x v="1"/>
    <x v="10"/>
    <x v="9"/>
    <n v="0.87"/>
    <x v="6"/>
    <n v="3"/>
    <n v="32"/>
    <n v="35"/>
  </r>
  <r>
    <n v="438"/>
    <d v="2011-01-20T00:00:00"/>
    <x v="0"/>
    <x v="0"/>
    <x v="0"/>
    <x v="390"/>
    <x v="0"/>
    <x v="4"/>
    <x v="0"/>
    <x v="10"/>
    <x v="6"/>
    <n v="0.6"/>
    <x v="5"/>
    <n v="0"/>
    <n v="35"/>
    <n v="35"/>
  </r>
  <r>
    <n v="522"/>
    <d v="2011-01-23T00:00:00"/>
    <x v="0"/>
    <x v="0"/>
    <x v="0"/>
    <x v="391"/>
    <x v="0"/>
    <x v="1"/>
    <x v="0"/>
    <x v="7"/>
    <x v="20"/>
    <n v="0.36"/>
    <x v="10"/>
    <n v="4"/>
    <n v="31"/>
    <n v="35"/>
  </r>
  <r>
    <n v="547"/>
    <d v="2011-01-24T00:00:00"/>
    <x v="0"/>
    <x v="0"/>
    <x v="0"/>
    <x v="392"/>
    <x v="0"/>
    <x v="2"/>
    <x v="1"/>
    <x v="3"/>
    <x v="3"/>
    <n v="0.63"/>
    <x v="5"/>
    <n v="3"/>
    <n v="32"/>
    <n v="35"/>
  </r>
  <r>
    <n v="910"/>
    <d v="2011-02-10T00:00:00"/>
    <x v="0"/>
    <x v="0"/>
    <x v="1"/>
    <x v="393"/>
    <x v="0"/>
    <x v="4"/>
    <x v="0"/>
    <x v="8"/>
    <x v="20"/>
    <n v="0.42"/>
    <x v="9"/>
    <n v="1"/>
    <n v="34"/>
    <n v="35"/>
  </r>
  <r>
    <n v="11"/>
    <d v="2011-01-01T00:00:00"/>
    <x v="0"/>
    <x v="0"/>
    <x v="0"/>
    <x v="394"/>
    <x v="0"/>
    <x v="0"/>
    <x v="0"/>
    <x v="20"/>
    <x v="26"/>
    <n v="0.76"/>
    <x v="10"/>
    <n v="12"/>
    <n v="24"/>
    <n v="36"/>
  </r>
  <r>
    <n v="21"/>
    <d v="2011-01-01T00:00:00"/>
    <x v="0"/>
    <x v="0"/>
    <x v="0"/>
    <x v="395"/>
    <x v="0"/>
    <x v="0"/>
    <x v="1"/>
    <x v="1"/>
    <x v="2"/>
    <n v="0.87"/>
    <x v="10"/>
    <n v="11"/>
    <n v="25"/>
    <n v="36"/>
  </r>
  <r>
    <n v="75"/>
    <d v="2011-01-04T00:00:00"/>
    <x v="0"/>
    <x v="0"/>
    <x v="0"/>
    <x v="396"/>
    <x v="0"/>
    <x v="3"/>
    <x v="0"/>
    <x v="8"/>
    <x v="4"/>
    <n v="0.74"/>
    <x v="8"/>
    <n v="0"/>
    <n v="36"/>
    <n v="36"/>
  </r>
  <r>
    <n v="121"/>
    <d v="2011-01-06T00:00:00"/>
    <x v="0"/>
    <x v="0"/>
    <x v="0"/>
    <x v="397"/>
    <x v="0"/>
    <x v="4"/>
    <x v="1"/>
    <x v="3"/>
    <x v="14"/>
    <n v="0.63"/>
    <x v="8"/>
    <n v="0"/>
    <n v="36"/>
    <n v="36"/>
  </r>
  <r>
    <n v="160"/>
    <d v="2011-01-07T00:00:00"/>
    <x v="0"/>
    <x v="0"/>
    <x v="0"/>
    <x v="398"/>
    <x v="0"/>
    <x v="5"/>
    <x v="1"/>
    <x v="5"/>
    <x v="5"/>
    <n v="0.43"/>
    <x v="6"/>
    <n v="2"/>
    <n v="34"/>
    <n v="36"/>
  </r>
  <r>
    <n v="323"/>
    <d v="2011-01-14T00:00:00"/>
    <x v="0"/>
    <x v="0"/>
    <x v="0"/>
    <x v="399"/>
    <x v="0"/>
    <x v="5"/>
    <x v="1"/>
    <x v="2"/>
    <x v="9"/>
    <n v="0.69"/>
    <x v="0"/>
    <n v="2"/>
    <n v="34"/>
    <n v="36"/>
  </r>
  <r>
    <n v="554"/>
    <d v="2011-01-25T00:00:00"/>
    <x v="0"/>
    <x v="0"/>
    <x v="0"/>
    <x v="400"/>
    <x v="0"/>
    <x v="3"/>
    <x v="0"/>
    <x v="2"/>
    <x v="15"/>
    <n v="0.74"/>
    <x v="8"/>
    <n v="1"/>
    <n v="35"/>
    <n v="36"/>
  </r>
  <r>
    <n v="584"/>
    <d v="2011-01-26T00:00:00"/>
    <x v="0"/>
    <x v="0"/>
    <x v="0"/>
    <x v="401"/>
    <x v="0"/>
    <x v="6"/>
    <x v="2"/>
    <x v="10"/>
    <x v="5"/>
    <n v="0.93"/>
    <x v="12"/>
    <n v="0"/>
    <n v="36"/>
    <n v="36"/>
  </r>
  <r>
    <n v="586"/>
    <d v="2011-01-26T00:00:00"/>
    <x v="0"/>
    <x v="0"/>
    <x v="0"/>
    <x v="402"/>
    <x v="0"/>
    <x v="6"/>
    <x v="3"/>
    <x v="10"/>
    <x v="5"/>
    <n v="0.93"/>
    <x v="13"/>
    <n v="1"/>
    <n v="35"/>
    <n v="36"/>
  </r>
  <r>
    <n v="639"/>
    <d v="2011-01-29T00:00:00"/>
    <x v="0"/>
    <x v="0"/>
    <x v="0"/>
    <x v="403"/>
    <x v="0"/>
    <x v="0"/>
    <x v="0"/>
    <x v="5"/>
    <x v="6"/>
    <n v="0.74"/>
    <x v="1"/>
    <n v="1"/>
    <n v="35"/>
    <n v="36"/>
  </r>
  <r>
    <n v="710"/>
    <d v="2011-02-01T00:00:00"/>
    <x v="0"/>
    <x v="0"/>
    <x v="1"/>
    <x v="404"/>
    <x v="0"/>
    <x v="3"/>
    <x v="1"/>
    <x v="10"/>
    <x v="1"/>
    <n v="0.87"/>
    <x v="1"/>
    <n v="2"/>
    <n v="34"/>
    <n v="36"/>
  </r>
  <r>
    <n v="991"/>
    <d v="2011-02-13T00:00:00"/>
    <x v="0"/>
    <x v="0"/>
    <x v="1"/>
    <x v="405"/>
    <x v="0"/>
    <x v="1"/>
    <x v="0"/>
    <x v="1"/>
    <x v="2"/>
    <n v="0.35"/>
    <x v="9"/>
    <n v="5"/>
    <n v="31"/>
    <n v="36"/>
  </r>
  <r>
    <n v="20"/>
    <d v="2011-01-01T00:00:00"/>
    <x v="0"/>
    <x v="0"/>
    <x v="0"/>
    <x v="406"/>
    <x v="0"/>
    <x v="0"/>
    <x v="2"/>
    <x v="14"/>
    <x v="17"/>
    <n v="0.88"/>
    <x v="10"/>
    <n v="6"/>
    <n v="31"/>
    <n v="37"/>
  </r>
  <r>
    <n v="183"/>
    <d v="2011-01-08T00:00:00"/>
    <x v="0"/>
    <x v="0"/>
    <x v="0"/>
    <x v="407"/>
    <x v="0"/>
    <x v="0"/>
    <x v="0"/>
    <x v="8"/>
    <x v="20"/>
    <n v="0.39"/>
    <x v="12"/>
    <n v="2"/>
    <n v="35"/>
    <n v="37"/>
  </r>
  <r>
    <n v="289"/>
    <d v="2011-01-13T00:00:00"/>
    <x v="0"/>
    <x v="0"/>
    <x v="0"/>
    <x v="408"/>
    <x v="0"/>
    <x v="4"/>
    <x v="1"/>
    <x v="4"/>
    <x v="14"/>
    <n v="0.44"/>
    <x v="16"/>
    <n v="4"/>
    <n v="33"/>
    <n v="37"/>
  </r>
  <r>
    <n v="671"/>
    <d v="2011-01-31T00:00:00"/>
    <x v="0"/>
    <x v="0"/>
    <x v="0"/>
    <x v="409"/>
    <x v="0"/>
    <x v="2"/>
    <x v="0"/>
    <x v="2"/>
    <x v="3"/>
    <n v="0.69"/>
    <x v="13"/>
    <n v="0"/>
    <n v="37"/>
    <n v="37"/>
  </r>
  <r>
    <n v="852"/>
    <d v="2011-02-07T00:00:00"/>
    <x v="0"/>
    <x v="0"/>
    <x v="1"/>
    <x v="410"/>
    <x v="0"/>
    <x v="2"/>
    <x v="0"/>
    <x v="13"/>
    <x v="23"/>
    <n v="0.81"/>
    <x v="1"/>
    <n v="3"/>
    <n v="34"/>
    <n v="37"/>
  </r>
  <r>
    <n v="900"/>
    <d v="2011-02-09T00:00:00"/>
    <x v="0"/>
    <x v="0"/>
    <x v="1"/>
    <x v="411"/>
    <x v="0"/>
    <x v="6"/>
    <x v="2"/>
    <x v="2"/>
    <x v="4"/>
    <n v="0.8"/>
    <x v="2"/>
    <n v="0"/>
    <n v="37"/>
    <n v="37"/>
  </r>
  <r>
    <n v="206"/>
    <d v="2011-01-09T00:00:00"/>
    <x v="0"/>
    <x v="0"/>
    <x v="0"/>
    <x v="412"/>
    <x v="0"/>
    <x v="1"/>
    <x v="0"/>
    <x v="3"/>
    <x v="8"/>
    <n v="0.46"/>
    <x v="10"/>
    <n v="0"/>
    <n v="38"/>
    <n v="38"/>
  </r>
  <r>
    <n v="231"/>
    <d v="2011-01-10T00:00:00"/>
    <x v="0"/>
    <x v="0"/>
    <x v="0"/>
    <x v="413"/>
    <x v="0"/>
    <x v="2"/>
    <x v="0"/>
    <x v="3"/>
    <x v="3"/>
    <n v="0.59"/>
    <x v="2"/>
    <n v="1"/>
    <n v="37"/>
    <n v="38"/>
  </r>
  <r>
    <n v="288"/>
    <d v="2011-01-13T00:00:00"/>
    <x v="0"/>
    <x v="0"/>
    <x v="0"/>
    <x v="414"/>
    <x v="0"/>
    <x v="4"/>
    <x v="1"/>
    <x v="2"/>
    <x v="3"/>
    <n v="0.5"/>
    <x v="12"/>
    <n v="2"/>
    <n v="36"/>
    <n v="38"/>
  </r>
  <r>
    <n v="593"/>
    <d v="2011-01-27T00:00:00"/>
    <x v="0"/>
    <x v="0"/>
    <x v="0"/>
    <x v="415"/>
    <x v="0"/>
    <x v="4"/>
    <x v="0"/>
    <x v="5"/>
    <x v="6"/>
    <n v="0.74"/>
    <x v="1"/>
    <n v="2"/>
    <n v="36"/>
    <n v="38"/>
  </r>
  <r>
    <n v="609"/>
    <d v="2011-01-28T00:00:00"/>
    <x v="0"/>
    <x v="0"/>
    <x v="0"/>
    <x v="416"/>
    <x v="0"/>
    <x v="5"/>
    <x v="2"/>
    <x v="10"/>
    <x v="16"/>
    <n v="0.8"/>
    <x v="0"/>
    <n v="2"/>
    <n v="36"/>
    <n v="38"/>
  </r>
  <r>
    <n v="650"/>
    <d v="2011-01-30T00:00:00"/>
    <x v="0"/>
    <x v="0"/>
    <x v="0"/>
    <x v="417"/>
    <x v="0"/>
    <x v="1"/>
    <x v="1"/>
    <x v="2"/>
    <x v="9"/>
    <n v="0.8"/>
    <x v="0"/>
    <n v="4"/>
    <n v="34"/>
    <n v="38"/>
  </r>
  <r>
    <n v="758"/>
    <d v="2011-02-03T00:00:00"/>
    <x v="0"/>
    <x v="0"/>
    <x v="1"/>
    <x v="418"/>
    <x v="0"/>
    <x v="4"/>
    <x v="0"/>
    <x v="4"/>
    <x v="9"/>
    <n v="0.47"/>
    <x v="8"/>
    <n v="4"/>
    <n v="34"/>
    <n v="38"/>
  </r>
  <r>
    <n v="24"/>
    <d v="2011-01-01T00:00:00"/>
    <x v="0"/>
    <x v="0"/>
    <x v="0"/>
    <x v="419"/>
    <x v="0"/>
    <x v="0"/>
    <x v="1"/>
    <x v="19"/>
    <x v="18"/>
    <n v="0.88"/>
    <x v="9"/>
    <n v="15"/>
    <n v="24"/>
    <n v="39"/>
  </r>
  <r>
    <n v="159"/>
    <d v="2011-01-07T00:00:00"/>
    <x v="0"/>
    <x v="0"/>
    <x v="0"/>
    <x v="420"/>
    <x v="0"/>
    <x v="5"/>
    <x v="0"/>
    <x v="5"/>
    <x v="5"/>
    <n v="0.47"/>
    <x v="4"/>
    <n v="0"/>
    <n v="39"/>
    <n v="39"/>
  </r>
  <r>
    <n v="264"/>
    <d v="2011-01-12T00:00:00"/>
    <x v="0"/>
    <x v="0"/>
    <x v="0"/>
    <x v="421"/>
    <x v="0"/>
    <x v="6"/>
    <x v="0"/>
    <x v="5"/>
    <x v="15"/>
    <n v="0.55000000000000004"/>
    <x v="5"/>
    <n v="0"/>
    <n v="39"/>
    <n v="39"/>
  </r>
  <r>
    <n v="349"/>
    <d v="2011-01-16T00:00:00"/>
    <x v="0"/>
    <x v="0"/>
    <x v="0"/>
    <x v="422"/>
    <x v="0"/>
    <x v="1"/>
    <x v="0"/>
    <x v="9"/>
    <x v="23"/>
    <n v="0.56000000000000005"/>
    <x v="0"/>
    <n v="6"/>
    <n v="33"/>
    <n v="39"/>
  </r>
  <r>
    <n v="500"/>
    <d v="2011-01-22T00:00:00"/>
    <x v="0"/>
    <x v="0"/>
    <x v="0"/>
    <x v="423"/>
    <x v="0"/>
    <x v="0"/>
    <x v="0"/>
    <x v="15"/>
    <x v="20"/>
    <n v="0.41"/>
    <x v="1"/>
    <n v="0"/>
    <n v="39"/>
    <n v="39"/>
  </r>
  <r>
    <n v="741"/>
    <d v="2011-02-03T00:00:00"/>
    <x v="0"/>
    <x v="0"/>
    <x v="1"/>
    <x v="424"/>
    <x v="0"/>
    <x v="4"/>
    <x v="0"/>
    <x v="2"/>
    <x v="3"/>
    <n v="0.43"/>
    <x v="12"/>
    <n v="0"/>
    <n v="39"/>
    <n v="39"/>
  </r>
  <r>
    <n v="782"/>
    <d v="2011-02-05T00:00:00"/>
    <x v="0"/>
    <x v="0"/>
    <x v="1"/>
    <x v="425"/>
    <x v="0"/>
    <x v="0"/>
    <x v="1"/>
    <x v="0"/>
    <x v="19"/>
    <n v="0.7"/>
    <x v="6"/>
    <n v="3"/>
    <n v="36"/>
    <n v="39"/>
  </r>
  <r>
    <n v="806"/>
    <d v="2011-02-06T00:00:00"/>
    <x v="0"/>
    <x v="0"/>
    <x v="1"/>
    <x v="426"/>
    <x v="0"/>
    <x v="1"/>
    <x v="0"/>
    <x v="9"/>
    <x v="1"/>
    <n v="0.7"/>
    <x v="2"/>
    <n v="2"/>
    <n v="37"/>
    <n v="39"/>
  </r>
  <r>
    <n v="860"/>
    <d v="2011-02-08T00:00:00"/>
    <x v="0"/>
    <x v="0"/>
    <x v="1"/>
    <x v="427"/>
    <x v="0"/>
    <x v="3"/>
    <x v="0"/>
    <x v="9"/>
    <x v="9"/>
    <n v="0.7"/>
    <x v="13"/>
    <n v="0"/>
    <n v="39"/>
    <n v="39"/>
  </r>
  <r>
    <n v="970"/>
    <d v="2011-02-13T00:00:00"/>
    <x v="0"/>
    <x v="0"/>
    <x v="1"/>
    <x v="428"/>
    <x v="0"/>
    <x v="1"/>
    <x v="0"/>
    <x v="4"/>
    <x v="9"/>
    <n v="0.64"/>
    <x v="8"/>
    <n v="5"/>
    <n v="34"/>
    <n v="39"/>
  </r>
  <r>
    <n v="2"/>
    <d v="2011-01-01T00:00:00"/>
    <x v="0"/>
    <x v="0"/>
    <x v="1"/>
    <x v="429"/>
    <x v="0"/>
    <x v="0"/>
    <x v="0"/>
    <x v="10"/>
    <x v="16"/>
    <n v="0.8"/>
    <x v="0"/>
    <n v="8"/>
    <n v="32"/>
    <n v="40"/>
  </r>
  <r>
    <n v="299"/>
    <d v="2011-01-13T00:00:00"/>
    <x v="0"/>
    <x v="0"/>
    <x v="0"/>
    <x v="430"/>
    <x v="0"/>
    <x v="4"/>
    <x v="0"/>
    <x v="3"/>
    <x v="8"/>
    <n v="0.46"/>
    <x v="9"/>
    <n v="0"/>
    <n v="40"/>
    <n v="40"/>
  </r>
  <r>
    <n v="488"/>
    <d v="2011-01-22T00:00:00"/>
    <x v="0"/>
    <x v="0"/>
    <x v="0"/>
    <x v="431"/>
    <x v="0"/>
    <x v="0"/>
    <x v="0"/>
    <x v="11"/>
    <x v="12"/>
    <n v="0.41"/>
    <x v="10"/>
    <n v="3"/>
    <n v="37"/>
    <n v="40"/>
  </r>
  <r>
    <n v="535"/>
    <d v="2011-01-24T00:00:00"/>
    <x v="0"/>
    <x v="0"/>
    <x v="0"/>
    <x v="432"/>
    <x v="0"/>
    <x v="2"/>
    <x v="0"/>
    <x v="7"/>
    <x v="3"/>
    <n v="0.42"/>
    <x v="0"/>
    <n v="6"/>
    <n v="34"/>
    <n v="40"/>
  </r>
  <r>
    <n v="571"/>
    <d v="2011-01-25T00:00:00"/>
    <x v="0"/>
    <x v="0"/>
    <x v="0"/>
    <x v="433"/>
    <x v="0"/>
    <x v="3"/>
    <x v="1"/>
    <x v="10"/>
    <x v="9"/>
    <n v="0.64"/>
    <x v="6"/>
    <n v="3"/>
    <n v="37"/>
    <n v="40"/>
  </r>
  <r>
    <n v="734"/>
    <d v="2011-02-02T00:00:00"/>
    <x v="0"/>
    <x v="0"/>
    <x v="1"/>
    <x v="434"/>
    <x v="0"/>
    <x v="6"/>
    <x v="0"/>
    <x v="10"/>
    <x v="6"/>
    <n v="0.44"/>
    <x v="10"/>
    <n v="5"/>
    <n v="35"/>
    <n v="40"/>
  </r>
  <r>
    <n v="966"/>
    <d v="2011-02-12T00:00:00"/>
    <x v="0"/>
    <x v="0"/>
    <x v="1"/>
    <x v="435"/>
    <x v="0"/>
    <x v="0"/>
    <x v="0"/>
    <x v="9"/>
    <x v="1"/>
    <n v="0.41"/>
    <x v="5"/>
    <n v="1"/>
    <n v="39"/>
    <n v="40"/>
  </r>
  <r>
    <n v="205"/>
    <d v="2011-01-09T00:00:00"/>
    <x v="0"/>
    <x v="0"/>
    <x v="0"/>
    <x v="436"/>
    <x v="0"/>
    <x v="1"/>
    <x v="0"/>
    <x v="2"/>
    <x v="3"/>
    <n v="0.43"/>
    <x v="13"/>
    <n v="1"/>
    <n v="40"/>
    <n v="41"/>
  </r>
  <r>
    <n v="345"/>
    <d v="2011-01-15T00:00:00"/>
    <x v="0"/>
    <x v="0"/>
    <x v="0"/>
    <x v="437"/>
    <x v="0"/>
    <x v="0"/>
    <x v="1"/>
    <x v="18"/>
    <x v="23"/>
    <n v="0.39"/>
    <x v="10"/>
    <n v="6"/>
    <n v="35"/>
    <n v="41"/>
  </r>
  <r>
    <n v="406"/>
    <d v="2011-01-18T00:00:00"/>
    <x v="0"/>
    <x v="0"/>
    <x v="0"/>
    <x v="438"/>
    <x v="0"/>
    <x v="3"/>
    <x v="1"/>
    <x v="10"/>
    <x v="19"/>
    <n v="0.93"/>
    <x v="8"/>
    <n v="0"/>
    <n v="41"/>
    <n v="41"/>
  </r>
  <r>
    <n v="477"/>
    <d v="2011-01-21T00:00:00"/>
    <x v="0"/>
    <x v="0"/>
    <x v="0"/>
    <x v="439"/>
    <x v="0"/>
    <x v="5"/>
    <x v="0"/>
    <x v="6"/>
    <x v="10"/>
    <n v="0.38"/>
    <x v="7"/>
    <n v="0"/>
    <n v="41"/>
    <n v="41"/>
  </r>
  <r>
    <n v="581"/>
    <d v="2011-01-26T00:00:00"/>
    <x v="0"/>
    <x v="0"/>
    <x v="0"/>
    <x v="440"/>
    <x v="0"/>
    <x v="6"/>
    <x v="2"/>
    <x v="10"/>
    <x v="5"/>
    <n v="0.93"/>
    <x v="13"/>
    <n v="6"/>
    <n v="35"/>
    <n v="41"/>
  </r>
  <r>
    <n v="610"/>
    <d v="2011-01-28T00:00:00"/>
    <x v="0"/>
    <x v="0"/>
    <x v="0"/>
    <x v="441"/>
    <x v="0"/>
    <x v="5"/>
    <x v="1"/>
    <x v="4"/>
    <x v="1"/>
    <n v="0.86"/>
    <x v="0"/>
    <n v="1"/>
    <n v="40"/>
    <n v="41"/>
  </r>
  <r>
    <n v="757"/>
    <d v="2011-02-03T00:00:00"/>
    <x v="0"/>
    <x v="0"/>
    <x v="1"/>
    <x v="442"/>
    <x v="0"/>
    <x v="4"/>
    <x v="0"/>
    <x v="5"/>
    <x v="6"/>
    <n v="0.51"/>
    <x v="1"/>
    <n v="2"/>
    <n v="39"/>
    <n v="41"/>
  </r>
  <r>
    <n v="888"/>
    <d v="2011-02-09T00:00:00"/>
    <x v="0"/>
    <x v="0"/>
    <x v="1"/>
    <x v="443"/>
    <x v="0"/>
    <x v="6"/>
    <x v="1"/>
    <x v="3"/>
    <x v="4"/>
    <n v="0.43"/>
    <x v="6"/>
    <n v="1"/>
    <n v="40"/>
    <n v="41"/>
  </r>
  <r>
    <n v="965"/>
    <d v="2011-02-12T00:00:00"/>
    <x v="0"/>
    <x v="0"/>
    <x v="1"/>
    <x v="444"/>
    <x v="0"/>
    <x v="0"/>
    <x v="0"/>
    <x v="13"/>
    <x v="16"/>
    <n v="0.38"/>
    <x v="6"/>
    <n v="2"/>
    <n v="39"/>
    <n v="41"/>
  </r>
  <r>
    <n v="79"/>
    <d v="2011-01-04T00:00:00"/>
    <x v="0"/>
    <x v="0"/>
    <x v="0"/>
    <x v="445"/>
    <x v="0"/>
    <x v="3"/>
    <x v="1"/>
    <x v="2"/>
    <x v="3"/>
    <n v="0.69"/>
    <x v="13"/>
    <n v="5"/>
    <n v="37"/>
    <n v="42"/>
  </r>
  <r>
    <n v="114"/>
    <d v="2011-01-05T00:00:00"/>
    <x v="0"/>
    <x v="0"/>
    <x v="0"/>
    <x v="446"/>
    <x v="0"/>
    <x v="6"/>
    <x v="0"/>
    <x v="5"/>
    <x v="5"/>
    <n v="0.55000000000000004"/>
    <x v="4"/>
    <n v="1"/>
    <n v="41"/>
    <n v="42"/>
  </r>
  <r>
    <n v="292"/>
    <d v="2011-01-13T00:00:00"/>
    <x v="0"/>
    <x v="0"/>
    <x v="0"/>
    <x v="447"/>
    <x v="0"/>
    <x v="4"/>
    <x v="0"/>
    <x v="10"/>
    <x v="5"/>
    <n v="0.41"/>
    <x v="3"/>
    <n v="3"/>
    <n v="39"/>
    <n v="42"/>
  </r>
  <r>
    <n v="113"/>
    <d v="2011-01-05T00:00:00"/>
    <x v="0"/>
    <x v="0"/>
    <x v="0"/>
    <x v="448"/>
    <x v="0"/>
    <x v="6"/>
    <x v="0"/>
    <x v="4"/>
    <x v="5"/>
    <n v="0.51"/>
    <x v="2"/>
    <n v="3"/>
    <n v="40"/>
    <n v="43"/>
  </r>
  <r>
    <n v="585"/>
    <d v="2011-01-26T00:00:00"/>
    <x v="0"/>
    <x v="0"/>
    <x v="0"/>
    <x v="449"/>
    <x v="0"/>
    <x v="6"/>
    <x v="2"/>
    <x v="10"/>
    <x v="15"/>
    <n v="0.93"/>
    <x v="15"/>
    <n v="1"/>
    <n v="42"/>
    <n v="43"/>
  </r>
  <r>
    <n v="638"/>
    <d v="2011-01-29T00:00:00"/>
    <x v="0"/>
    <x v="0"/>
    <x v="0"/>
    <x v="450"/>
    <x v="0"/>
    <x v="0"/>
    <x v="0"/>
    <x v="5"/>
    <x v="6"/>
    <n v="0.74"/>
    <x v="1"/>
    <n v="1"/>
    <n v="42"/>
    <n v="43"/>
  </r>
  <r>
    <n v="779"/>
    <d v="2011-02-04T00:00:00"/>
    <x v="0"/>
    <x v="0"/>
    <x v="1"/>
    <x v="451"/>
    <x v="0"/>
    <x v="5"/>
    <x v="1"/>
    <x v="0"/>
    <x v="19"/>
    <n v="0.7"/>
    <x v="6"/>
    <n v="2"/>
    <n v="41"/>
    <n v="43"/>
  </r>
  <r>
    <n v="883"/>
    <d v="2011-02-09T00:00:00"/>
    <x v="0"/>
    <x v="0"/>
    <x v="1"/>
    <x v="452"/>
    <x v="0"/>
    <x v="6"/>
    <x v="0"/>
    <x v="15"/>
    <x v="4"/>
    <n v="0.45"/>
    <x v="0"/>
    <n v="0"/>
    <n v="43"/>
    <n v="43"/>
  </r>
  <r>
    <n v="944"/>
    <d v="2011-02-11T00:00:00"/>
    <x v="0"/>
    <x v="0"/>
    <x v="1"/>
    <x v="453"/>
    <x v="0"/>
    <x v="5"/>
    <x v="0"/>
    <x v="4"/>
    <x v="9"/>
    <n v="0.64"/>
    <x v="1"/>
    <n v="2"/>
    <n v="41"/>
    <n v="43"/>
  </r>
  <r>
    <n v="955"/>
    <d v="2011-02-12T00:00:00"/>
    <x v="0"/>
    <x v="0"/>
    <x v="1"/>
    <x v="454"/>
    <x v="0"/>
    <x v="0"/>
    <x v="0"/>
    <x v="2"/>
    <x v="15"/>
    <n v="0.64"/>
    <x v="4"/>
    <n v="5"/>
    <n v="38"/>
    <n v="43"/>
  </r>
  <r>
    <n v="56"/>
    <d v="2011-01-03T00:00:00"/>
    <x v="0"/>
    <x v="0"/>
    <x v="0"/>
    <x v="455"/>
    <x v="0"/>
    <x v="2"/>
    <x v="0"/>
    <x v="5"/>
    <x v="14"/>
    <n v="0.43"/>
    <x v="10"/>
    <n v="11"/>
    <n v="33"/>
    <n v="44"/>
  </r>
  <r>
    <n v="268"/>
    <d v="2011-01-12T00:00:00"/>
    <x v="0"/>
    <x v="0"/>
    <x v="0"/>
    <x v="456"/>
    <x v="0"/>
    <x v="6"/>
    <x v="0"/>
    <x v="4"/>
    <x v="15"/>
    <n v="0.47"/>
    <x v="13"/>
    <n v="0"/>
    <n v="44"/>
    <n v="44"/>
  </r>
  <r>
    <n v="311"/>
    <d v="2011-01-14T00:00:00"/>
    <x v="0"/>
    <x v="0"/>
    <x v="0"/>
    <x v="457"/>
    <x v="0"/>
    <x v="5"/>
    <x v="0"/>
    <x v="5"/>
    <x v="15"/>
    <n v="0.55000000000000004"/>
    <x v="2"/>
    <n v="4"/>
    <n v="40"/>
    <n v="44"/>
  </r>
  <r>
    <n v="348"/>
    <d v="2011-01-15T00:00:00"/>
    <x v="0"/>
    <x v="0"/>
    <x v="0"/>
    <x v="458"/>
    <x v="0"/>
    <x v="0"/>
    <x v="0"/>
    <x v="22"/>
    <x v="0"/>
    <n v="0.45"/>
    <x v="7"/>
    <n v="5"/>
    <n v="39"/>
    <n v="44"/>
  </r>
  <r>
    <n v="680"/>
    <d v="2011-01-31T00:00:00"/>
    <x v="0"/>
    <x v="0"/>
    <x v="0"/>
    <x v="459"/>
    <x v="0"/>
    <x v="2"/>
    <x v="1"/>
    <x v="2"/>
    <x v="15"/>
    <n v="0.59"/>
    <x v="4"/>
    <n v="3"/>
    <n v="41"/>
    <n v="44"/>
  </r>
  <r>
    <n v="807"/>
    <d v="2011-02-06T00:00:00"/>
    <x v="0"/>
    <x v="0"/>
    <x v="1"/>
    <x v="460"/>
    <x v="0"/>
    <x v="1"/>
    <x v="0"/>
    <x v="9"/>
    <x v="9"/>
    <n v="0.65"/>
    <x v="11"/>
    <n v="4"/>
    <n v="40"/>
    <n v="44"/>
  </r>
  <r>
    <n v="932"/>
    <d v="2011-02-11T00:00:00"/>
    <x v="0"/>
    <x v="0"/>
    <x v="1"/>
    <x v="461"/>
    <x v="0"/>
    <x v="5"/>
    <x v="0"/>
    <x v="3"/>
    <x v="3"/>
    <n v="0.69"/>
    <x v="2"/>
    <n v="5"/>
    <n v="39"/>
    <n v="44"/>
  </r>
  <r>
    <n v="125"/>
    <d v="2011-01-06T00:00:00"/>
    <x v="0"/>
    <x v="0"/>
    <x v="0"/>
    <x v="462"/>
    <x v="0"/>
    <x v="4"/>
    <x v="0"/>
    <x v="4"/>
    <x v="1"/>
    <n v="0.47"/>
    <x v="0"/>
    <n v="3"/>
    <n v="42"/>
    <n v="45"/>
  </r>
  <r>
    <n v="225"/>
    <d v="2011-01-10T00:00:00"/>
    <x v="0"/>
    <x v="0"/>
    <x v="0"/>
    <x v="463"/>
    <x v="0"/>
    <x v="2"/>
    <x v="1"/>
    <x v="4"/>
    <x v="5"/>
    <n v="0.4"/>
    <x v="5"/>
    <n v="2"/>
    <n v="43"/>
    <n v="45"/>
  </r>
  <r>
    <n v="499"/>
    <d v="2011-01-22T00:00:00"/>
    <x v="0"/>
    <x v="0"/>
    <x v="0"/>
    <x v="464"/>
    <x v="0"/>
    <x v="0"/>
    <x v="0"/>
    <x v="15"/>
    <x v="10"/>
    <n v="0.45"/>
    <x v="6"/>
    <n v="1"/>
    <n v="44"/>
    <n v="45"/>
  </r>
  <r>
    <n v="539"/>
    <d v="2011-01-24T00:00:00"/>
    <x v="0"/>
    <x v="0"/>
    <x v="0"/>
    <x v="465"/>
    <x v="0"/>
    <x v="2"/>
    <x v="1"/>
    <x v="3"/>
    <x v="3"/>
    <n v="0.46"/>
    <x v="5"/>
    <n v="2"/>
    <n v="43"/>
    <n v="45"/>
  </r>
  <r>
    <n v="569"/>
    <d v="2011-01-25T00:00:00"/>
    <x v="0"/>
    <x v="0"/>
    <x v="0"/>
    <x v="466"/>
    <x v="0"/>
    <x v="3"/>
    <x v="0"/>
    <x v="0"/>
    <x v="9"/>
    <n v="0.65"/>
    <x v="2"/>
    <n v="5"/>
    <n v="40"/>
    <n v="45"/>
  </r>
  <r>
    <n v="804"/>
    <d v="2011-02-05T00:00:00"/>
    <x v="0"/>
    <x v="0"/>
    <x v="1"/>
    <x v="467"/>
    <x v="0"/>
    <x v="0"/>
    <x v="0"/>
    <x v="9"/>
    <x v="16"/>
    <n v="0.93"/>
    <x v="4"/>
    <n v="2"/>
    <n v="43"/>
    <n v="45"/>
  </r>
  <r>
    <n v="815"/>
    <d v="2011-02-06T00:00:00"/>
    <x v="0"/>
    <x v="0"/>
    <x v="1"/>
    <x v="468"/>
    <x v="0"/>
    <x v="1"/>
    <x v="0"/>
    <x v="13"/>
    <x v="0"/>
    <n v="0.56000000000000005"/>
    <x v="8"/>
    <n v="7"/>
    <n v="38"/>
    <n v="45"/>
  </r>
  <r>
    <n v="911"/>
    <d v="2011-02-10T00:00:00"/>
    <x v="0"/>
    <x v="0"/>
    <x v="1"/>
    <x v="469"/>
    <x v="0"/>
    <x v="4"/>
    <x v="0"/>
    <x v="3"/>
    <x v="8"/>
    <n v="0.39"/>
    <x v="12"/>
    <n v="1"/>
    <n v="44"/>
    <n v="45"/>
  </r>
  <r>
    <n v="968"/>
    <d v="2011-02-12T00:00:00"/>
    <x v="0"/>
    <x v="0"/>
    <x v="1"/>
    <x v="470"/>
    <x v="0"/>
    <x v="0"/>
    <x v="0"/>
    <x v="0"/>
    <x v="1"/>
    <n v="0.44"/>
    <x v="1"/>
    <n v="6"/>
    <n v="39"/>
    <n v="45"/>
  </r>
  <r>
    <n v="103"/>
    <d v="2011-01-05T00:00:00"/>
    <x v="0"/>
    <x v="0"/>
    <x v="0"/>
    <x v="471"/>
    <x v="0"/>
    <x v="6"/>
    <x v="0"/>
    <x v="9"/>
    <x v="9"/>
    <n v="0.33"/>
    <x v="13"/>
    <n v="12"/>
    <n v="34"/>
    <n v="46"/>
  </r>
  <r>
    <n v="536"/>
    <d v="2011-01-24T00:00:00"/>
    <x v="0"/>
    <x v="0"/>
    <x v="0"/>
    <x v="472"/>
    <x v="0"/>
    <x v="2"/>
    <x v="0"/>
    <x v="7"/>
    <x v="8"/>
    <n v="0.46"/>
    <x v="4"/>
    <n v="3"/>
    <n v="43"/>
    <n v="46"/>
  </r>
  <r>
    <n v="780"/>
    <d v="2011-02-04T00:00:00"/>
    <x v="0"/>
    <x v="0"/>
    <x v="1"/>
    <x v="473"/>
    <x v="0"/>
    <x v="5"/>
    <x v="1"/>
    <x v="0"/>
    <x v="19"/>
    <n v="0.65"/>
    <x v="6"/>
    <n v="1"/>
    <n v="45"/>
    <n v="46"/>
  </r>
  <r>
    <n v="899"/>
    <d v="2011-02-09T00:00:00"/>
    <x v="0"/>
    <x v="0"/>
    <x v="1"/>
    <x v="474"/>
    <x v="0"/>
    <x v="6"/>
    <x v="2"/>
    <x v="2"/>
    <x v="14"/>
    <n v="0.8"/>
    <x v="6"/>
    <n v="4"/>
    <n v="42"/>
    <n v="46"/>
  </r>
  <r>
    <n v="224"/>
    <d v="2011-01-10T00:00:00"/>
    <x v="0"/>
    <x v="0"/>
    <x v="0"/>
    <x v="475"/>
    <x v="0"/>
    <x v="2"/>
    <x v="1"/>
    <x v="4"/>
    <x v="5"/>
    <n v="0.4"/>
    <x v="5"/>
    <n v="0"/>
    <n v="47"/>
    <n v="47"/>
  </r>
  <r>
    <n v="247"/>
    <d v="2011-01-11T00:00:00"/>
    <x v="0"/>
    <x v="0"/>
    <x v="0"/>
    <x v="476"/>
    <x v="0"/>
    <x v="3"/>
    <x v="1"/>
    <x v="2"/>
    <x v="5"/>
    <n v="0.8"/>
    <x v="1"/>
    <n v="2"/>
    <n v="45"/>
    <n v="47"/>
  </r>
  <r>
    <n v="382"/>
    <d v="2011-01-17T00:00:00"/>
    <x v="0"/>
    <x v="0"/>
    <x v="0"/>
    <x v="477"/>
    <x v="1"/>
    <x v="2"/>
    <x v="1"/>
    <x v="2"/>
    <x v="4"/>
    <n v="0.47"/>
    <x v="5"/>
    <n v="8"/>
    <n v="39"/>
    <n v="47"/>
  </r>
  <r>
    <n v="418"/>
    <d v="2011-01-19T00:00:00"/>
    <x v="0"/>
    <x v="0"/>
    <x v="0"/>
    <x v="478"/>
    <x v="0"/>
    <x v="6"/>
    <x v="1"/>
    <x v="9"/>
    <x v="16"/>
    <n v="0.93"/>
    <x v="4"/>
    <n v="1"/>
    <n v="46"/>
    <n v="47"/>
  </r>
  <r>
    <n v="583"/>
    <d v="2011-01-26T00:00:00"/>
    <x v="0"/>
    <x v="0"/>
    <x v="0"/>
    <x v="479"/>
    <x v="0"/>
    <x v="6"/>
    <x v="2"/>
    <x v="10"/>
    <x v="5"/>
    <n v="0.93"/>
    <x v="13"/>
    <n v="4"/>
    <n v="43"/>
    <n v="47"/>
  </r>
  <r>
    <n v="698"/>
    <d v="2011-02-01T00:00:00"/>
    <x v="0"/>
    <x v="0"/>
    <x v="1"/>
    <x v="480"/>
    <x v="0"/>
    <x v="3"/>
    <x v="1"/>
    <x v="2"/>
    <x v="9"/>
    <n v="0.93"/>
    <x v="0"/>
    <n v="0"/>
    <n v="47"/>
    <n v="47"/>
  </r>
  <r>
    <n v="749"/>
    <d v="2011-02-03T00:00:00"/>
    <x v="0"/>
    <x v="0"/>
    <x v="1"/>
    <x v="481"/>
    <x v="0"/>
    <x v="4"/>
    <x v="0"/>
    <x v="10"/>
    <x v="5"/>
    <n v="0.37"/>
    <x v="3"/>
    <n v="4"/>
    <n v="43"/>
    <n v="47"/>
  </r>
  <r>
    <n v="793"/>
    <d v="2011-02-05T00:00:00"/>
    <x v="0"/>
    <x v="0"/>
    <x v="1"/>
    <x v="482"/>
    <x v="0"/>
    <x v="0"/>
    <x v="2"/>
    <x v="10"/>
    <x v="9"/>
    <n v="1"/>
    <x v="4"/>
    <n v="1"/>
    <n v="46"/>
    <n v="47"/>
  </r>
  <r>
    <n v="841"/>
    <d v="2011-02-07T00:00:00"/>
    <x v="0"/>
    <x v="0"/>
    <x v="1"/>
    <x v="483"/>
    <x v="0"/>
    <x v="2"/>
    <x v="0"/>
    <x v="22"/>
    <x v="22"/>
    <n v="0.65"/>
    <x v="1"/>
    <n v="11"/>
    <n v="36"/>
    <n v="47"/>
  </r>
  <r>
    <n v="943"/>
    <d v="2011-02-11T00:00:00"/>
    <x v="0"/>
    <x v="0"/>
    <x v="1"/>
    <x v="484"/>
    <x v="0"/>
    <x v="5"/>
    <x v="0"/>
    <x v="4"/>
    <x v="6"/>
    <n v="0.59"/>
    <x v="4"/>
    <n v="1"/>
    <n v="46"/>
    <n v="47"/>
  </r>
  <r>
    <n v="978"/>
    <d v="2011-02-13T00:00:00"/>
    <x v="0"/>
    <x v="0"/>
    <x v="1"/>
    <x v="485"/>
    <x v="0"/>
    <x v="1"/>
    <x v="1"/>
    <x v="0"/>
    <x v="9"/>
    <n v="0.6"/>
    <x v="5"/>
    <n v="12"/>
    <n v="35"/>
    <n v="47"/>
  </r>
  <r>
    <n v="989"/>
    <d v="2011-02-13T00:00:00"/>
    <x v="0"/>
    <x v="0"/>
    <x v="1"/>
    <x v="486"/>
    <x v="0"/>
    <x v="1"/>
    <x v="0"/>
    <x v="1"/>
    <x v="2"/>
    <n v="0.35"/>
    <x v="13"/>
    <n v="15"/>
    <n v="32"/>
    <n v="47"/>
  </r>
  <r>
    <n v="90"/>
    <d v="2011-01-04T00:00:00"/>
    <x v="0"/>
    <x v="0"/>
    <x v="0"/>
    <x v="487"/>
    <x v="0"/>
    <x v="3"/>
    <x v="0"/>
    <x v="10"/>
    <x v="16"/>
    <n v="0.64"/>
    <x v="0"/>
    <n v="0"/>
    <n v="48"/>
    <n v="48"/>
  </r>
  <r>
    <n v="136"/>
    <d v="2011-01-06T00:00:00"/>
    <x v="0"/>
    <x v="0"/>
    <x v="0"/>
    <x v="488"/>
    <x v="0"/>
    <x v="4"/>
    <x v="1"/>
    <x v="10"/>
    <x v="6"/>
    <n v="0.55000000000000004"/>
    <x v="5"/>
    <n v="0"/>
    <n v="48"/>
    <n v="48"/>
  </r>
  <r>
    <n v="204"/>
    <d v="2011-01-09T00:00:00"/>
    <x v="0"/>
    <x v="0"/>
    <x v="0"/>
    <x v="489"/>
    <x v="0"/>
    <x v="1"/>
    <x v="0"/>
    <x v="2"/>
    <x v="3"/>
    <n v="0.4"/>
    <x v="13"/>
    <n v="4"/>
    <n v="44"/>
    <n v="48"/>
  </r>
  <r>
    <n v="582"/>
    <d v="2011-01-26T00:00:00"/>
    <x v="0"/>
    <x v="0"/>
    <x v="0"/>
    <x v="490"/>
    <x v="0"/>
    <x v="6"/>
    <x v="2"/>
    <x v="10"/>
    <x v="5"/>
    <n v="0.93"/>
    <x v="13"/>
    <n v="7"/>
    <n v="41"/>
    <n v="48"/>
  </r>
  <r>
    <n v="676"/>
    <d v="2011-01-31T00:00:00"/>
    <x v="0"/>
    <x v="0"/>
    <x v="0"/>
    <x v="491"/>
    <x v="0"/>
    <x v="2"/>
    <x v="1"/>
    <x v="2"/>
    <x v="4"/>
    <n v="0.59"/>
    <x v="2"/>
    <n v="2"/>
    <n v="46"/>
    <n v="48"/>
  </r>
  <r>
    <n v="864"/>
    <d v="2011-02-08T00:00:00"/>
    <x v="0"/>
    <x v="0"/>
    <x v="1"/>
    <x v="492"/>
    <x v="0"/>
    <x v="3"/>
    <x v="0"/>
    <x v="10"/>
    <x v="15"/>
    <n v="0.47"/>
    <x v="17"/>
    <n v="4"/>
    <n v="44"/>
    <n v="48"/>
  </r>
  <r>
    <n v="914"/>
    <d v="2011-02-10T00:00:00"/>
    <x v="0"/>
    <x v="0"/>
    <x v="1"/>
    <x v="493"/>
    <x v="0"/>
    <x v="4"/>
    <x v="0"/>
    <x v="4"/>
    <x v="15"/>
    <n v="0.27"/>
    <x v="7"/>
    <n v="6"/>
    <n v="42"/>
    <n v="48"/>
  </r>
  <r>
    <n v="196"/>
    <d v="2011-01-09T00:00:00"/>
    <x v="0"/>
    <x v="0"/>
    <x v="0"/>
    <x v="494"/>
    <x v="0"/>
    <x v="1"/>
    <x v="0"/>
    <x v="3"/>
    <x v="20"/>
    <n v="0.43"/>
    <x v="3"/>
    <n v="0"/>
    <n v="49"/>
    <n v="49"/>
  </r>
  <r>
    <n v="197"/>
    <d v="2011-01-09T00:00:00"/>
    <x v="0"/>
    <x v="0"/>
    <x v="0"/>
    <x v="495"/>
    <x v="0"/>
    <x v="1"/>
    <x v="0"/>
    <x v="2"/>
    <x v="8"/>
    <n v="0.4"/>
    <x v="14"/>
    <n v="2"/>
    <n v="47"/>
    <n v="49"/>
  </r>
  <r>
    <n v="267"/>
    <d v="2011-01-12T00:00:00"/>
    <x v="0"/>
    <x v="0"/>
    <x v="0"/>
    <x v="496"/>
    <x v="0"/>
    <x v="6"/>
    <x v="0"/>
    <x v="10"/>
    <x v="5"/>
    <n v="0.44"/>
    <x v="12"/>
    <n v="0"/>
    <n v="49"/>
    <n v="49"/>
  </r>
  <r>
    <n v="269"/>
    <d v="2011-01-12T00:00:00"/>
    <x v="0"/>
    <x v="0"/>
    <x v="0"/>
    <x v="497"/>
    <x v="0"/>
    <x v="6"/>
    <x v="0"/>
    <x v="4"/>
    <x v="14"/>
    <n v="0.47"/>
    <x v="11"/>
    <n v="1"/>
    <n v="48"/>
    <n v="49"/>
  </r>
  <r>
    <n v="520"/>
    <d v="2011-01-23T00:00:00"/>
    <x v="0"/>
    <x v="0"/>
    <x v="0"/>
    <x v="498"/>
    <x v="0"/>
    <x v="1"/>
    <x v="0"/>
    <x v="8"/>
    <x v="8"/>
    <n v="0.3"/>
    <x v="10"/>
    <n v="5"/>
    <n v="44"/>
    <n v="49"/>
  </r>
  <r>
    <n v="605"/>
    <d v="2011-01-28T00:00:00"/>
    <x v="0"/>
    <x v="0"/>
    <x v="0"/>
    <x v="499"/>
    <x v="0"/>
    <x v="5"/>
    <x v="2"/>
    <x v="5"/>
    <x v="6"/>
    <n v="0.86"/>
    <x v="8"/>
    <n v="0"/>
    <n v="49"/>
    <n v="49"/>
  </r>
  <r>
    <n v="719"/>
    <d v="2011-02-02T00:00:00"/>
    <x v="0"/>
    <x v="0"/>
    <x v="1"/>
    <x v="500"/>
    <x v="0"/>
    <x v="6"/>
    <x v="2"/>
    <x v="10"/>
    <x v="6"/>
    <n v="0.93"/>
    <x v="5"/>
    <n v="1"/>
    <n v="48"/>
    <n v="49"/>
  </r>
  <r>
    <n v="152"/>
    <d v="2011-01-07T00:00:00"/>
    <x v="0"/>
    <x v="0"/>
    <x v="0"/>
    <x v="501"/>
    <x v="0"/>
    <x v="5"/>
    <x v="1"/>
    <x v="4"/>
    <x v="5"/>
    <n v="0.4"/>
    <x v="10"/>
    <n v="7"/>
    <n v="43"/>
    <n v="50"/>
  </r>
  <r>
    <n v="521"/>
    <d v="2011-01-23T00:00:00"/>
    <x v="0"/>
    <x v="0"/>
    <x v="0"/>
    <x v="502"/>
    <x v="0"/>
    <x v="1"/>
    <x v="0"/>
    <x v="8"/>
    <x v="8"/>
    <n v="0.3"/>
    <x v="7"/>
    <n v="5"/>
    <n v="45"/>
    <n v="50"/>
  </r>
  <r>
    <n v="845"/>
    <d v="2011-02-07T00:00:00"/>
    <x v="0"/>
    <x v="0"/>
    <x v="1"/>
    <x v="503"/>
    <x v="0"/>
    <x v="2"/>
    <x v="1"/>
    <x v="20"/>
    <x v="26"/>
    <n v="0.54"/>
    <x v="1"/>
    <n v="4"/>
    <n v="46"/>
    <n v="50"/>
  </r>
  <r>
    <n v="865"/>
    <d v="2011-02-08T00:00:00"/>
    <x v="0"/>
    <x v="0"/>
    <x v="1"/>
    <x v="504"/>
    <x v="0"/>
    <x v="3"/>
    <x v="0"/>
    <x v="10"/>
    <x v="15"/>
    <n v="0.47"/>
    <x v="15"/>
    <n v="1"/>
    <n v="49"/>
    <n v="50"/>
  </r>
  <r>
    <n v="867"/>
    <d v="2011-02-08T00:00:00"/>
    <x v="0"/>
    <x v="0"/>
    <x v="1"/>
    <x v="505"/>
    <x v="0"/>
    <x v="3"/>
    <x v="1"/>
    <x v="0"/>
    <x v="5"/>
    <n v="0.32"/>
    <x v="16"/>
    <n v="2"/>
    <n v="48"/>
    <n v="50"/>
  </r>
  <r>
    <n v="915"/>
    <d v="2011-02-10T00:00:00"/>
    <x v="0"/>
    <x v="0"/>
    <x v="1"/>
    <x v="506"/>
    <x v="0"/>
    <x v="4"/>
    <x v="0"/>
    <x v="4"/>
    <x v="5"/>
    <n v="0.25"/>
    <x v="10"/>
    <n v="0"/>
    <n v="50"/>
    <n v="50"/>
  </r>
  <r>
    <n v="57"/>
    <d v="2011-01-03T00:00:00"/>
    <x v="0"/>
    <x v="0"/>
    <x v="0"/>
    <x v="507"/>
    <x v="0"/>
    <x v="2"/>
    <x v="0"/>
    <x v="4"/>
    <x v="15"/>
    <n v="0.4"/>
    <x v="13"/>
    <n v="10"/>
    <n v="41"/>
    <n v="51"/>
  </r>
  <r>
    <n v="158"/>
    <d v="2011-01-07T00:00:00"/>
    <x v="0"/>
    <x v="0"/>
    <x v="0"/>
    <x v="508"/>
    <x v="0"/>
    <x v="5"/>
    <x v="0"/>
    <x v="5"/>
    <x v="6"/>
    <n v="0.47"/>
    <x v="8"/>
    <n v="1"/>
    <n v="50"/>
    <n v="51"/>
  </r>
  <r>
    <n v="251"/>
    <d v="2011-01-11T00:00:00"/>
    <x v="0"/>
    <x v="0"/>
    <x v="0"/>
    <x v="509"/>
    <x v="0"/>
    <x v="3"/>
    <x v="2"/>
    <x v="2"/>
    <x v="9"/>
    <n v="0.93"/>
    <x v="0"/>
    <n v="0"/>
    <n v="51"/>
    <n v="51"/>
  </r>
  <r>
    <n v="699"/>
    <d v="2011-02-01T00:00:00"/>
    <x v="0"/>
    <x v="0"/>
    <x v="1"/>
    <x v="510"/>
    <x v="0"/>
    <x v="3"/>
    <x v="1"/>
    <x v="5"/>
    <x v="19"/>
    <n v="0.86"/>
    <x v="0"/>
    <n v="2"/>
    <n v="49"/>
    <n v="51"/>
  </r>
  <r>
    <n v="748"/>
    <d v="2011-02-03T00:00:00"/>
    <x v="0"/>
    <x v="0"/>
    <x v="1"/>
    <x v="511"/>
    <x v="0"/>
    <x v="4"/>
    <x v="0"/>
    <x v="4"/>
    <x v="14"/>
    <n v="0.4"/>
    <x v="11"/>
    <n v="4"/>
    <n v="47"/>
    <n v="51"/>
  </r>
  <r>
    <n v="768"/>
    <d v="2011-02-04T00:00:00"/>
    <x v="0"/>
    <x v="0"/>
    <x v="1"/>
    <x v="512"/>
    <x v="0"/>
    <x v="5"/>
    <x v="1"/>
    <x v="4"/>
    <x v="6"/>
    <n v="0.51"/>
    <x v="4"/>
    <n v="5"/>
    <n v="46"/>
    <n v="51"/>
  </r>
  <r>
    <n v="869"/>
    <d v="2011-02-08T00:00:00"/>
    <x v="0"/>
    <x v="0"/>
    <x v="1"/>
    <x v="513"/>
    <x v="0"/>
    <x v="3"/>
    <x v="0"/>
    <x v="10"/>
    <x v="5"/>
    <n v="0.35"/>
    <x v="3"/>
    <n v="6"/>
    <n v="45"/>
    <n v="51"/>
  </r>
  <r>
    <n v="922"/>
    <d v="2011-02-10T00:00:00"/>
    <x v="0"/>
    <x v="0"/>
    <x v="1"/>
    <x v="514"/>
    <x v="0"/>
    <x v="4"/>
    <x v="0"/>
    <x v="8"/>
    <x v="5"/>
    <n v="0.39"/>
    <x v="0"/>
    <n v="4"/>
    <n v="47"/>
    <n v="51"/>
  </r>
  <r>
    <n v="967"/>
    <d v="2011-02-12T00:00:00"/>
    <x v="0"/>
    <x v="0"/>
    <x v="1"/>
    <x v="515"/>
    <x v="0"/>
    <x v="0"/>
    <x v="0"/>
    <x v="9"/>
    <x v="23"/>
    <n v="0.41"/>
    <x v="0"/>
    <n v="9"/>
    <n v="42"/>
    <n v="51"/>
  </r>
  <r>
    <n v="990"/>
    <d v="2011-02-13T00:00:00"/>
    <x v="0"/>
    <x v="0"/>
    <x v="1"/>
    <x v="516"/>
    <x v="0"/>
    <x v="1"/>
    <x v="0"/>
    <x v="1"/>
    <x v="2"/>
    <n v="0.35"/>
    <x v="12"/>
    <n v="6"/>
    <n v="45"/>
    <n v="51"/>
  </r>
  <r>
    <n v="66"/>
    <d v="2011-01-03T00:00:00"/>
    <x v="0"/>
    <x v="0"/>
    <x v="0"/>
    <x v="517"/>
    <x v="0"/>
    <x v="2"/>
    <x v="0"/>
    <x v="4"/>
    <x v="18"/>
    <n v="0.47"/>
    <x v="8"/>
    <n v="3"/>
    <n v="49"/>
    <n v="52"/>
  </r>
  <r>
    <n v="67"/>
    <d v="2011-01-03T00:00:00"/>
    <x v="0"/>
    <x v="0"/>
    <x v="0"/>
    <x v="518"/>
    <x v="0"/>
    <x v="2"/>
    <x v="0"/>
    <x v="5"/>
    <x v="5"/>
    <n v="0.64"/>
    <x v="4"/>
    <n v="3"/>
    <n v="49"/>
    <n v="52"/>
  </r>
  <r>
    <n v="137"/>
    <d v="2011-01-06T00:00:00"/>
    <x v="0"/>
    <x v="0"/>
    <x v="0"/>
    <x v="519"/>
    <x v="0"/>
    <x v="4"/>
    <x v="1"/>
    <x v="10"/>
    <x v="6"/>
    <n v="0.51"/>
    <x v="7"/>
    <n v="1"/>
    <n v="51"/>
    <n v="52"/>
  </r>
  <r>
    <n v="222"/>
    <d v="2011-01-10T00:00:00"/>
    <x v="0"/>
    <x v="0"/>
    <x v="0"/>
    <x v="520"/>
    <x v="0"/>
    <x v="2"/>
    <x v="1"/>
    <x v="4"/>
    <x v="15"/>
    <n v="0.4"/>
    <x v="7"/>
    <n v="5"/>
    <n v="47"/>
    <n v="52"/>
  </r>
  <r>
    <n v="245"/>
    <d v="2011-01-11T00:00:00"/>
    <x v="0"/>
    <x v="0"/>
    <x v="0"/>
    <x v="521"/>
    <x v="0"/>
    <x v="3"/>
    <x v="1"/>
    <x v="4"/>
    <x v="9"/>
    <n v="0.59"/>
    <x v="1"/>
    <n v="6"/>
    <n v="46"/>
    <n v="52"/>
  </r>
  <r>
    <n v="290"/>
    <d v="2011-01-13T00:00:00"/>
    <x v="0"/>
    <x v="0"/>
    <x v="0"/>
    <x v="522"/>
    <x v="0"/>
    <x v="4"/>
    <x v="0"/>
    <x v="4"/>
    <x v="14"/>
    <n v="0.44"/>
    <x v="11"/>
    <n v="3"/>
    <n v="49"/>
    <n v="52"/>
  </r>
  <r>
    <n v="322"/>
    <d v="2011-01-14T00:00:00"/>
    <x v="0"/>
    <x v="0"/>
    <x v="0"/>
    <x v="523"/>
    <x v="0"/>
    <x v="5"/>
    <x v="0"/>
    <x v="2"/>
    <x v="9"/>
    <n v="0.69"/>
    <x v="0"/>
    <n v="4"/>
    <n v="48"/>
    <n v="52"/>
  </r>
  <r>
    <n v="419"/>
    <d v="2011-01-19T00:00:00"/>
    <x v="0"/>
    <x v="0"/>
    <x v="0"/>
    <x v="524"/>
    <x v="0"/>
    <x v="6"/>
    <x v="1"/>
    <x v="13"/>
    <x v="23"/>
    <n v="0.87"/>
    <x v="1"/>
    <n v="5"/>
    <n v="47"/>
    <n v="52"/>
  </r>
  <r>
    <n v="695"/>
    <d v="2011-02-01T00:00:00"/>
    <x v="0"/>
    <x v="0"/>
    <x v="1"/>
    <x v="525"/>
    <x v="0"/>
    <x v="3"/>
    <x v="2"/>
    <x v="2"/>
    <x v="9"/>
    <n v="0.93"/>
    <x v="0"/>
    <n v="0"/>
    <n v="52"/>
    <n v="52"/>
  </r>
  <r>
    <n v="701"/>
    <d v="2011-02-01T00:00:00"/>
    <x v="0"/>
    <x v="0"/>
    <x v="1"/>
    <x v="526"/>
    <x v="0"/>
    <x v="3"/>
    <x v="1"/>
    <x v="4"/>
    <x v="1"/>
    <n v="0.86"/>
    <x v="0"/>
    <n v="3"/>
    <n v="49"/>
    <n v="52"/>
  </r>
  <r>
    <n v="703"/>
    <d v="2011-02-01T00:00:00"/>
    <x v="0"/>
    <x v="0"/>
    <x v="1"/>
    <x v="527"/>
    <x v="0"/>
    <x v="3"/>
    <x v="1"/>
    <x v="0"/>
    <x v="0"/>
    <n v="0.75"/>
    <x v="0"/>
    <n v="7"/>
    <n v="45"/>
    <n v="52"/>
  </r>
  <r>
    <n v="723"/>
    <d v="2011-02-02T00:00:00"/>
    <x v="0"/>
    <x v="0"/>
    <x v="1"/>
    <x v="528"/>
    <x v="0"/>
    <x v="6"/>
    <x v="1"/>
    <x v="0"/>
    <x v="9"/>
    <n v="0.93"/>
    <x v="2"/>
    <n v="5"/>
    <n v="47"/>
    <n v="52"/>
  </r>
  <r>
    <n v="745"/>
    <d v="2011-02-03T00:00:00"/>
    <x v="0"/>
    <x v="0"/>
    <x v="1"/>
    <x v="529"/>
    <x v="0"/>
    <x v="4"/>
    <x v="0"/>
    <x v="5"/>
    <x v="4"/>
    <n v="0.43"/>
    <x v="13"/>
    <n v="2"/>
    <n v="50"/>
    <n v="52"/>
  </r>
  <r>
    <n v="794"/>
    <d v="2011-02-05T00:00:00"/>
    <x v="0"/>
    <x v="0"/>
    <x v="1"/>
    <x v="530"/>
    <x v="0"/>
    <x v="0"/>
    <x v="2"/>
    <x v="10"/>
    <x v="9"/>
    <n v="1"/>
    <x v="6"/>
    <n v="10"/>
    <n v="42"/>
    <n v="52"/>
  </r>
  <r>
    <n v="34"/>
    <d v="2011-01-02T00:00:00"/>
    <x v="0"/>
    <x v="0"/>
    <x v="0"/>
    <x v="531"/>
    <x v="0"/>
    <x v="1"/>
    <x v="1"/>
    <x v="16"/>
    <x v="27"/>
    <n v="0.81"/>
    <x v="5"/>
    <n v="7"/>
    <n v="46"/>
    <n v="53"/>
  </r>
  <r>
    <n v="42"/>
    <d v="2011-01-02T00:00:00"/>
    <x v="0"/>
    <x v="0"/>
    <x v="0"/>
    <x v="532"/>
    <x v="0"/>
    <x v="1"/>
    <x v="1"/>
    <x v="16"/>
    <x v="21"/>
    <n v="0.46"/>
    <x v="13"/>
    <n v="10"/>
    <n v="43"/>
    <n v="53"/>
  </r>
  <r>
    <n v="312"/>
    <d v="2011-01-14T00:00:00"/>
    <x v="0"/>
    <x v="0"/>
    <x v="0"/>
    <x v="533"/>
    <x v="0"/>
    <x v="5"/>
    <x v="0"/>
    <x v="5"/>
    <x v="14"/>
    <n v="0.51"/>
    <x v="7"/>
    <n v="6"/>
    <n v="47"/>
    <n v="53"/>
  </r>
  <r>
    <n v="476"/>
    <d v="2011-01-21T00:00:00"/>
    <x v="0"/>
    <x v="0"/>
    <x v="0"/>
    <x v="534"/>
    <x v="0"/>
    <x v="5"/>
    <x v="0"/>
    <x v="7"/>
    <x v="10"/>
    <n v="0.33"/>
    <x v="11"/>
    <n v="1"/>
    <n v="52"/>
    <n v="53"/>
  </r>
  <r>
    <n v="489"/>
    <d v="2011-01-22T00:00:00"/>
    <x v="0"/>
    <x v="0"/>
    <x v="0"/>
    <x v="535"/>
    <x v="0"/>
    <x v="0"/>
    <x v="1"/>
    <x v="11"/>
    <x v="13"/>
    <n v="0.41"/>
    <x v="6"/>
    <n v="3"/>
    <n v="50"/>
    <n v="53"/>
  </r>
  <r>
    <n v="570"/>
    <d v="2011-01-25T00:00:00"/>
    <x v="0"/>
    <x v="0"/>
    <x v="0"/>
    <x v="536"/>
    <x v="0"/>
    <x v="3"/>
    <x v="0"/>
    <x v="10"/>
    <x v="9"/>
    <n v="0.64"/>
    <x v="6"/>
    <n v="4"/>
    <n v="49"/>
    <n v="53"/>
  </r>
  <r>
    <n v="945"/>
    <d v="2011-02-11T00:00:00"/>
    <x v="0"/>
    <x v="0"/>
    <x v="1"/>
    <x v="537"/>
    <x v="0"/>
    <x v="5"/>
    <x v="0"/>
    <x v="5"/>
    <x v="19"/>
    <n v="0.69"/>
    <x v="0"/>
    <n v="5"/>
    <n v="48"/>
    <n v="53"/>
  </r>
  <r>
    <n v="89"/>
    <d v="2011-01-04T00:00:00"/>
    <x v="0"/>
    <x v="0"/>
    <x v="0"/>
    <x v="538"/>
    <x v="0"/>
    <x v="3"/>
    <x v="0"/>
    <x v="0"/>
    <x v="1"/>
    <n v="0.48"/>
    <x v="8"/>
    <n v="1"/>
    <n v="53"/>
    <n v="54"/>
  </r>
  <r>
    <n v="223"/>
    <d v="2011-01-10T00:00:00"/>
    <x v="0"/>
    <x v="0"/>
    <x v="0"/>
    <x v="539"/>
    <x v="0"/>
    <x v="2"/>
    <x v="1"/>
    <x v="4"/>
    <x v="15"/>
    <n v="0.4"/>
    <x v="7"/>
    <n v="4"/>
    <n v="50"/>
    <n v="54"/>
  </r>
  <r>
    <n v="242"/>
    <d v="2011-01-11T00:00:00"/>
    <x v="0"/>
    <x v="0"/>
    <x v="0"/>
    <x v="540"/>
    <x v="0"/>
    <x v="3"/>
    <x v="1"/>
    <x v="4"/>
    <x v="6"/>
    <n v="0.51"/>
    <x v="6"/>
    <n v="3"/>
    <n v="51"/>
    <n v="54"/>
  </r>
  <r>
    <n v="261"/>
    <d v="2011-01-12T00:00:00"/>
    <x v="0"/>
    <x v="0"/>
    <x v="0"/>
    <x v="541"/>
    <x v="0"/>
    <x v="6"/>
    <x v="0"/>
    <x v="3"/>
    <x v="4"/>
    <n v="0.69"/>
    <x v="4"/>
    <n v="0"/>
    <n v="54"/>
    <n v="54"/>
  </r>
  <r>
    <n v="497"/>
    <d v="2011-01-22T00:00:00"/>
    <x v="0"/>
    <x v="0"/>
    <x v="0"/>
    <x v="542"/>
    <x v="0"/>
    <x v="0"/>
    <x v="0"/>
    <x v="6"/>
    <x v="7"/>
    <n v="0.35"/>
    <x v="2"/>
    <n v="0"/>
    <n v="54"/>
    <n v="54"/>
  </r>
  <r>
    <n v="678"/>
    <d v="2011-01-31T00:00:00"/>
    <x v="0"/>
    <x v="0"/>
    <x v="0"/>
    <x v="543"/>
    <x v="0"/>
    <x v="2"/>
    <x v="1"/>
    <x v="2"/>
    <x v="9"/>
    <n v="0.59"/>
    <x v="0"/>
    <n v="2"/>
    <n v="52"/>
    <n v="54"/>
  </r>
  <r>
    <n v="702"/>
    <d v="2011-02-01T00:00:00"/>
    <x v="0"/>
    <x v="0"/>
    <x v="1"/>
    <x v="544"/>
    <x v="0"/>
    <x v="3"/>
    <x v="1"/>
    <x v="10"/>
    <x v="1"/>
    <n v="0.8"/>
    <x v="1"/>
    <n v="5"/>
    <n v="49"/>
    <n v="54"/>
  </r>
  <r>
    <n v="756"/>
    <d v="2011-02-03T00:00:00"/>
    <x v="0"/>
    <x v="0"/>
    <x v="1"/>
    <x v="545"/>
    <x v="0"/>
    <x v="4"/>
    <x v="0"/>
    <x v="5"/>
    <x v="6"/>
    <n v="0.55000000000000004"/>
    <x v="8"/>
    <n v="1"/>
    <n v="53"/>
    <n v="54"/>
  </r>
  <r>
    <n v="875"/>
    <d v="2011-02-08T00:00:00"/>
    <x v="0"/>
    <x v="0"/>
    <x v="1"/>
    <x v="546"/>
    <x v="0"/>
    <x v="3"/>
    <x v="0"/>
    <x v="3"/>
    <x v="20"/>
    <n v="0.33"/>
    <x v="15"/>
    <n v="8"/>
    <n v="46"/>
    <n v="54"/>
  </r>
  <r>
    <n v="180"/>
    <d v="2011-01-08T00:00:00"/>
    <x v="0"/>
    <x v="0"/>
    <x v="0"/>
    <x v="547"/>
    <x v="0"/>
    <x v="0"/>
    <x v="0"/>
    <x v="3"/>
    <x v="8"/>
    <n v="0.39"/>
    <x v="9"/>
    <n v="3"/>
    <n v="52"/>
    <n v="55"/>
  </r>
  <r>
    <n v="266"/>
    <d v="2011-01-12T00:00:00"/>
    <x v="0"/>
    <x v="0"/>
    <x v="0"/>
    <x v="548"/>
    <x v="0"/>
    <x v="6"/>
    <x v="0"/>
    <x v="4"/>
    <x v="4"/>
    <n v="0.47"/>
    <x v="18"/>
    <n v="3"/>
    <n v="52"/>
    <n v="55"/>
  </r>
  <r>
    <n v="519"/>
    <d v="2011-01-23T00:00:00"/>
    <x v="0"/>
    <x v="0"/>
    <x v="0"/>
    <x v="549"/>
    <x v="0"/>
    <x v="1"/>
    <x v="0"/>
    <x v="3"/>
    <x v="20"/>
    <n v="0.26"/>
    <x v="3"/>
    <n v="5"/>
    <n v="50"/>
    <n v="55"/>
  </r>
  <r>
    <n v="558"/>
    <d v="2011-01-25T00:00:00"/>
    <x v="0"/>
    <x v="0"/>
    <x v="0"/>
    <x v="550"/>
    <x v="0"/>
    <x v="3"/>
    <x v="1"/>
    <x v="10"/>
    <x v="19"/>
    <n v="0.6"/>
    <x v="8"/>
    <n v="6"/>
    <n v="49"/>
    <n v="55"/>
  </r>
  <r>
    <n v="628"/>
    <d v="2011-01-29T00:00:00"/>
    <x v="0"/>
    <x v="0"/>
    <x v="0"/>
    <x v="551"/>
    <x v="0"/>
    <x v="0"/>
    <x v="1"/>
    <x v="5"/>
    <x v="6"/>
    <n v="0.64"/>
    <x v="8"/>
    <n v="4"/>
    <n v="51"/>
    <n v="55"/>
  </r>
  <r>
    <n v="660"/>
    <d v="2011-01-30T00:00:00"/>
    <x v="0"/>
    <x v="0"/>
    <x v="0"/>
    <x v="552"/>
    <x v="0"/>
    <x v="1"/>
    <x v="0"/>
    <x v="9"/>
    <x v="1"/>
    <n v="0.65"/>
    <x v="2"/>
    <n v="9"/>
    <n v="46"/>
    <n v="55"/>
  </r>
  <r>
    <n v="700"/>
    <d v="2011-02-01T00:00:00"/>
    <x v="0"/>
    <x v="0"/>
    <x v="1"/>
    <x v="553"/>
    <x v="0"/>
    <x v="3"/>
    <x v="1"/>
    <x v="4"/>
    <x v="1"/>
    <n v="0.86"/>
    <x v="0"/>
    <n v="2"/>
    <n v="53"/>
    <n v="55"/>
  </r>
  <r>
    <n v="796"/>
    <d v="2011-02-05T00:00:00"/>
    <x v="0"/>
    <x v="0"/>
    <x v="1"/>
    <x v="554"/>
    <x v="0"/>
    <x v="0"/>
    <x v="2"/>
    <x v="10"/>
    <x v="16"/>
    <n v="1"/>
    <x v="0"/>
    <n v="5"/>
    <n v="50"/>
    <n v="55"/>
  </r>
  <r>
    <n v="840"/>
    <d v="2011-02-07T00:00:00"/>
    <x v="0"/>
    <x v="0"/>
    <x v="1"/>
    <x v="555"/>
    <x v="0"/>
    <x v="2"/>
    <x v="0"/>
    <x v="0"/>
    <x v="1"/>
    <n v="0.75"/>
    <x v="8"/>
    <n v="6"/>
    <n v="49"/>
    <n v="55"/>
  </r>
  <r>
    <n v="12"/>
    <d v="2011-01-01T00:00:00"/>
    <x v="0"/>
    <x v="0"/>
    <x v="0"/>
    <x v="556"/>
    <x v="0"/>
    <x v="0"/>
    <x v="0"/>
    <x v="16"/>
    <x v="21"/>
    <n v="0.81"/>
    <x v="7"/>
    <n v="26"/>
    <n v="30"/>
    <n v="56"/>
  </r>
  <r>
    <n v="274"/>
    <d v="2011-01-12T00:00:00"/>
    <x v="0"/>
    <x v="0"/>
    <x v="0"/>
    <x v="557"/>
    <x v="0"/>
    <x v="6"/>
    <x v="0"/>
    <x v="2"/>
    <x v="3"/>
    <n v="0.5"/>
    <x v="13"/>
    <n v="2"/>
    <n v="54"/>
    <n v="56"/>
  </r>
  <r>
    <n v="454"/>
    <d v="2011-01-20T00:00:00"/>
    <x v="0"/>
    <x v="0"/>
    <x v="0"/>
    <x v="558"/>
    <x v="0"/>
    <x v="4"/>
    <x v="1"/>
    <x v="0"/>
    <x v="6"/>
    <n v="0.65"/>
    <x v="7"/>
    <n v="0"/>
    <n v="56"/>
    <n v="56"/>
  </r>
  <r>
    <n v="686"/>
    <d v="2011-01-31T00:00:00"/>
    <x v="0"/>
    <x v="0"/>
    <x v="0"/>
    <x v="559"/>
    <x v="0"/>
    <x v="2"/>
    <x v="2"/>
    <x v="2"/>
    <x v="5"/>
    <n v="0.59"/>
    <x v="1"/>
    <n v="3"/>
    <n v="53"/>
    <n v="56"/>
  </r>
  <r>
    <n v="803"/>
    <d v="2011-02-05T00:00:00"/>
    <x v="0"/>
    <x v="0"/>
    <x v="1"/>
    <x v="560"/>
    <x v="0"/>
    <x v="0"/>
    <x v="0"/>
    <x v="9"/>
    <x v="1"/>
    <n v="1"/>
    <x v="2"/>
    <n v="3"/>
    <n v="53"/>
    <n v="56"/>
  </r>
  <r>
    <n v="874"/>
    <d v="2011-02-08T00:00:00"/>
    <x v="0"/>
    <x v="0"/>
    <x v="1"/>
    <x v="561"/>
    <x v="0"/>
    <x v="3"/>
    <x v="0"/>
    <x v="2"/>
    <x v="3"/>
    <n v="0.4"/>
    <x v="13"/>
    <n v="3"/>
    <n v="53"/>
    <n v="56"/>
  </r>
  <r>
    <n v="80"/>
    <d v="2011-01-04T00:00:00"/>
    <x v="0"/>
    <x v="0"/>
    <x v="0"/>
    <x v="562"/>
    <x v="0"/>
    <x v="3"/>
    <x v="0"/>
    <x v="10"/>
    <x v="6"/>
    <n v="0.51"/>
    <x v="9"/>
    <n v="7"/>
    <n v="50"/>
    <n v="57"/>
  </r>
  <r>
    <n v="102"/>
    <d v="2011-01-05T00:00:00"/>
    <x v="0"/>
    <x v="0"/>
    <x v="0"/>
    <x v="563"/>
    <x v="0"/>
    <x v="6"/>
    <x v="0"/>
    <x v="10"/>
    <x v="5"/>
    <n v="0.37"/>
    <x v="13"/>
    <n v="4"/>
    <n v="53"/>
    <n v="57"/>
  </r>
  <r>
    <n v="244"/>
    <d v="2011-01-11T00:00:00"/>
    <x v="0"/>
    <x v="0"/>
    <x v="0"/>
    <x v="564"/>
    <x v="0"/>
    <x v="3"/>
    <x v="1"/>
    <x v="4"/>
    <x v="9"/>
    <n v="0.51"/>
    <x v="8"/>
    <n v="2"/>
    <n v="55"/>
    <n v="57"/>
  </r>
  <r>
    <n v="275"/>
    <d v="2011-01-12T00:00:00"/>
    <x v="0"/>
    <x v="0"/>
    <x v="0"/>
    <x v="565"/>
    <x v="0"/>
    <x v="6"/>
    <x v="0"/>
    <x v="2"/>
    <x v="3"/>
    <n v="0.55000000000000004"/>
    <x v="13"/>
    <n v="0"/>
    <n v="57"/>
    <n v="57"/>
  </r>
  <r>
    <n v="346"/>
    <d v="2011-01-15T00:00:00"/>
    <x v="0"/>
    <x v="0"/>
    <x v="0"/>
    <x v="566"/>
    <x v="0"/>
    <x v="0"/>
    <x v="1"/>
    <x v="18"/>
    <x v="23"/>
    <n v="0.39"/>
    <x v="5"/>
    <n v="6"/>
    <n v="51"/>
    <n v="57"/>
  </r>
  <r>
    <n v="369"/>
    <d v="2011-01-16T00:00:00"/>
    <x v="0"/>
    <x v="0"/>
    <x v="0"/>
    <x v="567"/>
    <x v="0"/>
    <x v="1"/>
    <x v="0"/>
    <x v="5"/>
    <x v="5"/>
    <n v="0.47"/>
    <x v="6"/>
    <n v="7"/>
    <n v="50"/>
    <n v="57"/>
  </r>
  <r>
    <n v="383"/>
    <d v="2011-01-17T00:00:00"/>
    <x v="0"/>
    <x v="0"/>
    <x v="0"/>
    <x v="568"/>
    <x v="1"/>
    <x v="2"/>
    <x v="1"/>
    <x v="2"/>
    <x v="4"/>
    <n v="0.5"/>
    <x v="10"/>
    <n v="7"/>
    <n v="50"/>
    <n v="57"/>
  </r>
  <r>
    <n v="442"/>
    <d v="2011-01-20T00:00:00"/>
    <x v="0"/>
    <x v="0"/>
    <x v="0"/>
    <x v="569"/>
    <x v="0"/>
    <x v="4"/>
    <x v="0"/>
    <x v="9"/>
    <x v="9"/>
    <n v="0.48"/>
    <x v="9"/>
    <n v="1"/>
    <n v="56"/>
    <n v="57"/>
  </r>
  <r>
    <n v="453"/>
    <d v="2011-01-20T00:00:00"/>
    <x v="0"/>
    <x v="0"/>
    <x v="0"/>
    <x v="570"/>
    <x v="0"/>
    <x v="4"/>
    <x v="1"/>
    <x v="0"/>
    <x v="9"/>
    <n v="0.6"/>
    <x v="10"/>
    <n v="3"/>
    <n v="54"/>
    <n v="57"/>
  </r>
  <r>
    <n v="540"/>
    <d v="2011-01-24T00:00:00"/>
    <x v="0"/>
    <x v="0"/>
    <x v="0"/>
    <x v="571"/>
    <x v="0"/>
    <x v="2"/>
    <x v="0"/>
    <x v="2"/>
    <x v="14"/>
    <n v="0.4"/>
    <x v="6"/>
    <n v="7"/>
    <n v="50"/>
    <n v="57"/>
  </r>
  <r>
    <n v="512"/>
    <d v="2011-01-23T00:00:00"/>
    <x v="0"/>
    <x v="0"/>
    <x v="0"/>
    <x v="572"/>
    <x v="0"/>
    <x v="1"/>
    <x v="0"/>
    <x v="3"/>
    <x v="20"/>
    <n v="0.46"/>
    <x v="3"/>
    <n v="7"/>
    <n v="51"/>
    <n v="58"/>
  </r>
  <r>
    <n v="579"/>
    <d v="2011-01-26T00:00:00"/>
    <x v="0"/>
    <x v="0"/>
    <x v="0"/>
    <x v="573"/>
    <x v="0"/>
    <x v="6"/>
    <x v="2"/>
    <x v="10"/>
    <x v="6"/>
    <n v="0.87"/>
    <x v="9"/>
    <n v="3"/>
    <n v="55"/>
    <n v="58"/>
  </r>
  <r>
    <n v="616"/>
    <d v="2011-01-28T00:00:00"/>
    <x v="0"/>
    <x v="0"/>
    <x v="0"/>
    <x v="574"/>
    <x v="0"/>
    <x v="5"/>
    <x v="1"/>
    <x v="10"/>
    <x v="9"/>
    <n v="0.75"/>
    <x v="4"/>
    <n v="1"/>
    <n v="57"/>
    <n v="58"/>
  </r>
  <r>
    <n v="637"/>
    <d v="2011-01-29T00:00:00"/>
    <x v="0"/>
    <x v="0"/>
    <x v="0"/>
    <x v="575"/>
    <x v="0"/>
    <x v="0"/>
    <x v="1"/>
    <x v="10"/>
    <x v="6"/>
    <n v="0.69"/>
    <x v="10"/>
    <n v="6"/>
    <n v="52"/>
    <n v="58"/>
  </r>
  <r>
    <n v="891"/>
    <d v="2011-02-09T00:00:00"/>
    <x v="0"/>
    <x v="0"/>
    <x v="1"/>
    <x v="576"/>
    <x v="0"/>
    <x v="6"/>
    <x v="0"/>
    <x v="4"/>
    <x v="15"/>
    <n v="0.34"/>
    <x v="9"/>
    <n v="2"/>
    <n v="56"/>
    <n v="58"/>
  </r>
  <r>
    <n v="38"/>
    <d v="2011-01-02T00:00:00"/>
    <x v="0"/>
    <x v="0"/>
    <x v="0"/>
    <x v="577"/>
    <x v="0"/>
    <x v="1"/>
    <x v="2"/>
    <x v="16"/>
    <x v="18"/>
    <n v="0.76"/>
    <x v="2"/>
    <n v="4"/>
    <n v="55"/>
    <n v="59"/>
  </r>
  <r>
    <n v="126"/>
    <d v="2011-01-06T00:00:00"/>
    <x v="0"/>
    <x v="0"/>
    <x v="0"/>
    <x v="578"/>
    <x v="0"/>
    <x v="4"/>
    <x v="0"/>
    <x v="10"/>
    <x v="1"/>
    <n v="0.44"/>
    <x v="1"/>
    <n v="2"/>
    <n v="57"/>
    <n v="59"/>
  </r>
  <r>
    <n v="150"/>
    <d v="2011-01-07T00:00:00"/>
    <x v="0"/>
    <x v="0"/>
    <x v="0"/>
    <x v="579"/>
    <x v="0"/>
    <x v="5"/>
    <x v="1"/>
    <x v="4"/>
    <x v="5"/>
    <n v="0.37"/>
    <x v="10"/>
    <n v="9"/>
    <n v="50"/>
    <n v="59"/>
  </r>
  <r>
    <n v="335"/>
    <d v="2011-01-15T00:00:00"/>
    <x v="0"/>
    <x v="0"/>
    <x v="0"/>
    <x v="580"/>
    <x v="0"/>
    <x v="0"/>
    <x v="0"/>
    <x v="5"/>
    <x v="5"/>
    <n v="0.59"/>
    <x v="6"/>
    <n v="2"/>
    <n v="57"/>
    <n v="59"/>
  </r>
  <r>
    <n v="429"/>
    <d v="2011-01-19T00:00:00"/>
    <x v="0"/>
    <x v="0"/>
    <x v="0"/>
    <x v="581"/>
    <x v="0"/>
    <x v="6"/>
    <x v="0"/>
    <x v="18"/>
    <x v="0"/>
    <n v="0.49"/>
    <x v="11"/>
    <n v="4"/>
    <n v="55"/>
    <n v="59"/>
  </r>
  <r>
    <n v="430"/>
    <d v="2011-01-19T00:00:00"/>
    <x v="0"/>
    <x v="0"/>
    <x v="0"/>
    <x v="582"/>
    <x v="0"/>
    <x v="6"/>
    <x v="0"/>
    <x v="22"/>
    <x v="23"/>
    <n v="0.52"/>
    <x v="6"/>
    <n v="6"/>
    <n v="53"/>
    <n v="59"/>
  </r>
  <r>
    <n v="467"/>
    <d v="2011-01-21T00:00:00"/>
    <x v="0"/>
    <x v="0"/>
    <x v="0"/>
    <x v="583"/>
    <x v="0"/>
    <x v="5"/>
    <x v="0"/>
    <x v="10"/>
    <x v="15"/>
    <n v="0.41"/>
    <x v="15"/>
    <n v="6"/>
    <n v="53"/>
    <n v="59"/>
  </r>
  <r>
    <n v="498"/>
    <d v="2011-01-22T00:00:00"/>
    <x v="0"/>
    <x v="0"/>
    <x v="0"/>
    <x v="584"/>
    <x v="0"/>
    <x v="0"/>
    <x v="0"/>
    <x v="6"/>
    <x v="20"/>
    <n v="0.35"/>
    <x v="4"/>
    <n v="6"/>
    <n v="53"/>
    <n v="59"/>
  </r>
  <r>
    <n v="546"/>
    <d v="2011-01-24T00:00:00"/>
    <x v="0"/>
    <x v="0"/>
    <x v="0"/>
    <x v="585"/>
    <x v="0"/>
    <x v="2"/>
    <x v="0"/>
    <x v="3"/>
    <x v="4"/>
    <n v="0.63"/>
    <x v="6"/>
    <n v="6"/>
    <n v="53"/>
    <n v="59"/>
  </r>
  <r>
    <n v="592"/>
    <d v="2011-01-27T00:00:00"/>
    <x v="0"/>
    <x v="0"/>
    <x v="0"/>
    <x v="586"/>
    <x v="0"/>
    <x v="4"/>
    <x v="0"/>
    <x v="5"/>
    <x v="6"/>
    <n v="0.74"/>
    <x v="1"/>
    <n v="4"/>
    <n v="55"/>
    <n v="59"/>
  </r>
  <r>
    <n v="652"/>
    <d v="2011-01-30T00:00:00"/>
    <x v="0"/>
    <x v="0"/>
    <x v="0"/>
    <x v="587"/>
    <x v="0"/>
    <x v="1"/>
    <x v="0"/>
    <x v="10"/>
    <x v="16"/>
    <n v="0.75"/>
    <x v="0"/>
    <n v="9"/>
    <n v="50"/>
    <n v="59"/>
  </r>
  <r>
    <n v="805"/>
    <d v="2011-02-05T00:00:00"/>
    <x v="0"/>
    <x v="0"/>
    <x v="1"/>
    <x v="588"/>
    <x v="0"/>
    <x v="0"/>
    <x v="0"/>
    <x v="9"/>
    <x v="1"/>
    <n v="0.93"/>
    <x v="5"/>
    <n v="7"/>
    <n v="52"/>
    <n v="59"/>
  </r>
  <r>
    <n v="887"/>
    <d v="2011-02-09T00:00:00"/>
    <x v="0"/>
    <x v="0"/>
    <x v="1"/>
    <x v="589"/>
    <x v="0"/>
    <x v="6"/>
    <x v="0"/>
    <x v="3"/>
    <x v="15"/>
    <n v="0.36"/>
    <x v="0"/>
    <n v="8"/>
    <n v="51"/>
    <n v="59"/>
  </r>
  <r>
    <n v="293"/>
    <d v="2011-01-13T00:00:00"/>
    <x v="0"/>
    <x v="0"/>
    <x v="0"/>
    <x v="590"/>
    <x v="0"/>
    <x v="4"/>
    <x v="0"/>
    <x v="0"/>
    <x v="6"/>
    <n v="0.38"/>
    <x v="9"/>
    <n v="5"/>
    <n v="55"/>
    <n v="60"/>
  </r>
  <r>
    <n v="392"/>
    <d v="2011-01-17T00:00:00"/>
    <x v="0"/>
    <x v="0"/>
    <x v="0"/>
    <x v="591"/>
    <x v="1"/>
    <x v="2"/>
    <x v="2"/>
    <x v="5"/>
    <x v="15"/>
    <n v="0.59"/>
    <x v="2"/>
    <n v="2"/>
    <n v="58"/>
    <n v="60"/>
  </r>
  <r>
    <n v="538"/>
    <d v="2011-01-24T00:00:00"/>
    <x v="0"/>
    <x v="0"/>
    <x v="0"/>
    <x v="592"/>
    <x v="0"/>
    <x v="2"/>
    <x v="1"/>
    <x v="3"/>
    <x v="3"/>
    <n v="0.43"/>
    <x v="5"/>
    <n v="6"/>
    <n v="54"/>
    <n v="60"/>
  </r>
  <r>
    <n v="602"/>
    <d v="2011-01-28T00:00:00"/>
    <x v="0"/>
    <x v="0"/>
    <x v="0"/>
    <x v="593"/>
    <x v="0"/>
    <x v="5"/>
    <x v="1"/>
    <x v="2"/>
    <x v="5"/>
    <n v="0.86"/>
    <x v="1"/>
    <n v="2"/>
    <n v="58"/>
    <n v="60"/>
  </r>
  <r>
    <n v="750"/>
    <d v="2011-02-03T00:00:00"/>
    <x v="0"/>
    <x v="0"/>
    <x v="1"/>
    <x v="594"/>
    <x v="0"/>
    <x v="4"/>
    <x v="0"/>
    <x v="10"/>
    <x v="5"/>
    <n v="0.37"/>
    <x v="13"/>
    <n v="4"/>
    <n v="56"/>
    <n v="60"/>
  </r>
  <r>
    <n v="797"/>
    <d v="2011-02-05T00:00:00"/>
    <x v="0"/>
    <x v="0"/>
    <x v="1"/>
    <x v="595"/>
    <x v="0"/>
    <x v="0"/>
    <x v="2"/>
    <x v="10"/>
    <x v="16"/>
    <n v="1"/>
    <x v="0"/>
    <n v="11"/>
    <n v="49"/>
    <n v="60"/>
  </r>
  <r>
    <n v="844"/>
    <d v="2011-02-07T00:00:00"/>
    <x v="0"/>
    <x v="0"/>
    <x v="1"/>
    <x v="596"/>
    <x v="0"/>
    <x v="2"/>
    <x v="1"/>
    <x v="16"/>
    <x v="29"/>
    <n v="0.56999999999999995"/>
    <x v="1"/>
    <n v="8"/>
    <n v="52"/>
    <n v="60"/>
  </r>
  <r>
    <n v="58"/>
    <d v="2011-01-03T00:00:00"/>
    <x v="0"/>
    <x v="0"/>
    <x v="0"/>
    <x v="597"/>
    <x v="0"/>
    <x v="2"/>
    <x v="0"/>
    <x v="10"/>
    <x v="6"/>
    <n v="0.35"/>
    <x v="9"/>
    <n v="13"/>
    <n v="48"/>
    <n v="61"/>
  </r>
  <r>
    <n v="59"/>
    <d v="2011-01-03T00:00:00"/>
    <x v="0"/>
    <x v="0"/>
    <x v="0"/>
    <x v="598"/>
    <x v="0"/>
    <x v="2"/>
    <x v="0"/>
    <x v="0"/>
    <x v="18"/>
    <n v="0.35"/>
    <x v="7"/>
    <n v="8"/>
    <n v="53"/>
    <n v="61"/>
  </r>
  <r>
    <n v="172"/>
    <d v="2011-01-08T00:00:00"/>
    <x v="0"/>
    <x v="0"/>
    <x v="0"/>
    <x v="599"/>
    <x v="0"/>
    <x v="0"/>
    <x v="1"/>
    <x v="5"/>
    <x v="5"/>
    <n v="0.8"/>
    <x v="6"/>
    <n v="5"/>
    <n v="56"/>
    <n v="61"/>
  </r>
  <r>
    <n v="313"/>
    <d v="2011-01-14T00:00:00"/>
    <x v="0"/>
    <x v="0"/>
    <x v="0"/>
    <x v="600"/>
    <x v="0"/>
    <x v="5"/>
    <x v="0"/>
    <x v="4"/>
    <x v="5"/>
    <n v="0.44"/>
    <x v="10"/>
    <n v="2"/>
    <n v="59"/>
    <n v="61"/>
  </r>
  <r>
    <n v="368"/>
    <d v="2011-01-16T00:00:00"/>
    <x v="0"/>
    <x v="0"/>
    <x v="0"/>
    <x v="601"/>
    <x v="0"/>
    <x v="1"/>
    <x v="0"/>
    <x v="5"/>
    <x v="5"/>
    <n v="0.47"/>
    <x v="4"/>
    <n v="14"/>
    <n v="47"/>
    <n v="61"/>
  </r>
  <r>
    <n v="401"/>
    <d v="2011-01-18T00:00:00"/>
    <x v="0"/>
    <x v="0"/>
    <x v="0"/>
    <x v="602"/>
    <x v="0"/>
    <x v="3"/>
    <x v="1"/>
    <x v="10"/>
    <x v="9"/>
    <n v="0.87"/>
    <x v="2"/>
    <n v="0"/>
    <n v="61"/>
    <n v="61"/>
  </r>
  <r>
    <n v="559"/>
    <d v="2011-01-25T00:00:00"/>
    <x v="0"/>
    <x v="0"/>
    <x v="0"/>
    <x v="603"/>
    <x v="0"/>
    <x v="3"/>
    <x v="1"/>
    <x v="0"/>
    <x v="19"/>
    <n v="0.6"/>
    <x v="4"/>
    <n v="6"/>
    <n v="55"/>
    <n v="61"/>
  </r>
  <r>
    <n v="722"/>
    <d v="2011-02-02T00:00:00"/>
    <x v="0"/>
    <x v="0"/>
    <x v="1"/>
    <x v="604"/>
    <x v="0"/>
    <x v="6"/>
    <x v="1"/>
    <x v="10"/>
    <x v="16"/>
    <n v="1"/>
    <x v="0"/>
    <n v="2"/>
    <n v="59"/>
    <n v="61"/>
  </r>
  <r>
    <n v="889"/>
    <d v="2011-02-09T00:00:00"/>
    <x v="0"/>
    <x v="0"/>
    <x v="1"/>
    <x v="605"/>
    <x v="0"/>
    <x v="6"/>
    <x v="1"/>
    <x v="5"/>
    <x v="15"/>
    <n v="0.4"/>
    <x v="5"/>
    <n v="4"/>
    <n v="57"/>
    <n v="61"/>
  </r>
  <r>
    <n v="988"/>
    <d v="2011-02-13T00:00:00"/>
    <x v="0"/>
    <x v="0"/>
    <x v="1"/>
    <x v="606"/>
    <x v="0"/>
    <x v="1"/>
    <x v="0"/>
    <x v="1"/>
    <x v="2"/>
    <n v="0.35"/>
    <x v="7"/>
    <n v="11"/>
    <n v="50"/>
    <n v="61"/>
  </r>
  <r>
    <n v="106"/>
    <d v="2011-01-05T00:00:00"/>
    <x v="0"/>
    <x v="0"/>
    <x v="0"/>
    <x v="607"/>
    <x v="0"/>
    <x v="6"/>
    <x v="0"/>
    <x v="22"/>
    <x v="0"/>
    <n v="0.28000000000000003"/>
    <x v="2"/>
    <n v="10"/>
    <n v="52"/>
    <n v="62"/>
  </r>
  <r>
    <n v="107"/>
    <d v="2011-01-05T00:00:00"/>
    <x v="0"/>
    <x v="0"/>
    <x v="0"/>
    <x v="608"/>
    <x v="0"/>
    <x v="6"/>
    <x v="0"/>
    <x v="22"/>
    <x v="0"/>
    <n v="0.28000000000000003"/>
    <x v="2"/>
    <n v="7"/>
    <n v="55"/>
    <n v="62"/>
  </r>
  <r>
    <n v="130"/>
    <d v="2011-01-06T00:00:00"/>
    <x v="0"/>
    <x v="0"/>
    <x v="0"/>
    <x v="609"/>
    <x v="0"/>
    <x v="4"/>
    <x v="0"/>
    <x v="13"/>
    <x v="16"/>
    <n v="0.36"/>
    <x v="0"/>
    <n v="8"/>
    <n v="54"/>
    <n v="62"/>
  </r>
  <r>
    <n v="173"/>
    <d v="2011-01-08T00:00:00"/>
    <x v="0"/>
    <x v="0"/>
    <x v="0"/>
    <x v="610"/>
    <x v="0"/>
    <x v="0"/>
    <x v="1"/>
    <x v="4"/>
    <x v="15"/>
    <n v="0.69"/>
    <x v="3"/>
    <n v="2"/>
    <n v="60"/>
    <n v="62"/>
  </r>
  <r>
    <n v="203"/>
    <d v="2011-01-09T00:00:00"/>
    <x v="0"/>
    <x v="0"/>
    <x v="0"/>
    <x v="611"/>
    <x v="0"/>
    <x v="1"/>
    <x v="0"/>
    <x v="5"/>
    <x v="4"/>
    <n v="0.37"/>
    <x v="3"/>
    <n v="3"/>
    <n v="59"/>
    <n v="62"/>
  </r>
  <r>
    <n v="470"/>
    <d v="2011-01-21T00:00:00"/>
    <x v="0"/>
    <x v="0"/>
    <x v="0"/>
    <x v="612"/>
    <x v="0"/>
    <x v="5"/>
    <x v="0"/>
    <x v="4"/>
    <x v="4"/>
    <n v="0.25"/>
    <x v="14"/>
    <n v="6"/>
    <n v="56"/>
    <n v="62"/>
  </r>
  <r>
    <n v="615"/>
    <d v="2011-01-28T00:00:00"/>
    <x v="0"/>
    <x v="0"/>
    <x v="0"/>
    <x v="613"/>
    <x v="0"/>
    <x v="5"/>
    <x v="1"/>
    <x v="0"/>
    <x v="9"/>
    <n v="0.7"/>
    <x v="2"/>
    <n v="1"/>
    <n v="61"/>
    <n v="62"/>
  </r>
  <r>
    <n v="828"/>
    <d v="2011-02-06T00:00:00"/>
    <x v="0"/>
    <x v="0"/>
    <x v="1"/>
    <x v="614"/>
    <x v="0"/>
    <x v="1"/>
    <x v="0"/>
    <x v="9"/>
    <x v="23"/>
    <n v="0.6"/>
    <x v="0"/>
    <n v="5"/>
    <n v="57"/>
    <n v="62"/>
  </r>
  <r>
    <n v="913"/>
    <d v="2011-02-10T00:00:00"/>
    <x v="0"/>
    <x v="0"/>
    <x v="1"/>
    <x v="615"/>
    <x v="0"/>
    <x v="4"/>
    <x v="0"/>
    <x v="5"/>
    <x v="14"/>
    <n v="0.28999999999999998"/>
    <x v="9"/>
    <n v="3"/>
    <n v="59"/>
    <n v="62"/>
  </r>
  <r>
    <n v="83"/>
    <d v="2011-01-04T00:00:00"/>
    <x v="0"/>
    <x v="0"/>
    <x v="0"/>
    <x v="616"/>
    <x v="0"/>
    <x v="3"/>
    <x v="0"/>
    <x v="9"/>
    <x v="1"/>
    <n v="0.52"/>
    <x v="5"/>
    <n v="9"/>
    <n v="54"/>
    <n v="63"/>
  </r>
  <r>
    <n v="148"/>
    <d v="2011-01-07T00:00:00"/>
    <x v="0"/>
    <x v="0"/>
    <x v="0"/>
    <x v="617"/>
    <x v="0"/>
    <x v="5"/>
    <x v="0"/>
    <x v="10"/>
    <x v="5"/>
    <n v="0.37"/>
    <x v="13"/>
    <n v="16"/>
    <n v="47"/>
    <n v="63"/>
  </r>
  <r>
    <n v="246"/>
    <d v="2011-01-11T00:00:00"/>
    <x v="0"/>
    <x v="0"/>
    <x v="0"/>
    <x v="618"/>
    <x v="0"/>
    <x v="3"/>
    <x v="1"/>
    <x v="4"/>
    <x v="9"/>
    <n v="0.59"/>
    <x v="1"/>
    <n v="3"/>
    <n v="60"/>
    <n v="63"/>
  </r>
  <r>
    <n v="466"/>
    <d v="2011-01-21T00:00:00"/>
    <x v="0"/>
    <x v="0"/>
    <x v="0"/>
    <x v="619"/>
    <x v="0"/>
    <x v="5"/>
    <x v="0"/>
    <x v="4"/>
    <x v="14"/>
    <n v="0.47"/>
    <x v="15"/>
    <n v="6"/>
    <n v="57"/>
    <n v="63"/>
  </r>
  <r>
    <n v="490"/>
    <d v="2011-01-22T00:00:00"/>
    <x v="0"/>
    <x v="0"/>
    <x v="0"/>
    <x v="620"/>
    <x v="0"/>
    <x v="0"/>
    <x v="1"/>
    <x v="15"/>
    <x v="10"/>
    <n v="0.38"/>
    <x v="4"/>
    <n v="4"/>
    <n v="59"/>
    <n v="63"/>
  </r>
  <r>
    <n v="537"/>
    <d v="2011-01-24T00:00:00"/>
    <x v="0"/>
    <x v="0"/>
    <x v="0"/>
    <x v="621"/>
    <x v="0"/>
    <x v="2"/>
    <x v="1"/>
    <x v="8"/>
    <x v="3"/>
    <n v="0.42"/>
    <x v="2"/>
    <n v="11"/>
    <n v="52"/>
    <n v="63"/>
  </r>
  <r>
    <n v="726"/>
    <d v="2011-02-02T00:00:00"/>
    <x v="0"/>
    <x v="0"/>
    <x v="1"/>
    <x v="622"/>
    <x v="0"/>
    <x v="6"/>
    <x v="0"/>
    <x v="20"/>
    <x v="26"/>
    <n v="0.82"/>
    <x v="3"/>
    <n v="2"/>
    <n v="61"/>
    <n v="63"/>
  </r>
  <r>
    <n v="733"/>
    <d v="2011-02-02T00:00:00"/>
    <x v="0"/>
    <x v="0"/>
    <x v="1"/>
    <x v="623"/>
    <x v="0"/>
    <x v="6"/>
    <x v="0"/>
    <x v="10"/>
    <x v="5"/>
    <n v="0.47"/>
    <x v="13"/>
    <n v="1"/>
    <n v="62"/>
    <n v="63"/>
  </r>
  <r>
    <n v="942"/>
    <d v="2011-02-11T00:00:00"/>
    <x v="0"/>
    <x v="0"/>
    <x v="1"/>
    <x v="624"/>
    <x v="0"/>
    <x v="5"/>
    <x v="0"/>
    <x v="10"/>
    <x v="9"/>
    <n v="0.55000000000000004"/>
    <x v="4"/>
    <n v="2"/>
    <n v="61"/>
    <n v="63"/>
  </r>
  <r>
    <n v="53"/>
    <d v="2011-01-03T00:00:00"/>
    <x v="0"/>
    <x v="0"/>
    <x v="0"/>
    <x v="625"/>
    <x v="0"/>
    <x v="2"/>
    <x v="0"/>
    <x v="3"/>
    <x v="3"/>
    <n v="0.5"/>
    <x v="2"/>
    <n v="1"/>
    <n v="63"/>
    <n v="64"/>
  </r>
  <r>
    <n v="298"/>
    <d v="2011-01-13T00:00:00"/>
    <x v="0"/>
    <x v="0"/>
    <x v="0"/>
    <x v="626"/>
    <x v="0"/>
    <x v="4"/>
    <x v="0"/>
    <x v="2"/>
    <x v="4"/>
    <n v="0.47"/>
    <x v="5"/>
    <n v="0"/>
    <n v="64"/>
    <n v="64"/>
  </r>
  <r>
    <n v="315"/>
    <d v="2011-01-14T00:00:00"/>
    <x v="0"/>
    <x v="0"/>
    <x v="0"/>
    <x v="627"/>
    <x v="0"/>
    <x v="5"/>
    <x v="0"/>
    <x v="10"/>
    <x v="6"/>
    <n v="0.41"/>
    <x v="7"/>
    <n v="5"/>
    <n v="59"/>
    <n v="64"/>
  </r>
  <r>
    <n v="384"/>
    <d v="2011-01-17T00:00:00"/>
    <x v="0"/>
    <x v="0"/>
    <x v="0"/>
    <x v="628"/>
    <x v="1"/>
    <x v="2"/>
    <x v="1"/>
    <x v="2"/>
    <x v="4"/>
    <n v="0.55000000000000004"/>
    <x v="2"/>
    <n v="9"/>
    <n v="55"/>
    <n v="64"/>
  </r>
  <r>
    <n v="629"/>
    <d v="2011-01-29T00:00:00"/>
    <x v="0"/>
    <x v="0"/>
    <x v="0"/>
    <x v="629"/>
    <x v="0"/>
    <x v="0"/>
    <x v="1"/>
    <x v="5"/>
    <x v="5"/>
    <n v="0.64"/>
    <x v="4"/>
    <n v="4"/>
    <n v="60"/>
    <n v="64"/>
  </r>
  <r>
    <n v="651"/>
    <d v="2011-01-30T00:00:00"/>
    <x v="0"/>
    <x v="0"/>
    <x v="0"/>
    <x v="630"/>
    <x v="0"/>
    <x v="1"/>
    <x v="1"/>
    <x v="5"/>
    <x v="19"/>
    <n v="0.8"/>
    <x v="0"/>
    <n v="7"/>
    <n v="57"/>
    <n v="64"/>
  </r>
  <r>
    <n v="704"/>
    <d v="2011-02-01T00:00:00"/>
    <x v="0"/>
    <x v="0"/>
    <x v="1"/>
    <x v="631"/>
    <x v="0"/>
    <x v="3"/>
    <x v="1"/>
    <x v="0"/>
    <x v="19"/>
    <n v="0.75"/>
    <x v="4"/>
    <n v="3"/>
    <n v="61"/>
    <n v="64"/>
  </r>
  <r>
    <n v="709"/>
    <d v="2011-02-01T00:00:00"/>
    <x v="0"/>
    <x v="0"/>
    <x v="1"/>
    <x v="632"/>
    <x v="0"/>
    <x v="3"/>
    <x v="1"/>
    <x v="10"/>
    <x v="9"/>
    <n v="0.87"/>
    <x v="4"/>
    <n v="0"/>
    <n v="64"/>
    <n v="64"/>
  </r>
  <r>
    <n v="724"/>
    <d v="2011-02-02T00:00:00"/>
    <x v="0"/>
    <x v="0"/>
    <x v="1"/>
    <x v="633"/>
    <x v="0"/>
    <x v="6"/>
    <x v="1"/>
    <x v="0"/>
    <x v="9"/>
    <n v="0.93"/>
    <x v="5"/>
    <n v="3"/>
    <n v="61"/>
    <n v="64"/>
  </r>
  <r>
    <n v="746"/>
    <d v="2011-02-03T00:00:00"/>
    <x v="0"/>
    <x v="0"/>
    <x v="1"/>
    <x v="634"/>
    <x v="0"/>
    <x v="4"/>
    <x v="0"/>
    <x v="5"/>
    <x v="3"/>
    <n v="0.43"/>
    <x v="16"/>
    <n v="9"/>
    <n v="55"/>
    <n v="64"/>
  </r>
  <r>
    <n v="769"/>
    <d v="2011-02-04T00:00:00"/>
    <x v="0"/>
    <x v="0"/>
    <x v="1"/>
    <x v="635"/>
    <x v="0"/>
    <x v="5"/>
    <x v="0"/>
    <x v="10"/>
    <x v="9"/>
    <n v="0.51"/>
    <x v="6"/>
    <n v="3"/>
    <n v="61"/>
    <n v="64"/>
  </r>
  <r>
    <n v="843"/>
    <d v="2011-02-07T00:00:00"/>
    <x v="0"/>
    <x v="0"/>
    <x v="1"/>
    <x v="636"/>
    <x v="0"/>
    <x v="2"/>
    <x v="1"/>
    <x v="16"/>
    <x v="29"/>
    <n v="0.56999999999999995"/>
    <x v="1"/>
    <n v="10"/>
    <n v="54"/>
    <n v="64"/>
  </r>
  <r>
    <n v="868"/>
    <d v="2011-02-08T00:00:00"/>
    <x v="0"/>
    <x v="0"/>
    <x v="1"/>
    <x v="637"/>
    <x v="0"/>
    <x v="3"/>
    <x v="0"/>
    <x v="10"/>
    <x v="5"/>
    <n v="0.37"/>
    <x v="11"/>
    <n v="3"/>
    <n v="61"/>
    <n v="64"/>
  </r>
  <r>
    <n v="892"/>
    <d v="2011-02-09T00:00:00"/>
    <x v="0"/>
    <x v="0"/>
    <x v="1"/>
    <x v="638"/>
    <x v="0"/>
    <x v="6"/>
    <x v="1"/>
    <x v="4"/>
    <x v="15"/>
    <n v="0.34"/>
    <x v="7"/>
    <n v="3"/>
    <n v="61"/>
    <n v="64"/>
  </r>
  <r>
    <n v="933"/>
    <d v="2011-02-11T00:00:00"/>
    <x v="0"/>
    <x v="0"/>
    <x v="1"/>
    <x v="639"/>
    <x v="0"/>
    <x v="5"/>
    <x v="0"/>
    <x v="10"/>
    <x v="9"/>
    <n v="0.47"/>
    <x v="4"/>
    <n v="12"/>
    <n v="52"/>
    <n v="64"/>
  </r>
  <r>
    <n v="964"/>
    <d v="2011-02-12T00:00:00"/>
    <x v="0"/>
    <x v="0"/>
    <x v="1"/>
    <x v="640"/>
    <x v="0"/>
    <x v="0"/>
    <x v="0"/>
    <x v="13"/>
    <x v="1"/>
    <n v="0.38"/>
    <x v="13"/>
    <n v="4"/>
    <n v="60"/>
    <n v="64"/>
  </r>
  <r>
    <n v="41"/>
    <d v="2011-01-02T00:00:00"/>
    <x v="0"/>
    <x v="0"/>
    <x v="0"/>
    <x v="641"/>
    <x v="0"/>
    <x v="1"/>
    <x v="0"/>
    <x v="17"/>
    <x v="21"/>
    <n v="0.56999999999999995"/>
    <x v="2"/>
    <n v="7"/>
    <n v="58"/>
    <n v="65"/>
  </r>
  <r>
    <n v="84"/>
    <d v="2011-01-04T00:00:00"/>
    <x v="0"/>
    <x v="0"/>
    <x v="0"/>
    <x v="642"/>
    <x v="0"/>
    <x v="3"/>
    <x v="0"/>
    <x v="13"/>
    <x v="16"/>
    <n v="0.52"/>
    <x v="10"/>
    <n v="17"/>
    <n v="48"/>
    <n v="65"/>
  </r>
  <r>
    <n v="471"/>
    <d v="2011-01-21T00:00:00"/>
    <x v="0"/>
    <x v="0"/>
    <x v="0"/>
    <x v="643"/>
    <x v="0"/>
    <x v="5"/>
    <x v="0"/>
    <x v="2"/>
    <x v="8"/>
    <n v="0.26"/>
    <x v="16"/>
    <n v="4"/>
    <n v="61"/>
    <n v="65"/>
  </r>
  <r>
    <n v="518"/>
    <d v="2011-01-23T00:00:00"/>
    <x v="0"/>
    <x v="0"/>
    <x v="0"/>
    <x v="644"/>
    <x v="0"/>
    <x v="1"/>
    <x v="0"/>
    <x v="2"/>
    <x v="3"/>
    <n v="0.26"/>
    <x v="13"/>
    <n v="9"/>
    <n v="56"/>
    <n v="65"/>
  </r>
  <r>
    <n v="631"/>
    <d v="2011-01-29T00:00:00"/>
    <x v="0"/>
    <x v="0"/>
    <x v="0"/>
    <x v="645"/>
    <x v="0"/>
    <x v="0"/>
    <x v="1"/>
    <x v="10"/>
    <x v="9"/>
    <n v="0.55000000000000004"/>
    <x v="6"/>
    <n v="9"/>
    <n v="56"/>
    <n v="65"/>
  </r>
  <r>
    <n v="659"/>
    <d v="2011-01-30T00:00:00"/>
    <x v="0"/>
    <x v="0"/>
    <x v="0"/>
    <x v="646"/>
    <x v="0"/>
    <x v="1"/>
    <x v="0"/>
    <x v="9"/>
    <x v="1"/>
    <n v="0.65"/>
    <x v="6"/>
    <n v="8"/>
    <n v="57"/>
    <n v="65"/>
  </r>
  <r>
    <n v="866"/>
    <d v="2011-02-08T00:00:00"/>
    <x v="0"/>
    <x v="0"/>
    <x v="1"/>
    <x v="647"/>
    <x v="0"/>
    <x v="3"/>
    <x v="0"/>
    <x v="0"/>
    <x v="5"/>
    <n v="0.38"/>
    <x v="19"/>
    <n v="2"/>
    <n v="63"/>
    <n v="65"/>
  </r>
  <r>
    <n v="842"/>
    <d v="2011-02-07T00:00:00"/>
    <x v="0"/>
    <x v="0"/>
    <x v="1"/>
    <x v="648"/>
    <x v="0"/>
    <x v="2"/>
    <x v="1"/>
    <x v="18"/>
    <x v="27"/>
    <n v="0.62"/>
    <x v="0"/>
    <n v="7"/>
    <n v="59"/>
    <n v="66"/>
  </r>
  <r>
    <n v="18"/>
    <d v="2011-01-01T00:00:00"/>
    <x v="0"/>
    <x v="0"/>
    <x v="0"/>
    <x v="649"/>
    <x v="0"/>
    <x v="0"/>
    <x v="1"/>
    <x v="21"/>
    <x v="18"/>
    <n v="0.82"/>
    <x v="7"/>
    <n v="15"/>
    <n v="52"/>
    <n v="67"/>
  </r>
  <r>
    <n v="128"/>
    <d v="2011-01-06T00:00:00"/>
    <x v="0"/>
    <x v="0"/>
    <x v="0"/>
    <x v="650"/>
    <x v="0"/>
    <x v="4"/>
    <x v="0"/>
    <x v="9"/>
    <x v="16"/>
    <n v="0.35"/>
    <x v="8"/>
    <n v="12"/>
    <n v="55"/>
    <n v="67"/>
  </r>
  <r>
    <n v="149"/>
    <d v="2011-01-07T00:00:00"/>
    <x v="0"/>
    <x v="0"/>
    <x v="0"/>
    <x v="651"/>
    <x v="0"/>
    <x v="5"/>
    <x v="1"/>
    <x v="4"/>
    <x v="5"/>
    <n v="0.4"/>
    <x v="5"/>
    <n v="19"/>
    <n v="48"/>
    <n v="67"/>
  </r>
  <r>
    <n v="367"/>
    <d v="2011-01-16T00:00:00"/>
    <x v="0"/>
    <x v="0"/>
    <x v="0"/>
    <x v="652"/>
    <x v="0"/>
    <x v="1"/>
    <x v="0"/>
    <x v="4"/>
    <x v="6"/>
    <n v="0.4"/>
    <x v="6"/>
    <n v="11"/>
    <n v="56"/>
    <n v="67"/>
  </r>
  <r>
    <n v="496"/>
    <d v="2011-01-22T00:00:00"/>
    <x v="0"/>
    <x v="0"/>
    <x v="0"/>
    <x v="653"/>
    <x v="0"/>
    <x v="0"/>
    <x v="0"/>
    <x v="8"/>
    <x v="5"/>
    <n v="0.28000000000000003"/>
    <x v="0"/>
    <n v="8"/>
    <n v="59"/>
    <n v="67"/>
  </r>
  <r>
    <n v="270"/>
    <d v="2011-01-12T00:00:00"/>
    <x v="0"/>
    <x v="0"/>
    <x v="0"/>
    <x v="654"/>
    <x v="0"/>
    <x v="6"/>
    <x v="0"/>
    <x v="10"/>
    <x v="5"/>
    <n v="0.44"/>
    <x v="13"/>
    <n v="5"/>
    <n v="63"/>
    <n v="68"/>
  </r>
  <r>
    <n v="316"/>
    <d v="2011-01-14T00:00:00"/>
    <x v="0"/>
    <x v="0"/>
    <x v="0"/>
    <x v="655"/>
    <x v="0"/>
    <x v="5"/>
    <x v="0"/>
    <x v="0"/>
    <x v="19"/>
    <n v="0.38"/>
    <x v="6"/>
    <n v="9"/>
    <n v="59"/>
    <n v="68"/>
  </r>
  <r>
    <n v="321"/>
    <d v="2011-01-14T00:00:00"/>
    <x v="0"/>
    <x v="0"/>
    <x v="0"/>
    <x v="656"/>
    <x v="0"/>
    <x v="5"/>
    <x v="0"/>
    <x v="5"/>
    <x v="19"/>
    <n v="0.59"/>
    <x v="0"/>
    <n v="0"/>
    <n v="68"/>
    <n v="68"/>
  </r>
  <r>
    <n v="443"/>
    <d v="2011-01-20T00:00:00"/>
    <x v="0"/>
    <x v="0"/>
    <x v="0"/>
    <x v="657"/>
    <x v="0"/>
    <x v="4"/>
    <x v="1"/>
    <x v="13"/>
    <x v="16"/>
    <n v="0.45"/>
    <x v="6"/>
    <n v="5"/>
    <n v="63"/>
    <n v="68"/>
  </r>
  <r>
    <n v="463"/>
    <d v="2011-01-21T00:00:00"/>
    <x v="0"/>
    <x v="0"/>
    <x v="0"/>
    <x v="658"/>
    <x v="0"/>
    <x v="5"/>
    <x v="0"/>
    <x v="4"/>
    <x v="15"/>
    <n v="0.51"/>
    <x v="7"/>
    <n v="2"/>
    <n v="66"/>
    <n v="68"/>
  </r>
  <r>
    <n v="562"/>
    <d v="2011-01-25T00:00:00"/>
    <x v="0"/>
    <x v="0"/>
    <x v="0"/>
    <x v="659"/>
    <x v="0"/>
    <x v="3"/>
    <x v="1"/>
    <x v="22"/>
    <x v="21"/>
    <n v="0.45"/>
    <x v="0"/>
    <n v="11"/>
    <n v="57"/>
    <n v="68"/>
  </r>
  <r>
    <n v="636"/>
    <d v="2011-01-29T00:00:00"/>
    <x v="0"/>
    <x v="0"/>
    <x v="0"/>
    <x v="660"/>
    <x v="0"/>
    <x v="0"/>
    <x v="0"/>
    <x v="10"/>
    <x v="9"/>
    <n v="0.69"/>
    <x v="4"/>
    <n v="9"/>
    <n v="59"/>
    <n v="68"/>
  </r>
  <r>
    <n v="677"/>
    <d v="2011-01-31T00:00:00"/>
    <x v="0"/>
    <x v="0"/>
    <x v="0"/>
    <x v="661"/>
    <x v="0"/>
    <x v="2"/>
    <x v="1"/>
    <x v="5"/>
    <x v="6"/>
    <n v="0.55000000000000004"/>
    <x v="8"/>
    <n v="6"/>
    <n v="62"/>
    <n v="68"/>
  </r>
  <r>
    <n v="135"/>
    <d v="2011-01-06T00:00:00"/>
    <x v="0"/>
    <x v="0"/>
    <x v="0"/>
    <x v="662"/>
    <x v="0"/>
    <x v="4"/>
    <x v="0"/>
    <x v="4"/>
    <x v="6"/>
    <n v="0.51"/>
    <x v="6"/>
    <n v="3"/>
    <n v="66"/>
    <n v="69"/>
  </r>
  <r>
    <n v="179"/>
    <d v="2011-01-08T00:00:00"/>
    <x v="0"/>
    <x v="0"/>
    <x v="0"/>
    <x v="663"/>
    <x v="0"/>
    <x v="0"/>
    <x v="0"/>
    <x v="2"/>
    <x v="8"/>
    <n v="0.37"/>
    <x v="17"/>
    <n v="5"/>
    <n v="64"/>
    <n v="69"/>
  </r>
  <r>
    <n v="675"/>
    <d v="2011-01-31T00:00:00"/>
    <x v="0"/>
    <x v="0"/>
    <x v="0"/>
    <x v="664"/>
    <x v="0"/>
    <x v="2"/>
    <x v="1"/>
    <x v="2"/>
    <x v="4"/>
    <n v="0.59"/>
    <x v="2"/>
    <n v="1"/>
    <n v="68"/>
    <n v="69"/>
  </r>
  <r>
    <n v="747"/>
    <d v="2011-02-03T00:00:00"/>
    <x v="0"/>
    <x v="0"/>
    <x v="1"/>
    <x v="665"/>
    <x v="0"/>
    <x v="4"/>
    <x v="0"/>
    <x v="4"/>
    <x v="15"/>
    <n v="0.4"/>
    <x v="12"/>
    <n v="2"/>
    <n v="67"/>
    <n v="69"/>
  </r>
  <r>
    <n v="802"/>
    <d v="2011-02-05T00:00:00"/>
    <x v="0"/>
    <x v="0"/>
    <x v="1"/>
    <x v="666"/>
    <x v="0"/>
    <x v="0"/>
    <x v="0"/>
    <x v="22"/>
    <x v="0"/>
    <n v="0.87"/>
    <x v="10"/>
    <n v="5"/>
    <n v="64"/>
    <n v="69"/>
  </r>
  <r>
    <n v="890"/>
    <d v="2011-02-09T00:00:00"/>
    <x v="0"/>
    <x v="0"/>
    <x v="1"/>
    <x v="667"/>
    <x v="0"/>
    <x v="6"/>
    <x v="0"/>
    <x v="5"/>
    <x v="14"/>
    <n v="0.4"/>
    <x v="10"/>
    <n v="2"/>
    <n v="67"/>
    <n v="69"/>
  </r>
  <r>
    <n v="912"/>
    <d v="2011-02-10T00:00:00"/>
    <x v="0"/>
    <x v="0"/>
    <x v="1"/>
    <x v="668"/>
    <x v="0"/>
    <x v="4"/>
    <x v="0"/>
    <x v="2"/>
    <x v="3"/>
    <n v="0.34"/>
    <x v="3"/>
    <n v="4"/>
    <n v="65"/>
    <n v="69"/>
  </r>
  <r>
    <n v="35"/>
    <d v="2011-01-02T00:00:00"/>
    <x v="0"/>
    <x v="0"/>
    <x v="0"/>
    <x v="669"/>
    <x v="0"/>
    <x v="1"/>
    <x v="1"/>
    <x v="16"/>
    <x v="21"/>
    <n v="0.71"/>
    <x v="10"/>
    <n v="16"/>
    <n v="54"/>
    <n v="70"/>
  </r>
  <r>
    <n v="129"/>
    <d v="2011-01-06T00:00:00"/>
    <x v="0"/>
    <x v="0"/>
    <x v="0"/>
    <x v="670"/>
    <x v="0"/>
    <x v="4"/>
    <x v="0"/>
    <x v="13"/>
    <x v="16"/>
    <n v="0.36"/>
    <x v="6"/>
    <n v="11"/>
    <n v="59"/>
    <n v="70"/>
  </r>
  <r>
    <n v="308"/>
    <d v="2011-01-14T00:00:00"/>
    <x v="0"/>
    <x v="0"/>
    <x v="0"/>
    <x v="671"/>
    <x v="0"/>
    <x v="5"/>
    <x v="0"/>
    <x v="7"/>
    <x v="8"/>
    <n v="0.74"/>
    <x v="6"/>
    <n v="0"/>
    <n v="70"/>
    <n v="70"/>
  </r>
  <r>
    <n v="420"/>
    <d v="2011-01-19T00:00:00"/>
    <x v="0"/>
    <x v="0"/>
    <x v="0"/>
    <x v="672"/>
    <x v="0"/>
    <x v="6"/>
    <x v="1"/>
    <x v="22"/>
    <x v="22"/>
    <n v="0.81"/>
    <x v="1"/>
    <n v="5"/>
    <n v="65"/>
    <n v="70"/>
  </r>
  <r>
    <n v="447"/>
    <d v="2011-01-20T00:00:00"/>
    <x v="0"/>
    <x v="0"/>
    <x v="0"/>
    <x v="673"/>
    <x v="0"/>
    <x v="4"/>
    <x v="1"/>
    <x v="18"/>
    <x v="22"/>
    <n v="0.45"/>
    <x v="2"/>
    <n v="8"/>
    <n v="62"/>
    <n v="70"/>
  </r>
  <r>
    <n v="491"/>
    <d v="2011-01-22T00:00:00"/>
    <x v="0"/>
    <x v="0"/>
    <x v="0"/>
    <x v="674"/>
    <x v="0"/>
    <x v="0"/>
    <x v="1"/>
    <x v="15"/>
    <x v="20"/>
    <n v="0.38"/>
    <x v="8"/>
    <n v="10"/>
    <n v="60"/>
    <n v="70"/>
  </r>
  <r>
    <n v="541"/>
    <d v="2011-01-24T00:00:00"/>
    <x v="0"/>
    <x v="0"/>
    <x v="0"/>
    <x v="675"/>
    <x v="0"/>
    <x v="2"/>
    <x v="0"/>
    <x v="2"/>
    <x v="4"/>
    <n v="0.47"/>
    <x v="10"/>
    <n v="4"/>
    <n v="66"/>
    <n v="70"/>
  </r>
  <r>
    <n v="105"/>
    <d v="2011-01-05T00:00:00"/>
    <x v="0"/>
    <x v="0"/>
    <x v="0"/>
    <x v="676"/>
    <x v="0"/>
    <x v="6"/>
    <x v="0"/>
    <x v="13"/>
    <x v="1"/>
    <n v="0.3"/>
    <x v="9"/>
    <n v="6"/>
    <n v="65"/>
    <n v="71"/>
  </r>
  <r>
    <n v="390"/>
    <d v="2011-01-17T00:00:00"/>
    <x v="0"/>
    <x v="0"/>
    <x v="0"/>
    <x v="677"/>
    <x v="1"/>
    <x v="2"/>
    <x v="0"/>
    <x v="4"/>
    <x v="5"/>
    <n v="0.51"/>
    <x v="2"/>
    <n v="4"/>
    <n v="67"/>
    <n v="71"/>
  </r>
  <r>
    <n v="778"/>
    <d v="2011-02-04T00:00:00"/>
    <x v="0"/>
    <x v="0"/>
    <x v="1"/>
    <x v="678"/>
    <x v="0"/>
    <x v="5"/>
    <x v="1"/>
    <x v="0"/>
    <x v="19"/>
    <n v="0.65"/>
    <x v="6"/>
    <n v="2"/>
    <n v="69"/>
    <n v="71"/>
  </r>
  <r>
    <n v="798"/>
    <d v="2011-02-05T00:00:00"/>
    <x v="0"/>
    <x v="0"/>
    <x v="1"/>
    <x v="679"/>
    <x v="0"/>
    <x v="0"/>
    <x v="2"/>
    <x v="10"/>
    <x v="9"/>
    <n v="1"/>
    <x v="4"/>
    <n v="8"/>
    <n v="63"/>
    <n v="71"/>
  </r>
  <r>
    <n v="934"/>
    <d v="2011-02-11T00:00:00"/>
    <x v="0"/>
    <x v="0"/>
    <x v="1"/>
    <x v="680"/>
    <x v="0"/>
    <x v="5"/>
    <x v="0"/>
    <x v="10"/>
    <x v="9"/>
    <n v="0.47"/>
    <x v="4"/>
    <n v="7"/>
    <n v="64"/>
    <n v="71"/>
  </r>
  <r>
    <n v="61"/>
    <d v="2011-01-03T00:00:00"/>
    <x v="0"/>
    <x v="0"/>
    <x v="0"/>
    <x v="681"/>
    <x v="0"/>
    <x v="2"/>
    <x v="0"/>
    <x v="9"/>
    <x v="19"/>
    <n v="0.3"/>
    <x v="10"/>
    <n v="14"/>
    <n v="58"/>
    <n v="72"/>
  </r>
  <r>
    <n v="153"/>
    <d v="2011-01-07T00:00:00"/>
    <x v="0"/>
    <x v="0"/>
    <x v="0"/>
    <x v="682"/>
    <x v="0"/>
    <x v="5"/>
    <x v="1"/>
    <x v="4"/>
    <x v="6"/>
    <n v="0.37"/>
    <x v="6"/>
    <n v="9"/>
    <n v="63"/>
    <n v="72"/>
  </r>
  <r>
    <n v="200"/>
    <d v="2011-01-09T00:00:00"/>
    <x v="0"/>
    <x v="0"/>
    <x v="0"/>
    <x v="683"/>
    <x v="0"/>
    <x v="1"/>
    <x v="0"/>
    <x v="10"/>
    <x v="15"/>
    <n v="0.32"/>
    <x v="15"/>
    <n v="8"/>
    <n v="64"/>
    <n v="72"/>
  </r>
  <r>
    <n v="285"/>
    <d v="2011-01-13T00:00:00"/>
    <x v="0"/>
    <x v="0"/>
    <x v="0"/>
    <x v="684"/>
    <x v="0"/>
    <x v="4"/>
    <x v="0"/>
    <x v="8"/>
    <x v="4"/>
    <n v="0.54"/>
    <x v="4"/>
    <n v="0"/>
    <n v="72"/>
    <n v="72"/>
  </r>
  <r>
    <n v="336"/>
    <d v="2011-01-15T00:00:00"/>
    <x v="0"/>
    <x v="0"/>
    <x v="0"/>
    <x v="685"/>
    <x v="0"/>
    <x v="0"/>
    <x v="0"/>
    <x v="4"/>
    <x v="5"/>
    <n v="0.55000000000000004"/>
    <x v="5"/>
    <n v="18"/>
    <n v="54"/>
    <n v="72"/>
  </r>
  <r>
    <n v="578"/>
    <d v="2011-01-26T00:00:00"/>
    <x v="0"/>
    <x v="0"/>
    <x v="0"/>
    <x v="686"/>
    <x v="0"/>
    <x v="6"/>
    <x v="2"/>
    <x v="10"/>
    <x v="6"/>
    <n v="0.87"/>
    <x v="9"/>
    <n v="3"/>
    <n v="69"/>
    <n v="72"/>
  </r>
  <r>
    <n v="672"/>
    <d v="2011-01-31T00:00:00"/>
    <x v="0"/>
    <x v="0"/>
    <x v="0"/>
    <x v="687"/>
    <x v="0"/>
    <x v="2"/>
    <x v="1"/>
    <x v="2"/>
    <x v="3"/>
    <n v="0.64"/>
    <x v="7"/>
    <n v="1"/>
    <n v="71"/>
    <n v="72"/>
  </r>
  <r>
    <n v="795"/>
    <d v="2011-02-05T00:00:00"/>
    <x v="0"/>
    <x v="0"/>
    <x v="1"/>
    <x v="688"/>
    <x v="0"/>
    <x v="0"/>
    <x v="2"/>
    <x v="10"/>
    <x v="9"/>
    <n v="1"/>
    <x v="6"/>
    <n v="10"/>
    <n v="62"/>
    <n v="72"/>
  </r>
  <r>
    <n v="921"/>
    <d v="2011-02-10T00:00:00"/>
    <x v="0"/>
    <x v="0"/>
    <x v="1"/>
    <x v="689"/>
    <x v="0"/>
    <x v="4"/>
    <x v="0"/>
    <x v="3"/>
    <x v="6"/>
    <n v="0.39"/>
    <x v="0"/>
    <n v="2"/>
    <n v="70"/>
    <n v="72"/>
  </r>
  <r>
    <n v="151"/>
    <d v="2011-01-07T00:00:00"/>
    <x v="0"/>
    <x v="0"/>
    <x v="0"/>
    <x v="690"/>
    <x v="0"/>
    <x v="5"/>
    <x v="1"/>
    <x v="4"/>
    <x v="15"/>
    <n v="0.37"/>
    <x v="7"/>
    <n v="9"/>
    <n v="64"/>
    <n v="73"/>
  </r>
  <r>
    <n v="469"/>
    <d v="2011-01-21T00:00:00"/>
    <x v="0"/>
    <x v="0"/>
    <x v="0"/>
    <x v="691"/>
    <x v="0"/>
    <x v="5"/>
    <x v="0"/>
    <x v="4"/>
    <x v="4"/>
    <n v="0.21"/>
    <x v="18"/>
    <n v="8"/>
    <n v="65"/>
    <n v="73"/>
  </r>
  <r>
    <n v="39"/>
    <d v="2011-01-02T00:00:00"/>
    <x v="0"/>
    <x v="0"/>
    <x v="0"/>
    <x v="692"/>
    <x v="0"/>
    <x v="1"/>
    <x v="2"/>
    <x v="17"/>
    <x v="21"/>
    <n v="0.81"/>
    <x v="6"/>
    <n v="19"/>
    <n v="55"/>
    <n v="74"/>
  </r>
  <r>
    <n v="177"/>
    <d v="2011-01-08T00:00:00"/>
    <x v="0"/>
    <x v="0"/>
    <x v="0"/>
    <x v="693"/>
    <x v="0"/>
    <x v="0"/>
    <x v="0"/>
    <x v="4"/>
    <x v="14"/>
    <n v="0.32"/>
    <x v="16"/>
    <n v="5"/>
    <n v="69"/>
    <n v="74"/>
  </r>
  <r>
    <n v="226"/>
    <d v="2011-01-10T00:00:00"/>
    <x v="0"/>
    <x v="0"/>
    <x v="0"/>
    <x v="694"/>
    <x v="0"/>
    <x v="2"/>
    <x v="0"/>
    <x v="4"/>
    <x v="6"/>
    <n v="0.4"/>
    <x v="4"/>
    <n v="4"/>
    <n v="70"/>
    <n v="74"/>
  </r>
  <r>
    <n v="230"/>
    <d v="2011-01-10T00:00:00"/>
    <x v="0"/>
    <x v="0"/>
    <x v="0"/>
    <x v="695"/>
    <x v="0"/>
    <x v="2"/>
    <x v="0"/>
    <x v="2"/>
    <x v="14"/>
    <n v="0.5"/>
    <x v="6"/>
    <n v="1"/>
    <n v="73"/>
    <n v="74"/>
  </r>
  <r>
    <n v="344"/>
    <d v="2011-01-15T00:00:00"/>
    <x v="0"/>
    <x v="0"/>
    <x v="0"/>
    <x v="696"/>
    <x v="0"/>
    <x v="0"/>
    <x v="1"/>
    <x v="18"/>
    <x v="23"/>
    <n v="0.39"/>
    <x v="10"/>
    <n v="14"/>
    <n v="60"/>
    <n v="74"/>
  </r>
  <r>
    <n v="708"/>
    <d v="2011-02-01T00:00:00"/>
    <x v="0"/>
    <x v="0"/>
    <x v="1"/>
    <x v="697"/>
    <x v="0"/>
    <x v="3"/>
    <x v="1"/>
    <x v="10"/>
    <x v="9"/>
    <n v="0.87"/>
    <x v="4"/>
    <n v="5"/>
    <n v="69"/>
    <n v="74"/>
  </r>
  <r>
    <n v="929"/>
    <d v="2011-02-11T00:00:00"/>
    <x v="0"/>
    <x v="0"/>
    <x v="1"/>
    <x v="698"/>
    <x v="0"/>
    <x v="5"/>
    <x v="0"/>
    <x v="6"/>
    <x v="14"/>
    <n v="0.73"/>
    <x v="0"/>
    <n v="1"/>
    <n v="73"/>
    <n v="74"/>
  </r>
  <r>
    <n v="937"/>
    <d v="2011-02-11T00:00:00"/>
    <x v="0"/>
    <x v="0"/>
    <x v="1"/>
    <x v="699"/>
    <x v="0"/>
    <x v="5"/>
    <x v="0"/>
    <x v="18"/>
    <x v="22"/>
    <n v="0.21"/>
    <x v="6"/>
    <n v="12"/>
    <n v="62"/>
    <n v="74"/>
  </r>
  <r>
    <n v="37"/>
    <d v="2011-01-02T00:00:00"/>
    <x v="0"/>
    <x v="0"/>
    <x v="0"/>
    <x v="700"/>
    <x v="0"/>
    <x v="1"/>
    <x v="1"/>
    <x v="16"/>
    <x v="27"/>
    <n v="0.66"/>
    <x v="4"/>
    <n v="11"/>
    <n v="64"/>
    <n v="75"/>
  </r>
  <r>
    <n v="199"/>
    <d v="2011-01-09T00:00:00"/>
    <x v="0"/>
    <x v="0"/>
    <x v="0"/>
    <x v="701"/>
    <x v="0"/>
    <x v="1"/>
    <x v="0"/>
    <x v="4"/>
    <x v="14"/>
    <n v="0.34"/>
    <x v="16"/>
    <n v="6"/>
    <n v="69"/>
    <n v="75"/>
  </r>
  <r>
    <n v="422"/>
    <d v="2011-01-19T00:00:00"/>
    <x v="0"/>
    <x v="0"/>
    <x v="0"/>
    <x v="702"/>
    <x v="0"/>
    <x v="6"/>
    <x v="0"/>
    <x v="1"/>
    <x v="2"/>
    <n v="0.57999999999999996"/>
    <x v="10"/>
    <n v="7"/>
    <n v="68"/>
    <n v="75"/>
  </r>
  <r>
    <n v="493"/>
    <d v="2011-01-22T00:00:00"/>
    <x v="0"/>
    <x v="0"/>
    <x v="0"/>
    <x v="703"/>
    <x v="0"/>
    <x v="0"/>
    <x v="0"/>
    <x v="7"/>
    <x v="3"/>
    <n v="0.33"/>
    <x v="8"/>
    <n v="11"/>
    <n v="64"/>
    <n v="75"/>
  </r>
  <r>
    <n v="725"/>
    <d v="2011-02-02T00:00:00"/>
    <x v="0"/>
    <x v="0"/>
    <x v="1"/>
    <x v="704"/>
    <x v="0"/>
    <x v="6"/>
    <x v="0"/>
    <x v="17"/>
    <x v="21"/>
    <n v="0.93"/>
    <x v="6"/>
    <n v="1"/>
    <n v="74"/>
    <n v="75"/>
  </r>
  <r>
    <n v="732"/>
    <d v="2011-02-02T00:00:00"/>
    <x v="0"/>
    <x v="0"/>
    <x v="1"/>
    <x v="705"/>
    <x v="0"/>
    <x v="6"/>
    <x v="0"/>
    <x v="0"/>
    <x v="5"/>
    <n v="0.48"/>
    <x v="17"/>
    <n v="4"/>
    <n v="71"/>
    <n v="75"/>
  </r>
  <r>
    <n v="40"/>
    <d v="2011-01-02T00:00:00"/>
    <x v="0"/>
    <x v="0"/>
    <x v="0"/>
    <x v="706"/>
    <x v="0"/>
    <x v="1"/>
    <x v="2"/>
    <x v="17"/>
    <x v="21"/>
    <n v="0.71"/>
    <x v="6"/>
    <n v="9"/>
    <n v="67"/>
    <n v="76"/>
  </r>
  <r>
    <n v="62"/>
    <d v="2011-01-03T00:00:00"/>
    <x v="0"/>
    <x v="0"/>
    <x v="0"/>
    <x v="707"/>
    <x v="0"/>
    <x v="2"/>
    <x v="0"/>
    <x v="9"/>
    <x v="19"/>
    <n v="0.3"/>
    <x v="10"/>
    <n v="9"/>
    <n v="67"/>
    <n v="76"/>
  </r>
  <r>
    <n v="178"/>
    <d v="2011-01-08T00:00:00"/>
    <x v="0"/>
    <x v="0"/>
    <x v="0"/>
    <x v="708"/>
    <x v="0"/>
    <x v="0"/>
    <x v="0"/>
    <x v="5"/>
    <x v="3"/>
    <n v="0.28999999999999998"/>
    <x v="16"/>
    <n v="8"/>
    <n v="68"/>
    <n v="76"/>
  </r>
  <r>
    <n v="248"/>
    <d v="2011-01-11T00:00:00"/>
    <x v="0"/>
    <x v="0"/>
    <x v="0"/>
    <x v="709"/>
    <x v="0"/>
    <x v="3"/>
    <x v="1"/>
    <x v="2"/>
    <x v="4"/>
    <n v="0.86"/>
    <x v="5"/>
    <n v="4"/>
    <n v="72"/>
    <n v="76"/>
  </r>
  <r>
    <n v="428"/>
    <d v="2011-01-19T00:00:00"/>
    <x v="0"/>
    <x v="0"/>
    <x v="0"/>
    <x v="710"/>
    <x v="0"/>
    <x v="6"/>
    <x v="0"/>
    <x v="18"/>
    <x v="23"/>
    <n v="0.49"/>
    <x v="9"/>
    <n v="2"/>
    <n v="74"/>
    <n v="76"/>
  </r>
  <r>
    <n v="727"/>
    <d v="2011-02-02T00:00:00"/>
    <x v="0"/>
    <x v="0"/>
    <x v="1"/>
    <x v="711"/>
    <x v="0"/>
    <x v="6"/>
    <x v="0"/>
    <x v="20"/>
    <x v="26"/>
    <n v="0.76"/>
    <x v="13"/>
    <n v="10"/>
    <n v="66"/>
    <n v="76"/>
  </r>
  <r>
    <n v="60"/>
    <d v="2011-01-03T00:00:00"/>
    <x v="0"/>
    <x v="0"/>
    <x v="0"/>
    <x v="712"/>
    <x v="0"/>
    <x v="2"/>
    <x v="0"/>
    <x v="9"/>
    <x v="19"/>
    <n v="0.3"/>
    <x v="7"/>
    <n v="11"/>
    <n v="66"/>
    <n v="77"/>
  </r>
  <r>
    <n v="217"/>
    <d v="2011-01-10T00:00:00"/>
    <x v="0"/>
    <x v="0"/>
    <x v="0"/>
    <x v="713"/>
    <x v="0"/>
    <x v="2"/>
    <x v="0"/>
    <x v="8"/>
    <x v="8"/>
    <n v="0.5"/>
    <x v="5"/>
    <n v="2"/>
    <n v="75"/>
    <n v="77"/>
  </r>
  <r>
    <n v="314"/>
    <d v="2011-01-14T00:00:00"/>
    <x v="0"/>
    <x v="0"/>
    <x v="0"/>
    <x v="714"/>
    <x v="0"/>
    <x v="5"/>
    <x v="0"/>
    <x v="10"/>
    <x v="5"/>
    <n v="0.37"/>
    <x v="3"/>
    <n v="4"/>
    <n v="73"/>
    <n v="77"/>
  </r>
  <r>
    <n v="517"/>
    <d v="2011-01-23T00:00:00"/>
    <x v="0"/>
    <x v="0"/>
    <x v="0"/>
    <x v="715"/>
    <x v="0"/>
    <x v="1"/>
    <x v="0"/>
    <x v="2"/>
    <x v="3"/>
    <n v="0.28000000000000003"/>
    <x v="12"/>
    <n v="13"/>
    <n v="64"/>
    <n v="77"/>
  </r>
  <r>
    <n v="658"/>
    <d v="2011-01-30T00:00:00"/>
    <x v="0"/>
    <x v="0"/>
    <x v="0"/>
    <x v="716"/>
    <x v="0"/>
    <x v="1"/>
    <x v="0"/>
    <x v="22"/>
    <x v="0"/>
    <n v="0.56000000000000005"/>
    <x v="2"/>
    <n v="6"/>
    <n v="71"/>
    <n v="77"/>
  </r>
  <r>
    <n v="81"/>
    <d v="2011-01-04T00:00:00"/>
    <x v="0"/>
    <x v="0"/>
    <x v="0"/>
    <x v="717"/>
    <x v="0"/>
    <x v="3"/>
    <x v="0"/>
    <x v="10"/>
    <x v="9"/>
    <n v="0.51"/>
    <x v="6"/>
    <n v="12"/>
    <n v="66"/>
    <n v="78"/>
  </r>
  <r>
    <n v="294"/>
    <d v="2011-01-13T00:00:00"/>
    <x v="0"/>
    <x v="0"/>
    <x v="0"/>
    <x v="718"/>
    <x v="0"/>
    <x v="4"/>
    <x v="0"/>
    <x v="0"/>
    <x v="6"/>
    <n v="0.38"/>
    <x v="12"/>
    <n v="2"/>
    <n v="76"/>
    <n v="78"/>
  </r>
  <r>
    <n v="421"/>
    <d v="2011-01-19T00:00:00"/>
    <x v="0"/>
    <x v="0"/>
    <x v="0"/>
    <x v="719"/>
    <x v="0"/>
    <x v="6"/>
    <x v="0"/>
    <x v="1"/>
    <x v="2"/>
    <n v="0.62"/>
    <x v="7"/>
    <n v="11"/>
    <n v="67"/>
    <n v="78"/>
  </r>
  <r>
    <n v="468"/>
    <d v="2011-01-21T00:00:00"/>
    <x v="0"/>
    <x v="0"/>
    <x v="0"/>
    <x v="720"/>
    <x v="0"/>
    <x v="5"/>
    <x v="0"/>
    <x v="10"/>
    <x v="15"/>
    <n v="0.27"/>
    <x v="18"/>
    <n v="11"/>
    <n v="67"/>
    <n v="78"/>
  </r>
  <r>
    <n v="630"/>
    <d v="2011-01-29T00:00:00"/>
    <x v="0"/>
    <x v="0"/>
    <x v="0"/>
    <x v="721"/>
    <x v="0"/>
    <x v="0"/>
    <x v="1"/>
    <x v="4"/>
    <x v="5"/>
    <n v="0.59"/>
    <x v="2"/>
    <n v="12"/>
    <n v="66"/>
    <n v="78"/>
  </r>
  <r>
    <n v="685"/>
    <d v="2011-01-31T00:00:00"/>
    <x v="0"/>
    <x v="0"/>
    <x v="0"/>
    <x v="722"/>
    <x v="0"/>
    <x v="2"/>
    <x v="2"/>
    <x v="2"/>
    <x v="14"/>
    <n v="0.59"/>
    <x v="6"/>
    <n v="0"/>
    <n v="78"/>
    <n v="78"/>
  </r>
  <r>
    <n v="751"/>
    <d v="2011-02-03T00:00:00"/>
    <x v="0"/>
    <x v="0"/>
    <x v="1"/>
    <x v="723"/>
    <x v="0"/>
    <x v="4"/>
    <x v="0"/>
    <x v="10"/>
    <x v="6"/>
    <n v="0.37"/>
    <x v="10"/>
    <n v="5"/>
    <n v="73"/>
    <n v="78"/>
  </r>
  <r>
    <n v="799"/>
    <d v="2011-02-05T00:00:00"/>
    <x v="0"/>
    <x v="0"/>
    <x v="1"/>
    <x v="724"/>
    <x v="0"/>
    <x v="0"/>
    <x v="1"/>
    <x v="0"/>
    <x v="6"/>
    <n v="1"/>
    <x v="7"/>
    <n v="14"/>
    <n v="64"/>
    <n v="78"/>
  </r>
  <r>
    <n v="824"/>
    <d v="2011-02-06T00:00:00"/>
    <x v="0"/>
    <x v="0"/>
    <x v="1"/>
    <x v="725"/>
    <x v="0"/>
    <x v="1"/>
    <x v="0"/>
    <x v="22"/>
    <x v="23"/>
    <n v="0.56000000000000005"/>
    <x v="6"/>
    <n v="13"/>
    <n v="65"/>
    <n v="78"/>
  </r>
  <r>
    <n v="851"/>
    <d v="2011-02-07T00:00:00"/>
    <x v="0"/>
    <x v="0"/>
    <x v="1"/>
    <x v="726"/>
    <x v="0"/>
    <x v="2"/>
    <x v="0"/>
    <x v="18"/>
    <x v="27"/>
    <n v="0.7"/>
    <x v="0"/>
    <n v="3"/>
    <n v="75"/>
    <n v="78"/>
  </r>
  <r>
    <n v="104"/>
    <d v="2011-01-05T00:00:00"/>
    <x v="0"/>
    <x v="0"/>
    <x v="0"/>
    <x v="727"/>
    <x v="0"/>
    <x v="6"/>
    <x v="0"/>
    <x v="9"/>
    <x v="9"/>
    <n v="0.33"/>
    <x v="13"/>
    <n v="5"/>
    <n v="74"/>
    <n v="79"/>
  </r>
  <r>
    <n v="359"/>
    <d v="2011-01-16T00:00:00"/>
    <x v="0"/>
    <x v="0"/>
    <x v="0"/>
    <x v="728"/>
    <x v="0"/>
    <x v="1"/>
    <x v="0"/>
    <x v="10"/>
    <x v="6"/>
    <n v="0.51"/>
    <x v="7"/>
    <n v="8"/>
    <n v="71"/>
    <n v="79"/>
  </r>
  <r>
    <n v="591"/>
    <d v="2011-01-27T00:00:00"/>
    <x v="0"/>
    <x v="0"/>
    <x v="0"/>
    <x v="729"/>
    <x v="0"/>
    <x v="4"/>
    <x v="0"/>
    <x v="4"/>
    <x v="9"/>
    <n v="0.69"/>
    <x v="1"/>
    <n v="3"/>
    <n v="76"/>
    <n v="79"/>
  </r>
  <r>
    <n v="893"/>
    <d v="2011-02-09T00:00:00"/>
    <x v="0"/>
    <x v="0"/>
    <x v="1"/>
    <x v="730"/>
    <x v="0"/>
    <x v="6"/>
    <x v="1"/>
    <x v="4"/>
    <x v="5"/>
    <n v="0.37"/>
    <x v="10"/>
    <n v="7"/>
    <n v="72"/>
    <n v="79"/>
  </r>
  <r>
    <n v="385"/>
    <d v="2011-01-17T00:00:00"/>
    <x v="0"/>
    <x v="0"/>
    <x v="0"/>
    <x v="731"/>
    <x v="1"/>
    <x v="2"/>
    <x v="1"/>
    <x v="5"/>
    <x v="5"/>
    <n v="0.47"/>
    <x v="4"/>
    <n v="10"/>
    <n v="70"/>
    <n v="80"/>
  </r>
  <r>
    <n v="611"/>
    <d v="2011-01-28T00:00:00"/>
    <x v="0"/>
    <x v="0"/>
    <x v="0"/>
    <x v="732"/>
    <x v="0"/>
    <x v="5"/>
    <x v="0"/>
    <x v="10"/>
    <x v="16"/>
    <n v="0.8"/>
    <x v="0"/>
    <n v="10"/>
    <n v="70"/>
    <n v="80"/>
  </r>
  <r>
    <n v="916"/>
    <d v="2011-02-10T00:00:00"/>
    <x v="0"/>
    <x v="0"/>
    <x v="1"/>
    <x v="733"/>
    <x v="0"/>
    <x v="4"/>
    <x v="0"/>
    <x v="4"/>
    <x v="15"/>
    <n v="0.27"/>
    <x v="9"/>
    <n v="4"/>
    <n v="76"/>
    <n v="80"/>
  </r>
  <r>
    <n v="263"/>
    <d v="2011-01-12T00:00:00"/>
    <x v="0"/>
    <x v="0"/>
    <x v="0"/>
    <x v="734"/>
    <x v="0"/>
    <x v="6"/>
    <x v="0"/>
    <x v="2"/>
    <x v="3"/>
    <n v="0.59"/>
    <x v="13"/>
    <n v="3"/>
    <n v="78"/>
    <n v="81"/>
  </r>
  <r>
    <n v="446"/>
    <d v="2011-01-20T00:00:00"/>
    <x v="0"/>
    <x v="0"/>
    <x v="0"/>
    <x v="735"/>
    <x v="0"/>
    <x v="4"/>
    <x v="1"/>
    <x v="22"/>
    <x v="23"/>
    <n v="0.45"/>
    <x v="4"/>
    <n v="6"/>
    <n v="75"/>
    <n v="81"/>
  </r>
  <r>
    <n v="545"/>
    <d v="2011-01-24T00:00:00"/>
    <x v="0"/>
    <x v="0"/>
    <x v="0"/>
    <x v="736"/>
    <x v="0"/>
    <x v="2"/>
    <x v="0"/>
    <x v="3"/>
    <x v="3"/>
    <n v="0.59"/>
    <x v="2"/>
    <n v="1"/>
    <n v="80"/>
    <n v="81"/>
  </r>
  <r>
    <n v="201"/>
    <d v="2011-01-09T00:00:00"/>
    <x v="0"/>
    <x v="0"/>
    <x v="0"/>
    <x v="737"/>
    <x v="0"/>
    <x v="1"/>
    <x v="0"/>
    <x v="10"/>
    <x v="5"/>
    <n v="0.35"/>
    <x v="12"/>
    <n v="5"/>
    <n v="77"/>
    <n v="82"/>
  </r>
  <r>
    <n v="389"/>
    <d v="2011-01-17T00:00:00"/>
    <x v="0"/>
    <x v="0"/>
    <x v="0"/>
    <x v="738"/>
    <x v="1"/>
    <x v="2"/>
    <x v="1"/>
    <x v="4"/>
    <x v="6"/>
    <n v="0.47"/>
    <x v="6"/>
    <n v="6"/>
    <n v="76"/>
    <n v="82"/>
  </r>
  <r>
    <n v="423"/>
    <d v="2011-01-19T00:00:00"/>
    <x v="0"/>
    <x v="0"/>
    <x v="0"/>
    <x v="739"/>
    <x v="0"/>
    <x v="6"/>
    <x v="0"/>
    <x v="1"/>
    <x v="2"/>
    <n v="0.54"/>
    <x v="7"/>
    <n v="4"/>
    <n v="78"/>
    <n v="82"/>
  </r>
  <r>
    <n v="771"/>
    <d v="2011-02-04T00:00:00"/>
    <x v="0"/>
    <x v="0"/>
    <x v="1"/>
    <x v="740"/>
    <x v="0"/>
    <x v="5"/>
    <x v="1"/>
    <x v="9"/>
    <x v="1"/>
    <n v="0.5"/>
    <x v="5"/>
    <n v="9"/>
    <n v="73"/>
    <n v="82"/>
  </r>
  <r>
    <n v="85"/>
    <d v="2011-01-04T00:00:00"/>
    <x v="0"/>
    <x v="0"/>
    <x v="0"/>
    <x v="741"/>
    <x v="0"/>
    <x v="3"/>
    <x v="0"/>
    <x v="22"/>
    <x v="0"/>
    <n v="0.49"/>
    <x v="10"/>
    <n v="15"/>
    <n v="68"/>
    <n v="83"/>
  </r>
  <r>
    <n v="198"/>
    <d v="2011-01-09T00:00:00"/>
    <x v="0"/>
    <x v="0"/>
    <x v="0"/>
    <x v="742"/>
    <x v="0"/>
    <x v="1"/>
    <x v="0"/>
    <x v="5"/>
    <x v="3"/>
    <n v="0.37"/>
    <x v="16"/>
    <n v="4"/>
    <n v="79"/>
    <n v="83"/>
  </r>
  <r>
    <n v="273"/>
    <d v="2011-01-12T00:00:00"/>
    <x v="0"/>
    <x v="0"/>
    <x v="0"/>
    <x v="743"/>
    <x v="0"/>
    <x v="6"/>
    <x v="0"/>
    <x v="5"/>
    <x v="4"/>
    <n v="0.47"/>
    <x v="11"/>
    <n v="1"/>
    <n v="82"/>
    <n v="83"/>
  </r>
  <r>
    <n v="291"/>
    <d v="2011-01-13T00:00:00"/>
    <x v="0"/>
    <x v="0"/>
    <x v="0"/>
    <x v="744"/>
    <x v="0"/>
    <x v="4"/>
    <x v="0"/>
    <x v="10"/>
    <x v="5"/>
    <n v="0.41"/>
    <x v="16"/>
    <n v="2"/>
    <n v="81"/>
    <n v="83"/>
  </r>
  <r>
    <n v="342"/>
    <d v="2011-01-15T00:00:00"/>
    <x v="0"/>
    <x v="0"/>
    <x v="0"/>
    <x v="745"/>
    <x v="0"/>
    <x v="0"/>
    <x v="1"/>
    <x v="18"/>
    <x v="23"/>
    <n v="0.36"/>
    <x v="7"/>
    <n v="29"/>
    <n v="54"/>
    <n v="83"/>
  </r>
  <r>
    <n v="405"/>
    <d v="2011-01-18T00:00:00"/>
    <x v="0"/>
    <x v="0"/>
    <x v="0"/>
    <x v="746"/>
    <x v="0"/>
    <x v="3"/>
    <x v="1"/>
    <x v="10"/>
    <x v="16"/>
    <n v="0.87"/>
    <x v="0"/>
    <n v="0"/>
    <n v="83"/>
    <n v="83"/>
  </r>
  <r>
    <n v="495"/>
    <d v="2011-01-22T00:00:00"/>
    <x v="0"/>
    <x v="0"/>
    <x v="0"/>
    <x v="747"/>
    <x v="0"/>
    <x v="0"/>
    <x v="0"/>
    <x v="8"/>
    <x v="3"/>
    <n v="0.28000000000000003"/>
    <x v="2"/>
    <n v="11"/>
    <n v="72"/>
    <n v="83"/>
  </r>
  <r>
    <n v="800"/>
    <d v="2011-02-05T00:00:00"/>
    <x v="0"/>
    <x v="0"/>
    <x v="1"/>
    <x v="748"/>
    <x v="0"/>
    <x v="0"/>
    <x v="1"/>
    <x v="13"/>
    <x v="19"/>
    <n v="0.93"/>
    <x v="16"/>
    <n v="2"/>
    <n v="81"/>
    <n v="83"/>
  </r>
  <r>
    <n v="870"/>
    <d v="2011-02-08T00:00:00"/>
    <x v="0"/>
    <x v="0"/>
    <x v="1"/>
    <x v="749"/>
    <x v="0"/>
    <x v="3"/>
    <x v="0"/>
    <x v="10"/>
    <x v="15"/>
    <n v="0.35"/>
    <x v="14"/>
    <n v="4"/>
    <n v="79"/>
    <n v="83"/>
  </r>
  <r>
    <n v="898"/>
    <d v="2011-02-09T00:00:00"/>
    <x v="0"/>
    <x v="0"/>
    <x v="1"/>
    <x v="750"/>
    <x v="0"/>
    <x v="6"/>
    <x v="1"/>
    <x v="3"/>
    <x v="4"/>
    <n v="0.86"/>
    <x v="6"/>
    <n v="0"/>
    <n v="83"/>
    <n v="83"/>
  </r>
  <r>
    <n v="13"/>
    <d v="2011-01-01T00:00:00"/>
    <x v="0"/>
    <x v="0"/>
    <x v="0"/>
    <x v="751"/>
    <x v="0"/>
    <x v="0"/>
    <x v="0"/>
    <x v="14"/>
    <x v="17"/>
    <n v="0.77"/>
    <x v="7"/>
    <n v="29"/>
    <n v="55"/>
    <n v="84"/>
  </r>
  <r>
    <n v="127"/>
    <d v="2011-01-06T00:00:00"/>
    <x v="0"/>
    <x v="0"/>
    <x v="0"/>
    <x v="752"/>
    <x v="0"/>
    <x v="4"/>
    <x v="0"/>
    <x v="9"/>
    <x v="0"/>
    <n v="0.35"/>
    <x v="0"/>
    <n v="6"/>
    <n v="78"/>
    <n v="84"/>
  </r>
  <r>
    <n v="145"/>
    <d v="2011-01-07T00:00:00"/>
    <x v="0"/>
    <x v="0"/>
    <x v="0"/>
    <x v="753"/>
    <x v="0"/>
    <x v="5"/>
    <x v="0"/>
    <x v="4"/>
    <x v="6"/>
    <n v="0.69"/>
    <x v="4"/>
    <n v="8"/>
    <n v="76"/>
    <n v="84"/>
  </r>
  <r>
    <n v="343"/>
    <d v="2011-01-15T00:00:00"/>
    <x v="0"/>
    <x v="0"/>
    <x v="0"/>
    <x v="754"/>
    <x v="0"/>
    <x v="0"/>
    <x v="1"/>
    <x v="22"/>
    <x v="0"/>
    <n v="0.45"/>
    <x v="10"/>
    <n v="15"/>
    <n v="69"/>
    <n v="84"/>
  </r>
  <r>
    <n v="444"/>
    <d v="2011-01-20T00:00:00"/>
    <x v="0"/>
    <x v="0"/>
    <x v="0"/>
    <x v="755"/>
    <x v="0"/>
    <x v="4"/>
    <x v="1"/>
    <x v="22"/>
    <x v="21"/>
    <n v="0.42"/>
    <x v="0"/>
    <n v="7"/>
    <n v="77"/>
    <n v="84"/>
  </r>
  <r>
    <n v="492"/>
    <d v="2011-01-22T00:00:00"/>
    <x v="0"/>
    <x v="0"/>
    <x v="0"/>
    <x v="756"/>
    <x v="0"/>
    <x v="0"/>
    <x v="0"/>
    <x v="6"/>
    <x v="14"/>
    <n v="0.35"/>
    <x v="0"/>
    <n v="12"/>
    <n v="72"/>
    <n v="84"/>
  </r>
  <r>
    <n v="532"/>
    <d v="2011-01-24T00:00:00"/>
    <x v="0"/>
    <x v="0"/>
    <x v="0"/>
    <x v="757"/>
    <x v="0"/>
    <x v="2"/>
    <x v="0"/>
    <x v="12"/>
    <x v="8"/>
    <n v="0.48"/>
    <x v="0"/>
    <n v="5"/>
    <n v="79"/>
    <n v="84"/>
  </r>
  <r>
    <n v="563"/>
    <d v="2011-01-25T00:00:00"/>
    <x v="0"/>
    <x v="0"/>
    <x v="0"/>
    <x v="758"/>
    <x v="0"/>
    <x v="3"/>
    <x v="1"/>
    <x v="18"/>
    <x v="27"/>
    <n v="0.42"/>
    <x v="0"/>
    <n v="21"/>
    <n v="63"/>
    <n v="84"/>
  </r>
  <r>
    <n v="589"/>
    <d v="2011-01-27T00:00:00"/>
    <x v="0"/>
    <x v="0"/>
    <x v="0"/>
    <x v="759"/>
    <x v="0"/>
    <x v="4"/>
    <x v="0"/>
    <x v="10"/>
    <x v="19"/>
    <n v="0.55000000000000004"/>
    <x v="8"/>
    <n v="2"/>
    <n v="82"/>
    <n v="84"/>
  </r>
  <r>
    <n v="654"/>
    <d v="2011-01-30T00:00:00"/>
    <x v="0"/>
    <x v="0"/>
    <x v="0"/>
    <x v="760"/>
    <x v="0"/>
    <x v="1"/>
    <x v="0"/>
    <x v="13"/>
    <x v="0"/>
    <n v="0.61"/>
    <x v="8"/>
    <n v="13"/>
    <n v="71"/>
    <n v="84"/>
  </r>
  <r>
    <n v="801"/>
    <d v="2011-02-05T00:00:00"/>
    <x v="0"/>
    <x v="0"/>
    <x v="1"/>
    <x v="761"/>
    <x v="0"/>
    <x v="0"/>
    <x v="1"/>
    <x v="13"/>
    <x v="19"/>
    <n v="0.93"/>
    <x v="16"/>
    <n v="6"/>
    <n v="78"/>
    <n v="84"/>
  </r>
  <r>
    <n v="897"/>
    <d v="2011-02-09T00:00:00"/>
    <x v="0"/>
    <x v="0"/>
    <x v="1"/>
    <x v="762"/>
    <x v="0"/>
    <x v="6"/>
    <x v="2"/>
    <x v="3"/>
    <x v="4"/>
    <n v="0.86"/>
    <x v="6"/>
    <n v="0"/>
    <n v="84"/>
    <n v="84"/>
  </r>
  <r>
    <n v="936"/>
    <d v="2011-02-11T00:00:00"/>
    <x v="0"/>
    <x v="0"/>
    <x v="1"/>
    <x v="763"/>
    <x v="0"/>
    <x v="5"/>
    <x v="0"/>
    <x v="22"/>
    <x v="0"/>
    <n v="0.26"/>
    <x v="10"/>
    <n v="17"/>
    <n v="67"/>
    <n v="84"/>
  </r>
  <r>
    <n v="956"/>
    <d v="2011-02-12T00:00:00"/>
    <x v="0"/>
    <x v="0"/>
    <x v="1"/>
    <x v="764"/>
    <x v="0"/>
    <x v="0"/>
    <x v="0"/>
    <x v="10"/>
    <x v="6"/>
    <n v="0.41"/>
    <x v="10"/>
    <n v="13"/>
    <n v="71"/>
    <n v="84"/>
  </r>
  <r>
    <n v="131"/>
    <d v="2011-01-06T00:00:00"/>
    <x v="0"/>
    <x v="0"/>
    <x v="0"/>
    <x v="765"/>
    <x v="0"/>
    <x v="4"/>
    <x v="0"/>
    <x v="9"/>
    <x v="1"/>
    <n v="0.38"/>
    <x v="6"/>
    <n v="12"/>
    <n v="74"/>
    <n v="86"/>
  </r>
  <r>
    <n v="387"/>
    <d v="2011-01-17T00:00:00"/>
    <x v="0"/>
    <x v="0"/>
    <x v="0"/>
    <x v="766"/>
    <x v="1"/>
    <x v="2"/>
    <x v="1"/>
    <x v="5"/>
    <x v="6"/>
    <n v="0.43"/>
    <x v="8"/>
    <n v="12"/>
    <n v="74"/>
    <n v="86"/>
  </r>
  <r>
    <n v="679"/>
    <d v="2011-01-31T00:00:00"/>
    <x v="0"/>
    <x v="0"/>
    <x v="0"/>
    <x v="767"/>
    <x v="0"/>
    <x v="2"/>
    <x v="1"/>
    <x v="5"/>
    <x v="5"/>
    <n v="0.55000000000000004"/>
    <x v="4"/>
    <n v="1"/>
    <n v="85"/>
    <n v="86"/>
  </r>
  <r>
    <n v="681"/>
    <d v="2011-01-31T00:00:00"/>
    <x v="0"/>
    <x v="0"/>
    <x v="0"/>
    <x v="768"/>
    <x v="0"/>
    <x v="2"/>
    <x v="1"/>
    <x v="2"/>
    <x v="15"/>
    <n v="0.56000000000000005"/>
    <x v="2"/>
    <n v="3"/>
    <n v="83"/>
    <n v="86"/>
  </r>
  <r>
    <n v="770"/>
    <d v="2011-02-04T00:00:00"/>
    <x v="0"/>
    <x v="0"/>
    <x v="1"/>
    <x v="769"/>
    <x v="0"/>
    <x v="5"/>
    <x v="1"/>
    <x v="0"/>
    <x v="19"/>
    <n v="0.48"/>
    <x v="6"/>
    <n v="8"/>
    <n v="78"/>
    <n v="86"/>
  </r>
  <r>
    <n v="154"/>
    <d v="2011-01-07T00:00:00"/>
    <x v="0"/>
    <x v="0"/>
    <x v="0"/>
    <x v="770"/>
    <x v="0"/>
    <x v="5"/>
    <x v="1"/>
    <x v="4"/>
    <x v="6"/>
    <n v="0.37"/>
    <x v="6"/>
    <n v="5"/>
    <n v="82"/>
    <n v="87"/>
  </r>
  <r>
    <n v="515"/>
    <d v="2011-01-23T00:00:00"/>
    <x v="0"/>
    <x v="0"/>
    <x v="0"/>
    <x v="771"/>
    <x v="0"/>
    <x v="1"/>
    <x v="0"/>
    <x v="3"/>
    <x v="20"/>
    <n v="0.33"/>
    <x v="3"/>
    <n v="12"/>
    <n v="75"/>
    <n v="87"/>
  </r>
  <r>
    <n v="742"/>
    <d v="2011-02-03T00:00:00"/>
    <x v="0"/>
    <x v="0"/>
    <x v="1"/>
    <x v="772"/>
    <x v="0"/>
    <x v="4"/>
    <x v="0"/>
    <x v="3"/>
    <x v="8"/>
    <n v="0.5"/>
    <x v="13"/>
    <n v="1"/>
    <n v="86"/>
    <n v="87"/>
  </r>
  <r>
    <n v="765"/>
    <d v="2011-02-04T00:00:00"/>
    <x v="0"/>
    <x v="0"/>
    <x v="1"/>
    <x v="773"/>
    <x v="0"/>
    <x v="5"/>
    <x v="0"/>
    <x v="3"/>
    <x v="6"/>
    <n v="0.59"/>
    <x v="0"/>
    <n v="0"/>
    <n v="87"/>
    <n v="87"/>
  </r>
  <r>
    <n v="55"/>
    <d v="2011-01-03T00:00:00"/>
    <x v="0"/>
    <x v="0"/>
    <x v="0"/>
    <x v="774"/>
    <x v="0"/>
    <x v="2"/>
    <x v="0"/>
    <x v="2"/>
    <x v="3"/>
    <n v="0.43"/>
    <x v="3"/>
    <n v="7"/>
    <n v="81"/>
    <n v="88"/>
  </r>
  <r>
    <n v="99"/>
    <d v="2011-01-05T00:00:00"/>
    <x v="0"/>
    <x v="0"/>
    <x v="0"/>
    <x v="775"/>
    <x v="0"/>
    <x v="6"/>
    <x v="0"/>
    <x v="5"/>
    <x v="15"/>
    <n v="0.43"/>
    <x v="2"/>
    <n v="1"/>
    <n v="87"/>
    <n v="88"/>
  </r>
  <r>
    <n v="850"/>
    <d v="2011-02-07T00:00:00"/>
    <x v="0"/>
    <x v="0"/>
    <x v="1"/>
    <x v="776"/>
    <x v="0"/>
    <x v="2"/>
    <x v="1"/>
    <x v="18"/>
    <x v="21"/>
    <n v="0.7"/>
    <x v="8"/>
    <n v="6"/>
    <n v="82"/>
    <n v="88"/>
  </r>
  <r>
    <n v="896"/>
    <d v="2011-02-09T00:00:00"/>
    <x v="0"/>
    <x v="0"/>
    <x v="1"/>
    <x v="777"/>
    <x v="0"/>
    <x v="6"/>
    <x v="2"/>
    <x v="3"/>
    <x v="8"/>
    <n v="0.86"/>
    <x v="10"/>
    <n v="1"/>
    <n v="87"/>
    <n v="88"/>
  </r>
  <r>
    <n v="108"/>
    <d v="2011-01-05T00:00:00"/>
    <x v="0"/>
    <x v="0"/>
    <x v="0"/>
    <x v="778"/>
    <x v="0"/>
    <x v="6"/>
    <x v="0"/>
    <x v="22"/>
    <x v="22"/>
    <n v="0.28000000000000003"/>
    <x v="1"/>
    <n v="4"/>
    <n v="85"/>
    <n v="89"/>
  </r>
  <r>
    <n v="112"/>
    <d v="2011-01-05T00:00:00"/>
    <x v="0"/>
    <x v="0"/>
    <x v="0"/>
    <x v="779"/>
    <x v="0"/>
    <x v="6"/>
    <x v="0"/>
    <x v="10"/>
    <x v="9"/>
    <n v="0.47"/>
    <x v="6"/>
    <n v="7"/>
    <n v="82"/>
    <n v="89"/>
  </r>
  <r>
    <n v="337"/>
    <d v="2011-01-15T00:00:00"/>
    <x v="0"/>
    <x v="0"/>
    <x v="0"/>
    <x v="780"/>
    <x v="0"/>
    <x v="0"/>
    <x v="0"/>
    <x v="0"/>
    <x v="9"/>
    <n v="0.48"/>
    <x v="5"/>
    <n v="15"/>
    <n v="74"/>
    <n v="89"/>
  </r>
  <r>
    <n v="614"/>
    <d v="2011-01-28T00:00:00"/>
    <x v="0"/>
    <x v="0"/>
    <x v="0"/>
    <x v="781"/>
    <x v="0"/>
    <x v="5"/>
    <x v="1"/>
    <x v="0"/>
    <x v="19"/>
    <n v="0.75"/>
    <x v="4"/>
    <n v="5"/>
    <n v="84"/>
    <n v="89"/>
  </r>
  <r>
    <n v="816"/>
    <d v="2011-02-06T00:00:00"/>
    <x v="0"/>
    <x v="0"/>
    <x v="1"/>
    <x v="782"/>
    <x v="0"/>
    <x v="1"/>
    <x v="0"/>
    <x v="22"/>
    <x v="0"/>
    <n v="0.52"/>
    <x v="10"/>
    <n v="15"/>
    <n v="74"/>
    <n v="89"/>
  </r>
  <r>
    <n v="317"/>
    <d v="2011-01-14T00:00:00"/>
    <x v="0"/>
    <x v="0"/>
    <x v="0"/>
    <x v="783"/>
    <x v="0"/>
    <x v="5"/>
    <x v="0"/>
    <x v="10"/>
    <x v="19"/>
    <n v="0.41"/>
    <x v="8"/>
    <n v="3"/>
    <n v="87"/>
    <n v="90"/>
  </r>
  <r>
    <n v="415"/>
    <d v="2011-01-19T00:00:00"/>
    <x v="0"/>
    <x v="0"/>
    <x v="0"/>
    <x v="784"/>
    <x v="0"/>
    <x v="6"/>
    <x v="1"/>
    <x v="0"/>
    <x v="1"/>
    <n v="0.92"/>
    <x v="8"/>
    <n v="1"/>
    <n v="89"/>
    <n v="90"/>
  </r>
  <r>
    <n v="773"/>
    <d v="2011-02-04T00:00:00"/>
    <x v="0"/>
    <x v="0"/>
    <x v="1"/>
    <x v="785"/>
    <x v="0"/>
    <x v="5"/>
    <x v="1"/>
    <x v="13"/>
    <x v="16"/>
    <n v="0.48"/>
    <x v="10"/>
    <n v="9"/>
    <n v="81"/>
    <n v="90"/>
  </r>
  <r>
    <n v="363"/>
    <d v="2011-01-16T00:00:00"/>
    <x v="0"/>
    <x v="0"/>
    <x v="0"/>
    <x v="786"/>
    <x v="0"/>
    <x v="1"/>
    <x v="0"/>
    <x v="13"/>
    <x v="16"/>
    <n v="0.36"/>
    <x v="10"/>
    <n v="22"/>
    <n v="69"/>
    <n v="91"/>
  </r>
  <r>
    <n v="448"/>
    <d v="2011-01-20T00:00:00"/>
    <x v="0"/>
    <x v="0"/>
    <x v="0"/>
    <x v="787"/>
    <x v="0"/>
    <x v="4"/>
    <x v="1"/>
    <x v="22"/>
    <x v="23"/>
    <n v="0.49"/>
    <x v="4"/>
    <n v="8"/>
    <n v="83"/>
    <n v="91"/>
  </r>
  <r>
    <n v="635"/>
    <d v="2011-01-29T00:00:00"/>
    <x v="0"/>
    <x v="0"/>
    <x v="0"/>
    <x v="788"/>
    <x v="0"/>
    <x v="0"/>
    <x v="0"/>
    <x v="0"/>
    <x v="0"/>
    <n v="0.6"/>
    <x v="0"/>
    <n v="9"/>
    <n v="82"/>
    <n v="91"/>
  </r>
  <r>
    <n v="731"/>
    <d v="2011-02-02T00:00:00"/>
    <x v="0"/>
    <x v="0"/>
    <x v="1"/>
    <x v="789"/>
    <x v="0"/>
    <x v="6"/>
    <x v="0"/>
    <x v="13"/>
    <x v="19"/>
    <n v="0.45"/>
    <x v="19"/>
    <n v="3"/>
    <n v="88"/>
    <n v="91"/>
  </r>
  <r>
    <n v="772"/>
    <d v="2011-02-04T00:00:00"/>
    <x v="0"/>
    <x v="0"/>
    <x v="1"/>
    <x v="790"/>
    <x v="0"/>
    <x v="5"/>
    <x v="1"/>
    <x v="13"/>
    <x v="16"/>
    <n v="0.45"/>
    <x v="6"/>
    <n v="15"/>
    <n v="76"/>
    <n v="91"/>
  </r>
  <r>
    <n v="202"/>
    <d v="2011-01-09T00:00:00"/>
    <x v="0"/>
    <x v="0"/>
    <x v="0"/>
    <x v="791"/>
    <x v="0"/>
    <x v="1"/>
    <x v="0"/>
    <x v="4"/>
    <x v="14"/>
    <n v="0.34"/>
    <x v="16"/>
    <n v="13"/>
    <n v="79"/>
    <n v="92"/>
  </r>
  <r>
    <n v="320"/>
    <d v="2011-01-14T00:00:00"/>
    <x v="0"/>
    <x v="0"/>
    <x v="0"/>
    <x v="792"/>
    <x v="0"/>
    <x v="5"/>
    <x v="0"/>
    <x v="2"/>
    <x v="5"/>
    <n v="0.59"/>
    <x v="1"/>
    <n v="3"/>
    <n v="89"/>
    <n v="92"/>
  </r>
  <r>
    <n v="391"/>
    <d v="2011-01-17T00:00:00"/>
    <x v="0"/>
    <x v="0"/>
    <x v="0"/>
    <x v="793"/>
    <x v="1"/>
    <x v="2"/>
    <x v="1"/>
    <x v="5"/>
    <x v="14"/>
    <n v="0.55000000000000004"/>
    <x v="10"/>
    <n v="7"/>
    <n v="85"/>
    <n v="92"/>
  </r>
  <r>
    <n v="17"/>
    <d v="2011-01-01T00:00:00"/>
    <x v="0"/>
    <x v="0"/>
    <x v="0"/>
    <x v="794"/>
    <x v="0"/>
    <x v="0"/>
    <x v="1"/>
    <x v="14"/>
    <x v="17"/>
    <n v="0.82"/>
    <x v="9"/>
    <n v="41"/>
    <n v="52"/>
    <n v="93"/>
  </r>
  <r>
    <n v="36"/>
    <d v="2011-01-02T00:00:00"/>
    <x v="0"/>
    <x v="0"/>
    <x v="0"/>
    <x v="795"/>
    <x v="0"/>
    <x v="1"/>
    <x v="1"/>
    <x v="16"/>
    <x v="21"/>
    <n v="0.66"/>
    <x v="9"/>
    <n v="20"/>
    <n v="73"/>
    <n v="93"/>
  </r>
  <r>
    <n v="360"/>
    <d v="2011-01-16T00:00:00"/>
    <x v="0"/>
    <x v="0"/>
    <x v="0"/>
    <x v="796"/>
    <x v="0"/>
    <x v="1"/>
    <x v="0"/>
    <x v="0"/>
    <x v="9"/>
    <n v="0.44"/>
    <x v="10"/>
    <n v="23"/>
    <n v="70"/>
    <n v="93"/>
  </r>
  <r>
    <n v="386"/>
    <d v="2011-01-17T00:00:00"/>
    <x v="0"/>
    <x v="0"/>
    <x v="0"/>
    <x v="797"/>
    <x v="1"/>
    <x v="2"/>
    <x v="1"/>
    <x v="5"/>
    <x v="5"/>
    <n v="0.47"/>
    <x v="4"/>
    <n v="13"/>
    <n v="80"/>
    <n v="93"/>
  </r>
  <r>
    <n v="388"/>
    <d v="2011-01-17T00:00:00"/>
    <x v="0"/>
    <x v="0"/>
    <x v="0"/>
    <x v="798"/>
    <x v="1"/>
    <x v="2"/>
    <x v="1"/>
    <x v="4"/>
    <x v="6"/>
    <n v="0.47"/>
    <x v="6"/>
    <n v="21"/>
    <n v="72"/>
    <n v="93"/>
  </r>
  <r>
    <n v="561"/>
    <d v="2011-01-25T00:00:00"/>
    <x v="0"/>
    <x v="0"/>
    <x v="0"/>
    <x v="799"/>
    <x v="0"/>
    <x v="3"/>
    <x v="1"/>
    <x v="9"/>
    <x v="16"/>
    <n v="0.56000000000000005"/>
    <x v="4"/>
    <n v="21"/>
    <n v="72"/>
    <n v="93"/>
  </r>
  <r>
    <n v="14"/>
    <d v="2011-01-01T00:00:00"/>
    <x v="0"/>
    <x v="0"/>
    <x v="0"/>
    <x v="800"/>
    <x v="0"/>
    <x v="0"/>
    <x v="1"/>
    <x v="19"/>
    <x v="25"/>
    <n v="0.72"/>
    <x v="9"/>
    <n v="47"/>
    <n v="47"/>
    <n v="94"/>
  </r>
  <r>
    <n v="76"/>
    <d v="2011-01-04T00:00:00"/>
    <x v="0"/>
    <x v="0"/>
    <x v="0"/>
    <x v="801"/>
    <x v="0"/>
    <x v="3"/>
    <x v="0"/>
    <x v="8"/>
    <x v="4"/>
    <n v="0.74"/>
    <x v="4"/>
    <n v="2"/>
    <n v="92"/>
    <n v="94"/>
  </r>
  <r>
    <n v="219"/>
    <d v="2011-01-10T00:00:00"/>
    <x v="0"/>
    <x v="0"/>
    <x v="0"/>
    <x v="802"/>
    <x v="0"/>
    <x v="2"/>
    <x v="1"/>
    <x v="3"/>
    <x v="8"/>
    <n v="0.5"/>
    <x v="10"/>
    <n v="2"/>
    <n v="92"/>
    <n v="94"/>
  </r>
  <r>
    <n v="122"/>
    <d v="2011-01-06T00:00:00"/>
    <x v="0"/>
    <x v="0"/>
    <x v="0"/>
    <x v="803"/>
    <x v="0"/>
    <x v="4"/>
    <x v="1"/>
    <x v="2"/>
    <x v="9"/>
    <n v="0.59"/>
    <x v="0"/>
    <n v="0"/>
    <n v="95"/>
    <n v="95"/>
  </r>
  <r>
    <n v="157"/>
    <d v="2011-01-07T00:00:00"/>
    <x v="0"/>
    <x v="0"/>
    <x v="0"/>
    <x v="804"/>
    <x v="0"/>
    <x v="5"/>
    <x v="0"/>
    <x v="2"/>
    <x v="5"/>
    <n v="0.55000000000000004"/>
    <x v="1"/>
    <n v="3"/>
    <n v="92"/>
    <n v="95"/>
  </r>
  <r>
    <n v="176"/>
    <d v="2011-01-08T00:00:00"/>
    <x v="0"/>
    <x v="0"/>
    <x v="0"/>
    <x v="805"/>
    <x v="0"/>
    <x v="0"/>
    <x v="0"/>
    <x v="4"/>
    <x v="14"/>
    <n v="0.32"/>
    <x v="19"/>
    <n v="12"/>
    <n v="83"/>
    <n v="95"/>
  </r>
  <r>
    <n v="229"/>
    <d v="2011-01-10T00:00:00"/>
    <x v="0"/>
    <x v="0"/>
    <x v="0"/>
    <x v="806"/>
    <x v="0"/>
    <x v="2"/>
    <x v="0"/>
    <x v="2"/>
    <x v="14"/>
    <n v="0.47"/>
    <x v="6"/>
    <n v="3"/>
    <n v="92"/>
    <n v="95"/>
  </r>
  <r>
    <n v="250"/>
    <d v="2011-01-11T00:00:00"/>
    <x v="0"/>
    <x v="0"/>
    <x v="0"/>
    <x v="807"/>
    <x v="0"/>
    <x v="3"/>
    <x v="2"/>
    <x v="2"/>
    <x v="15"/>
    <n v="0.93"/>
    <x v="8"/>
    <n v="1"/>
    <n v="94"/>
    <n v="95"/>
  </r>
  <r>
    <n v="837"/>
    <d v="2011-02-07T00:00:00"/>
    <x v="0"/>
    <x v="0"/>
    <x v="1"/>
    <x v="808"/>
    <x v="0"/>
    <x v="2"/>
    <x v="0"/>
    <x v="5"/>
    <x v="19"/>
    <n v="0.86"/>
    <x v="0"/>
    <n v="6"/>
    <n v="89"/>
    <n v="95"/>
  </r>
  <r>
    <n v="987"/>
    <d v="2011-02-13T00:00:00"/>
    <x v="0"/>
    <x v="0"/>
    <x v="1"/>
    <x v="809"/>
    <x v="0"/>
    <x v="1"/>
    <x v="0"/>
    <x v="1"/>
    <x v="2"/>
    <n v="0.32"/>
    <x v="9"/>
    <n v="17"/>
    <n v="78"/>
    <n v="95"/>
  </r>
  <r>
    <n v="475"/>
    <d v="2011-01-21T00:00:00"/>
    <x v="0"/>
    <x v="0"/>
    <x v="0"/>
    <x v="810"/>
    <x v="0"/>
    <x v="5"/>
    <x v="0"/>
    <x v="8"/>
    <x v="20"/>
    <n v="0.3"/>
    <x v="13"/>
    <n v="3"/>
    <n v="93"/>
    <n v="96"/>
  </r>
  <r>
    <n v="754"/>
    <d v="2011-02-03T00:00:00"/>
    <x v="0"/>
    <x v="0"/>
    <x v="1"/>
    <x v="811"/>
    <x v="0"/>
    <x v="4"/>
    <x v="0"/>
    <x v="4"/>
    <x v="1"/>
    <n v="0.4"/>
    <x v="0"/>
    <n v="4"/>
    <n v="92"/>
    <n v="96"/>
  </r>
  <r>
    <n v="82"/>
    <d v="2011-01-04T00:00:00"/>
    <x v="0"/>
    <x v="0"/>
    <x v="0"/>
    <x v="812"/>
    <x v="0"/>
    <x v="3"/>
    <x v="0"/>
    <x v="0"/>
    <x v="9"/>
    <n v="0.56000000000000005"/>
    <x v="2"/>
    <n v="18"/>
    <n v="79"/>
    <n v="97"/>
  </r>
  <r>
    <n v="472"/>
    <d v="2011-01-21T00:00:00"/>
    <x v="0"/>
    <x v="0"/>
    <x v="0"/>
    <x v="813"/>
    <x v="0"/>
    <x v="5"/>
    <x v="0"/>
    <x v="2"/>
    <x v="3"/>
    <n v="0.26"/>
    <x v="12"/>
    <n v="0"/>
    <n v="97"/>
    <n v="97"/>
  </r>
  <r>
    <n v="653"/>
    <d v="2011-01-30T00:00:00"/>
    <x v="0"/>
    <x v="0"/>
    <x v="0"/>
    <x v="814"/>
    <x v="0"/>
    <x v="1"/>
    <x v="0"/>
    <x v="22"/>
    <x v="22"/>
    <n v="0.52"/>
    <x v="8"/>
    <n v="10"/>
    <n v="87"/>
    <n v="97"/>
  </r>
  <r>
    <n v="920"/>
    <d v="2011-02-10T00:00:00"/>
    <x v="0"/>
    <x v="0"/>
    <x v="1"/>
    <x v="815"/>
    <x v="0"/>
    <x v="4"/>
    <x v="0"/>
    <x v="3"/>
    <x v="15"/>
    <n v="0.31"/>
    <x v="1"/>
    <n v="4"/>
    <n v="93"/>
    <n v="97"/>
  </r>
  <r>
    <n v="174"/>
    <d v="2011-01-08T00:00:00"/>
    <x v="0"/>
    <x v="0"/>
    <x v="0"/>
    <x v="816"/>
    <x v="0"/>
    <x v="0"/>
    <x v="1"/>
    <x v="4"/>
    <x v="15"/>
    <n v="0.59"/>
    <x v="12"/>
    <n v="8"/>
    <n v="90"/>
    <n v="98"/>
  </r>
  <r>
    <n v="445"/>
    <d v="2011-01-20T00:00:00"/>
    <x v="0"/>
    <x v="0"/>
    <x v="0"/>
    <x v="817"/>
    <x v="0"/>
    <x v="4"/>
    <x v="1"/>
    <x v="13"/>
    <x v="0"/>
    <n v="0.45"/>
    <x v="8"/>
    <n v="12"/>
    <n v="86"/>
    <n v="98"/>
  </r>
  <r>
    <n v="1000"/>
    <d v="2011-02-14T00:00:00"/>
    <x v="0"/>
    <x v="0"/>
    <x v="1"/>
    <x v="818"/>
    <x v="0"/>
    <x v="2"/>
    <x v="0"/>
    <x v="17"/>
    <x v="23"/>
    <n v="0.46"/>
    <x v="9"/>
    <n v="2"/>
    <n v="96"/>
    <n v="98"/>
  </r>
  <r>
    <n v="239"/>
    <d v="2011-01-11T00:00:00"/>
    <x v="0"/>
    <x v="0"/>
    <x v="0"/>
    <x v="819"/>
    <x v="0"/>
    <x v="3"/>
    <x v="1"/>
    <x v="2"/>
    <x v="9"/>
    <n v="0.55000000000000004"/>
    <x v="0"/>
    <n v="2"/>
    <n v="97"/>
    <n v="99"/>
  </r>
  <r>
    <n v="297"/>
    <d v="2011-01-13T00:00:00"/>
    <x v="0"/>
    <x v="0"/>
    <x v="0"/>
    <x v="820"/>
    <x v="0"/>
    <x v="4"/>
    <x v="0"/>
    <x v="2"/>
    <x v="4"/>
    <n v="0.47"/>
    <x v="10"/>
    <n v="1"/>
    <n v="98"/>
    <n v="99"/>
  </r>
  <r>
    <n v="365"/>
    <d v="2011-01-16T00:00:00"/>
    <x v="0"/>
    <x v="0"/>
    <x v="0"/>
    <x v="821"/>
    <x v="0"/>
    <x v="1"/>
    <x v="0"/>
    <x v="0"/>
    <x v="9"/>
    <n v="0.38"/>
    <x v="5"/>
    <n v="22"/>
    <n v="77"/>
    <n v="99"/>
  </r>
  <r>
    <n v="404"/>
    <d v="2011-01-18T00:00:00"/>
    <x v="0"/>
    <x v="0"/>
    <x v="0"/>
    <x v="822"/>
    <x v="0"/>
    <x v="3"/>
    <x v="1"/>
    <x v="10"/>
    <x v="9"/>
    <n v="0.8"/>
    <x v="4"/>
    <n v="1"/>
    <n v="98"/>
    <n v="99"/>
  </r>
  <r>
    <n v="513"/>
    <d v="2011-01-23T00:00:00"/>
    <x v="0"/>
    <x v="0"/>
    <x v="0"/>
    <x v="823"/>
    <x v="0"/>
    <x v="1"/>
    <x v="0"/>
    <x v="3"/>
    <x v="3"/>
    <n v="0.43"/>
    <x v="5"/>
    <n v="22"/>
    <n v="77"/>
    <n v="99"/>
  </r>
  <r>
    <n v="632"/>
    <d v="2011-01-29T00:00:00"/>
    <x v="0"/>
    <x v="0"/>
    <x v="0"/>
    <x v="824"/>
    <x v="0"/>
    <x v="0"/>
    <x v="1"/>
    <x v="10"/>
    <x v="9"/>
    <n v="0.6"/>
    <x v="4"/>
    <n v="10"/>
    <n v="89"/>
    <n v="99"/>
  </r>
  <r>
    <n v="774"/>
    <d v="2011-02-04T00:00:00"/>
    <x v="0"/>
    <x v="0"/>
    <x v="1"/>
    <x v="825"/>
    <x v="0"/>
    <x v="5"/>
    <x v="1"/>
    <x v="22"/>
    <x v="0"/>
    <n v="0.42"/>
    <x v="5"/>
    <n v="8"/>
    <n v="91"/>
    <n v="99"/>
  </r>
  <r>
    <n v="884"/>
    <d v="2011-02-09T00:00:00"/>
    <x v="0"/>
    <x v="0"/>
    <x v="1"/>
    <x v="826"/>
    <x v="0"/>
    <x v="6"/>
    <x v="0"/>
    <x v="15"/>
    <x v="20"/>
    <n v="0.49"/>
    <x v="8"/>
    <n v="4"/>
    <n v="95"/>
    <n v="99"/>
  </r>
  <r>
    <n v="907"/>
    <d v="2011-02-10T00:00:00"/>
    <x v="0"/>
    <x v="0"/>
    <x v="1"/>
    <x v="827"/>
    <x v="0"/>
    <x v="4"/>
    <x v="0"/>
    <x v="7"/>
    <x v="10"/>
    <n v="0.5"/>
    <x v="11"/>
    <n v="0"/>
    <n v="99"/>
    <n v="99"/>
  </r>
  <r>
    <n v="78"/>
    <d v="2011-01-04T00:00:00"/>
    <x v="0"/>
    <x v="0"/>
    <x v="0"/>
    <x v="828"/>
    <x v="0"/>
    <x v="3"/>
    <x v="0"/>
    <x v="2"/>
    <x v="4"/>
    <n v="0.64"/>
    <x v="5"/>
    <n v="2"/>
    <n v="98"/>
    <n v="100"/>
  </r>
  <r>
    <n v="861"/>
    <d v="2011-02-08T00:00:00"/>
    <x v="0"/>
    <x v="0"/>
    <x v="1"/>
    <x v="829"/>
    <x v="0"/>
    <x v="3"/>
    <x v="0"/>
    <x v="0"/>
    <x v="5"/>
    <n v="0.65"/>
    <x v="11"/>
    <n v="3"/>
    <n v="97"/>
    <n v="100"/>
  </r>
  <r>
    <n v="338"/>
    <d v="2011-01-15T00:00:00"/>
    <x v="0"/>
    <x v="0"/>
    <x v="0"/>
    <x v="830"/>
    <x v="0"/>
    <x v="0"/>
    <x v="0"/>
    <x v="13"/>
    <x v="1"/>
    <n v="0.38"/>
    <x v="9"/>
    <n v="21"/>
    <n v="80"/>
    <n v="101"/>
  </r>
  <r>
    <n v="439"/>
    <d v="2011-01-20T00:00:00"/>
    <x v="0"/>
    <x v="0"/>
    <x v="0"/>
    <x v="831"/>
    <x v="0"/>
    <x v="4"/>
    <x v="0"/>
    <x v="10"/>
    <x v="6"/>
    <n v="0.55000000000000004"/>
    <x v="5"/>
    <n v="1"/>
    <n v="100"/>
    <n v="101"/>
  </r>
  <r>
    <n v="604"/>
    <d v="2011-01-28T00:00:00"/>
    <x v="0"/>
    <x v="0"/>
    <x v="0"/>
    <x v="832"/>
    <x v="0"/>
    <x v="5"/>
    <x v="2"/>
    <x v="5"/>
    <x v="6"/>
    <n v="0.86"/>
    <x v="1"/>
    <n v="6"/>
    <n v="95"/>
    <n v="101"/>
  </r>
  <r>
    <n v="873"/>
    <d v="2011-02-08T00:00:00"/>
    <x v="0"/>
    <x v="0"/>
    <x v="1"/>
    <x v="833"/>
    <x v="0"/>
    <x v="3"/>
    <x v="0"/>
    <x v="2"/>
    <x v="8"/>
    <n v="0.4"/>
    <x v="15"/>
    <n v="1"/>
    <n v="100"/>
    <n v="101"/>
  </r>
  <r>
    <n v="941"/>
    <d v="2011-02-11T00:00:00"/>
    <x v="0"/>
    <x v="0"/>
    <x v="1"/>
    <x v="834"/>
    <x v="0"/>
    <x v="5"/>
    <x v="0"/>
    <x v="9"/>
    <x v="23"/>
    <n v="0.33"/>
    <x v="0"/>
    <n v="7"/>
    <n v="94"/>
    <n v="101"/>
  </r>
  <r>
    <n v="175"/>
    <d v="2011-01-08T00:00:00"/>
    <x v="0"/>
    <x v="0"/>
    <x v="0"/>
    <x v="835"/>
    <x v="0"/>
    <x v="0"/>
    <x v="0"/>
    <x v="4"/>
    <x v="15"/>
    <n v="0.44"/>
    <x v="13"/>
    <n v="7"/>
    <n v="95"/>
    <n v="102"/>
  </r>
  <r>
    <n v="534"/>
    <d v="2011-01-24T00:00:00"/>
    <x v="0"/>
    <x v="0"/>
    <x v="0"/>
    <x v="836"/>
    <x v="0"/>
    <x v="2"/>
    <x v="0"/>
    <x v="15"/>
    <x v="4"/>
    <n v="0.41"/>
    <x v="0"/>
    <n v="4"/>
    <n v="98"/>
    <n v="102"/>
  </r>
  <r>
    <n v="494"/>
    <d v="2011-01-22T00:00:00"/>
    <x v="0"/>
    <x v="0"/>
    <x v="0"/>
    <x v="837"/>
    <x v="0"/>
    <x v="0"/>
    <x v="0"/>
    <x v="8"/>
    <x v="4"/>
    <n v="0.28000000000000003"/>
    <x v="0"/>
    <n v="10"/>
    <n v="93"/>
    <n v="103"/>
  </r>
  <r>
    <n v="728"/>
    <d v="2011-02-02T00:00:00"/>
    <x v="0"/>
    <x v="0"/>
    <x v="1"/>
    <x v="838"/>
    <x v="0"/>
    <x v="6"/>
    <x v="0"/>
    <x v="16"/>
    <x v="21"/>
    <n v="0.71"/>
    <x v="9"/>
    <n v="8"/>
    <n v="95"/>
    <n v="103"/>
  </r>
  <r>
    <n v="777"/>
    <d v="2011-02-04T00:00:00"/>
    <x v="0"/>
    <x v="0"/>
    <x v="1"/>
    <x v="839"/>
    <x v="0"/>
    <x v="5"/>
    <x v="1"/>
    <x v="0"/>
    <x v="19"/>
    <n v="0.65"/>
    <x v="4"/>
    <n v="1"/>
    <n v="102"/>
    <n v="103"/>
  </r>
  <r>
    <n v="361"/>
    <d v="2011-01-16T00:00:00"/>
    <x v="0"/>
    <x v="0"/>
    <x v="0"/>
    <x v="840"/>
    <x v="0"/>
    <x v="1"/>
    <x v="0"/>
    <x v="0"/>
    <x v="6"/>
    <n v="0.41"/>
    <x v="7"/>
    <n v="29"/>
    <n v="75"/>
    <n v="104"/>
  </r>
  <r>
    <n v="424"/>
    <d v="2011-01-19T00:00:00"/>
    <x v="0"/>
    <x v="0"/>
    <x v="0"/>
    <x v="841"/>
    <x v="0"/>
    <x v="6"/>
    <x v="0"/>
    <x v="20"/>
    <x v="26"/>
    <n v="0.57999999999999996"/>
    <x v="3"/>
    <n v="10"/>
    <n v="94"/>
    <n v="104"/>
  </r>
  <r>
    <n v="590"/>
    <d v="2011-01-27T00:00:00"/>
    <x v="0"/>
    <x v="0"/>
    <x v="0"/>
    <x v="842"/>
    <x v="0"/>
    <x v="4"/>
    <x v="0"/>
    <x v="4"/>
    <x v="9"/>
    <n v="0.69"/>
    <x v="1"/>
    <n v="3"/>
    <n v="101"/>
    <n v="104"/>
  </r>
  <r>
    <n v="366"/>
    <d v="2011-01-16T00:00:00"/>
    <x v="0"/>
    <x v="0"/>
    <x v="0"/>
    <x v="843"/>
    <x v="0"/>
    <x v="1"/>
    <x v="0"/>
    <x v="10"/>
    <x v="6"/>
    <n v="0.37"/>
    <x v="10"/>
    <n v="23"/>
    <n v="82"/>
    <n v="105"/>
  </r>
  <r>
    <n v="979"/>
    <d v="2011-02-13T00:00:00"/>
    <x v="0"/>
    <x v="0"/>
    <x v="1"/>
    <x v="844"/>
    <x v="0"/>
    <x v="1"/>
    <x v="0"/>
    <x v="22"/>
    <x v="16"/>
    <n v="0.45"/>
    <x v="13"/>
    <n v="19"/>
    <n v="86"/>
    <n v="105"/>
  </r>
  <r>
    <n v="15"/>
    <d v="2011-01-01T00:00:00"/>
    <x v="0"/>
    <x v="0"/>
    <x v="0"/>
    <x v="845"/>
    <x v="0"/>
    <x v="0"/>
    <x v="1"/>
    <x v="19"/>
    <x v="25"/>
    <n v="0.72"/>
    <x v="7"/>
    <n v="35"/>
    <n v="71"/>
    <n v="106"/>
  </r>
  <r>
    <n v="544"/>
    <d v="2011-01-24T00:00:00"/>
    <x v="0"/>
    <x v="0"/>
    <x v="0"/>
    <x v="846"/>
    <x v="0"/>
    <x v="2"/>
    <x v="0"/>
    <x v="3"/>
    <x v="4"/>
    <n v="0.54"/>
    <x v="6"/>
    <n v="5"/>
    <n v="101"/>
    <n v="106"/>
  </r>
  <r>
    <n v="560"/>
    <d v="2011-01-25T00:00:00"/>
    <x v="0"/>
    <x v="0"/>
    <x v="0"/>
    <x v="847"/>
    <x v="0"/>
    <x v="3"/>
    <x v="1"/>
    <x v="9"/>
    <x v="0"/>
    <n v="0.56000000000000005"/>
    <x v="1"/>
    <n v="21"/>
    <n v="85"/>
    <n v="106"/>
  </r>
  <r>
    <n v="634"/>
    <d v="2011-01-29T00:00:00"/>
    <x v="0"/>
    <x v="0"/>
    <x v="0"/>
    <x v="848"/>
    <x v="0"/>
    <x v="0"/>
    <x v="0"/>
    <x v="0"/>
    <x v="19"/>
    <n v="0.6"/>
    <x v="6"/>
    <n v="19"/>
    <n v="88"/>
    <n v="107"/>
  </r>
  <r>
    <n v="555"/>
    <d v="2011-01-25T00:00:00"/>
    <x v="0"/>
    <x v="0"/>
    <x v="0"/>
    <x v="849"/>
    <x v="0"/>
    <x v="3"/>
    <x v="0"/>
    <x v="2"/>
    <x v="4"/>
    <n v="0.74"/>
    <x v="5"/>
    <n v="5"/>
    <n v="103"/>
    <n v="108"/>
  </r>
  <r>
    <n v="707"/>
    <d v="2011-02-01T00:00:00"/>
    <x v="0"/>
    <x v="0"/>
    <x v="1"/>
    <x v="850"/>
    <x v="0"/>
    <x v="3"/>
    <x v="1"/>
    <x v="0"/>
    <x v="19"/>
    <n v="0.81"/>
    <x v="4"/>
    <n v="3"/>
    <n v="105"/>
    <n v="108"/>
  </r>
  <r>
    <n v="417"/>
    <d v="2011-01-19T00:00:00"/>
    <x v="0"/>
    <x v="0"/>
    <x v="0"/>
    <x v="851"/>
    <x v="0"/>
    <x v="6"/>
    <x v="1"/>
    <x v="0"/>
    <x v="1"/>
    <n v="0.93"/>
    <x v="8"/>
    <n v="2"/>
    <n v="107"/>
    <n v="109"/>
  </r>
  <r>
    <n v="613"/>
    <d v="2011-01-28T00:00:00"/>
    <x v="0"/>
    <x v="0"/>
    <x v="0"/>
    <x v="852"/>
    <x v="0"/>
    <x v="5"/>
    <x v="0"/>
    <x v="0"/>
    <x v="9"/>
    <n v="0.75"/>
    <x v="2"/>
    <n v="2"/>
    <n v="107"/>
    <n v="109"/>
  </r>
  <r>
    <n v="656"/>
    <d v="2011-01-30T00:00:00"/>
    <x v="0"/>
    <x v="0"/>
    <x v="0"/>
    <x v="853"/>
    <x v="0"/>
    <x v="1"/>
    <x v="0"/>
    <x v="22"/>
    <x v="21"/>
    <n v="0.56000000000000005"/>
    <x v="0"/>
    <n v="14"/>
    <n v="95"/>
    <n v="109"/>
  </r>
  <r>
    <n v="755"/>
    <d v="2011-02-03T00:00:00"/>
    <x v="0"/>
    <x v="0"/>
    <x v="1"/>
    <x v="854"/>
    <x v="0"/>
    <x v="4"/>
    <x v="0"/>
    <x v="4"/>
    <x v="9"/>
    <n v="0.47"/>
    <x v="1"/>
    <n v="1"/>
    <n v="108"/>
    <n v="109"/>
  </r>
  <r>
    <n v="16"/>
    <d v="2011-01-01T00:00:00"/>
    <x v="0"/>
    <x v="0"/>
    <x v="0"/>
    <x v="855"/>
    <x v="0"/>
    <x v="0"/>
    <x v="1"/>
    <x v="21"/>
    <x v="28"/>
    <n v="0.77"/>
    <x v="9"/>
    <n v="40"/>
    <n v="70"/>
    <n v="110"/>
  </r>
  <r>
    <n v="65"/>
    <d v="2011-01-03T00:00:00"/>
    <x v="0"/>
    <x v="0"/>
    <x v="0"/>
    <x v="856"/>
    <x v="0"/>
    <x v="2"/>
    <x v="0"/>
    <x v="4"/>
    <x v="1"/>
    <n v="0.47"/>
    <x v="0"/>
    <n v="8"/>
    <n v="102"/>
    <n v="110"/>
  </r>
  <r>
    <n v="516"/>
    <d v="2011-01-23T00:00:00"/>
    <x v="0"/>
    <x v="0"/>
    <x v="0"/>
    <x v="857"/>
    <x v="0"/>
    <x v="1"/>
    <x v="0"/>
    <x v="2"/>
    <x v="3"/>
    <n v="0.28000000000000003"/>
    <x v="12"/>
    <n v="17"/>
    <n v="93"/>
    <n v="110"/>
  </r>
  <r>
    <n v="935"/>
    <d v="2011-02-11T00:00:00"/>
    <x v="0"/>
    <x v="0"/>
    <x v="1"/>
    <x v="858"/>
    <x v="0"/>
    <x v="5"/>
    <x v="0"/>
    <x v="0"/>
    <x v="9"/>
    <n v="0.35"/>
    <x v="2"/>
    <n v="21"/>
    <n v="89"/>
    <n v="110"/>
  </r>
  <r>
    <n v="684"/>
    <d v="2011-01-31T00:00:00"/>
    <x v="0"/>
    <x v="0"/>
    <x v="0"/>
    <x v="859"/>
    <x v="0"/>
    <x v="2"/>
    <x v="0"/>
    <x v="22"/>
    <x v="22"/>
    <n v="0.61"/>
    <x v="8"/>
    <n v="3"/>
    <n v="108"/>
    <n v="111"/>
  </r>
  <r>
    <n v="88"/>
    <d v="2011-01-04T00:00:00"/>
    <x v="0"/>
    <x v="0"/>
    <x v="0"/>
    <x v="860"/>
    <x v="0"/>
    <x v="3"/>
    <x v="0"/>
    <x v="0"/>
    <x v="1"/>
    <n v="0.48"/>
    <x v="8"/>
    <n v="2"/>
    <n v="110"/>
    <n v="112"/>
  </r>
  <r>
    <n v="134"/>
    <d v="2011-01-06T00:00:00"/>
    <x v="0"/>
    <x v="0"/>
    <x v="0"/>
    <x v="861"/>
    <x v="0"/>
    <x v="4"/>
    <x v="0"/>
    <x v="10"/>
    <x v="1"/>
    <n v="0.55000000000000004"/>
    <x v="1"/>
    <n v="3"/>
    <n v="109"/>
    <n v="112"/>
  </r>
  <r>
    <n v="427"/>
    <d v="2011-01-19T00:00:00"/>
    <x v="0"/>
    <x v="0"/>
    <x v="0"/>
    <x v="862"/>
    <x v="0"/>
    <x v="6"/>
    <x v="0"/>
    <x v="18"/>
    <x v="0"/>
    <n v="0.56999999999999995"/>
    <x v="11"/>
    <n v="4"/>
    <n v="108"/>
    <n v="112"/>
  </r>
  <r>
    <n v="674"/>
    <d v="2011-01-31T00:00:00"/>
    <x v="0"/>
    <x v="0"/>
    <x v="0"/>
    <x v="863"/>
    <x v="0"/>
    <x v="2"/>
    <x v="1"/>
    <x v="2"/>
    <x v="3"/>
    <n v="0.59"/>
    <x v="9"/>
    <n v="0"/>
    <n v="112"/>
    <n v="112"/>
  </r>
  <r>
    <n v="919"/>
    <d v="2011-02-10T00:00:00"/>
    <x v="0"/>
    <x v="0"/>
    <x v="1"/>
    <x v="864"/>
    <x v="0"/>
    <x v="4"/>
    <x v="0"/>
    <x v="3"/>
    <x v="14"/>
    <n v="0.28000000000000003"/>
    <x v="8"/>
    <n v="2"/>
    <n v="110"/>
    <n v="112"/>
  </r>
  <r>
    <n v="980"/>
    <d v="2011-02-13T00:00:00"/>
    <x v="0"/>
    <x v="0"/>
    <x v="1"/>
    <x v="865"/>
    <x v="0"/>
    <x v="1"/>
    <x v="0"/>
    <x v="18"/>
    <x v="0"/>
    <n v="0.39"/>
    <x v="16"/>
    <n v="26"/>
    <n v="86"/>
    <n v="112"/>
  </r>
  <r>
    <n v="364"/>
    <d v="2011-01-16T00:00:00"/>
    <x v="0"/>
    <x v="0"/>
    <x v="0"/>
    <x v="866"/>
    <x v="0"/>
    <x v="1"/>
    <x v="0"/>
    <x v="9"/>
    <x v="19"/>
    <n v="0.38"/>
    <x v="10"/>
    <n v="35"/>
    <n v="78"/>
    <n v="113"/>
  </r>
  <r>
    <n v="846"/>
    <d v="2011-02-07T00:00:00"/>
    <x v="0"/>
    <x v="0"/>
    <x v="1"/>
    <x v="867"/>
    <x v="0"/>
    <x v="2"/>
    <x v="1"/>
    <x v="16"/>
    <x v="27"/>
    <n v="0.56999999999999995"/>
    <x v="4"/>
    <n v="16"/>
    <n v="98"/>
    <n v="114"/>
  </r>
  <r>
    <n v="957"/>
    <d v="2011-02-12T00:00:00"/>
    <x v="0"/>
    <x v="0"/>
    <x v="1"/>
    <x v="868"/>
    <x v="0"/>
    <x v="0"/>
    <x v="0"/>
    <x v="22"/>
    <x v="16"/>
    <n v="0.28000000000000003"/>
    <x v="13"/>
    <n v="30"/>
    <n v="84"/>
    <n v="114"/>
  </r>
  <r>
    <n v="101"/>
    <d v="2011-01-05T00:00:00"/>
    <x v="0"/>
    <x v="0"/>
    <x v="0"/>
    <x v="869"/>
    <x v="0"/>
    <x v="6"/>
    <x v="0"/>
    <x v="10"/>
    <x v="5"/>
    <n v="0.37"/>
    <x v="13"/>
    <n v="6"/>
    <n v="109"/>
    <n v="115"/>
  </r>
  <r>
    <n v="514"/>
    <d v="2011-01-23T00:00:00"/>
    <x v="0"/>
    <x v="0"/>
    <x v="0"/>
    <x v="870"/>
    <x v="0"/>
    <x v="1"/>
    <x v="0"/>
    <x v="2"/>
    <x v="8"/>
    <n v="0.37"/>
    <x v="15"/>
    <n v="24"/>
    <n v="92"/>
    <n v="116"/>
  </r>
  <r>
    <n v="564"/>
    <d v="2011-01-25T00:00:00"/>
    <x v="0"/>
    <x v="0"/>
    <x v="0"/>
    <x v="871"/>
    <x v="0"/>
    <x v="3"/>
    <x v="1"/>
    <x v="18"/>
    <x v="27"/>
    <n v="0.42"/>
    <x v="0"/>
    <n v="14"/>
    <n v="102"/>
    <n v="116"/>
  </r>
  <r>
    <n v="697"/>
    <d v="2011-02-01T00:00:00"/>
    <x v="0"/>
    <x v="0"/>
    <x v="1"/>
    <x v="872"/>
    <x v="0"/>
    <x v="3"/>
    <x v="1"/>
    <x v="2"/>
    <x v="9"/>
    <n v="0.93"/>
    <x v="0"/>
    <n v="2"/>
    <n v="114"/>
    <n v="116"/>
  </r>
  <r>
    <n v="310"/>
    <d v="2011-01-14T00:00:00"/>
    <x v="0"/>
    <x v="0"/>
    <x v="0"/>
    <x v="873"/>
    <x v="0"/>
    <x v="5"/>
    <x v="0"/>
    <x v="3"/>
    <x v="4"/>
    <n v="0.69"/>
    <x v="4"/>
    <n v="0"/>
    <n v="117"/>
    <n v="117"/>
  </r>
  <r>
    <n v="817"/>
    <d v="2011-02-06T00:00:00"/>
    <x v="0"/>
    <x v="0"/>
    <x v="1"/>
    <x v="874"/>
    <x v="0"/>
    <x v="1"/>
    <x v="0"/>
    <x v="18"/>
    <x v="23"/>
    <n v="0.49"/>
    <x v="10"/>
    <n v="28"/>
    <n v="89"/>
    <n v="117"/>
  </r>
  <r>
    <n v="339"/>
    <d v="2011-01-15T00:00:00"/>
    <x v="0"/>
    <x v="0"/>
    <x v="0"/>
    <x v="875"/>
    <x v="0"/>
    <x v="0"/>
    <x v="0"/>
    <x v="22"/>
    <x v="0"/>
    <n v="0.39"/>
    <x v="7"/>
    <n v="26"/>
    <n v="92"/>
    <n v="118"/>
  </r>
  <r>
    <n v="362"/>
    <d v="2011-01-16T00:00:00"/>
    <x v="0"/>
    <x v="0"/>
    <x v="0"/>
    <x v="876"/>
    <x v="0"/>
    <x v="1"/>
    <x v="0"/>
    <x v="9"/>
    <x v="9"/>
    <n v="0.35"/>
    <x v="9"/>
    <n v="23"/>
    <n v="95"/>
    <n v="118"/>
  </r>
  <r>
    <n v="839"/>
    <d v="2011-02-07T00:00:00"/>
    <x v="0"/>
    <x v="0"/>
    <x v="1"/>
    <x v="877"/>
    <x v="0"/>
    <x v="2"/>
    <x v="0"/>
    <x v="10"/>
    <x v="16"/>
    <n v="0.8"/>
    <x v="0"/>
    <n v="3"/>
    <n v="115"/>
    <n v="118"/>
  </r>
  <r>
    <n v="568"/>
    <d v="2011-01-25T00:00:00"/>
    <x v="0"/>
    <x v="0"/>
    <x v="0"/>
    <x v="878"/>
    <x v="0"/>
    <x v="3"/>
    <x v="0"/>
    <x v="0"/>
    <x v="9"/>
    <n v="0.65"/>
    <x v="2"/>
    <n v="16"/>
    <n v="103"/>
    <n v="119"/>
  </r>
  <r>
    <n v="474"/>
    <d v="2011-01-21T00:00:00"/>
    <x v="0"/>
    <x v="0"/>
    <x v="0"/>
    <x v="879"/>
    <x v="0"/>
    <x v="5"/>
    <x v="0"/>
    <x v="8"/>
    <x v="8"/>
    <n v="0.3"/>
    <x v="10"/>
    <n v="1"/>
    <n v="119"/>
    <n v="120"/>
  </r>
  <r>
    <n v="633"/>
    <d v="2011-01-29T00:00:00"/>
    <x v="0"/>
    <x v="0"/>
    <x v="0"/>
    <x v="880"/>
    <x v="0"/>
    <x v="0"/>
    <x v="0"/>
    <x v="10"/>
    <x v="6"/>
    <n v="0.69"/>
    <x v="10"/>
    <n v="22"/>
    <n v="98"/>
    <n v="120"/>
  </r>
  <r>
    <n v="958"/>
    <d v="2011-02-12T00:00:00"/>
    <x v="0"/>
    <x v="0"/>
    <x v="1"/>
    <x v="881"/>
    <x v="0"/>
    <x v="0"/>
    <x v="0"/>
    <x v="22"/>
    <x v="16"/>
    <n v="0.39"/>
    <x v="15"/>
    <n v="27"/>
    <n v="93"/>
    <n v="120"/>
  </r>
  <r>
    <n v="960"/>
    <d v="2011-02-12T00:00:00"/>
    <x v="0"/>
    <x v="0"/>
    <x v="1"/>
    <x v="882"/>
    <x v="0"/>
    <x v="0"/>
    <x v="0"/>
    <x v="17"/>
    <x v="22"/>
    <n v="0.31"/>
    <x v="7"/>
    <n v="30"/>
    <n v="90"/>
    <n v="120"/>
  </r>
  <r>
    <n v="823"/>
    <d v="2011-02-06T00:00:00"/>
    <x v="0"/>
    <x v="0"/>
    <x v="1"/>
    <x v="883"/>
    <x v="0"/>
    <x v="1"/>
    <x v="0"/>
    <x v="17"/>
    <x v="29"/>
    <n v="0.46"/>
    <x v="0"/>
    <n v="24"/>
    <n v="97"/>
    <n v="121"/>
  </r>
  <r>
    <n v="124"/>
    <d v="2011-01-06T00:00:00"/>
    <x v="0"/>
    <x v="0"/>
    <x v="0"/>
    <x v="884"/>
    <x v="0"/>
    <x v="4"/>
    <x v="1"/>
    <x v="5"/>
    <x v="19"/>
    <n v="0.51"/>
    <x v="0"/>
    <n v="6"/>
    <n v="116"/>
    <n v="122"/>
  </r>
  <r>
    <n v="655"/>
    <d v="2011-01-30T00:00:00"/>
    <x v="0"/>
    <x v="0"/>
    <x v="0"/>
    <x v="885"/>
    <x v="0"/>
    <x v="1"/>
    <x v="0"/>
    <x v="13"/>
    <x v="23"/>
    <n v="0.61"/>
    <x v="1"/>
    <n v="18"/>
    <n v="104"/>
    <n v="122"/>
  </r>
  <r>
    <n v="909"/>
    <d v="2011-02-10T00:00:00"/>
    <x v="0"/>
    <x v="0"/>
    <x v="1"/>
    <x v="886"/>
    <x v="0"/>
    <x v="4"/>
    <x v="0"/>
    <x v="8"/>
    <x v="20"/>
    <n v="0.42"/>
    <x v="12"/>
    <n v="1"/>
    <n v="121"/>
    <n v="122"/>
  </r>
  <r>
    <n v="156"/>
    <d v="2011-01-07T00:00:00"/>
    <x v="0"/>
    <x v="0"/>
    <x v="0"/>
    <x v="887"/>
    <x v="0"/>
    <x v="5"/>
    <x v="0"/>
    <x v="4"/>
    <x v="9"/>
    <n v="0.4"/>
    <x v="1"/>
    <n v="7"/>
    <n v="116"/>
    <n v="123"/>
  </r>
  <r>
    <n v="657"/>
    <d v="2011-01-30T00:00:00"/>
    <x v="0"/>
    <x v="0"/>
    <x v="0"/>
    <x v="888"/>
    <x v="0"/>
    <x v="1"/>
    <x v="0"/>
    <x v="22"/>
    <x v="21"/>
    <n v="0.56000000000000005"/>
    <x v="0"/>
    <n v="19"/>
    <n v="104"/>
    <n v="123"/>
  </r>
  <r>
    <n v="721"/>
    <d v="2011-02-02T00:00:00"/>
    <x v="0"/>
    <x v="0"/>
    <x v="1"/>
    <x v="889"/>
    <x v="0"/>
    <x v="6"/>
    <x v="1"/>
    <x v="0"/>
    <x v="1"/>
    <n v="0.93"/>
    <x v="1"/>
    <n v="4"/>
    <n v="119"/>
    <n v="123"/>
  </r>
  <r>
    <n v="886"/>
    <d v="2011-02-09T00:00:00"/>
    <x v="0"/>
    <x v="0"/>
    <x v="1"/>
    <x v="890"/>
    <x v="0"/>
    <x v="6"/>
    <x v="0"/>
    <x v="8"/>
    <x v="3"/>
    <n v="0.39"/>
    <x v="6"/>
    <n v="4"/>
    <n v="119"/>
    <n v="123"/>
  </r>
  <r>
    <n v="402"/>
    <d v="2011-01-18T00:00:00"/>
    <x v="0"/>
    <x v="0"/>
    <x v="0"/>
    <x v="891"/>
    <x v="0"/>
    <x v="3"/>
    <x v="1"/>
    <x v="10"/>
    <x v="9"/>
    <n v="0.82"/>
    <x v="2"/>
    <n v="1"/>
    <n v="124"/>
    <n v="125"/>
  </r>
  <r>
    <n v="938"/>
    <d v="2011-02-11T00:00:00"/>
    <x v="0"/>
    <x v="0"/>
    <x v="1"/>
    <x v="892"/>
    <x v="0"/>
    <x v="5"/>
    <x v="0"/>
    <x v="22"/>
    <x v="0"/>
    <n v="0.28000000000000003"/>
    <x v="2"/>
    <n v="14"/>
    <n v="111"/>
    <n v="125"/>
  </r>
  <r>
    <n v="986"/>
    <d v="2011-02-13T00:00:00"/>
    <x v="0"/>
    <x v="0"/>
    <x v="1"/>
    <x v="893"/>
    <x v="0"/>
    <x v="1"/>
    <x v="0"/>
    <x v="14"/>
    <x v="17"/>
    <n v="0.28000000000000003"/>
    <x v="13"/>
    <n v="30"/>
    <n v="95"/>
    <n v="125"/>
  </r>
  <r>
    <n v="452"/>
    <d v="2011-01-20T00:00:00"/>
    <x v="0"/>
    <x v="0"/>
    <x v="0"/>
    <x v="894"/>
    <x v="0"/>
    <x v="4"/>
    <x v="1"/>
    <x v="9"/>
    <x v="19"/>
    <n v="0.6"/>
    <x v="7"/>
    <n v="2"/>
    <n v="124"/>
    <n v="126"/>
  </r>
  <r>
    <n v="767"/>
    <d v="2011-02-04T00:00:00"/>
    <x v="0"/>
    <x v="0"/>
    <x v="1"/>
    <x v="895"/>
    <x v="0"/>
    <x v="5"/>
    <x v="1"/>
    <x v="2"/>
    <x v="15"/>
    <n v="0.8"/>
    <x v="4"/>
    <n v="3"/>
    <n v="124"/>
    <n v="127"/>
  </r>
  <r>
    <n v="262"/>
    <d v="2011-01-12T00:00:00"/>
    <x v="0"/>
    <x v="0"/>
    <x v="0"/>
    <x v="896"/>
    <x v="0"/>
    <x v="6"/>
    <x v="0"/>
    <x v="2"/>
    <x v="14"/>
    <n v="0.59"/>
    <x v="6"/>
    <n v="3"/>
    <n v="125"/>
    <n v="128"/>
  </r>
  <r>
    <n v="341"/>
    <d v="2011-01-15T00:00:00"/>
    <x v="0"/>
    <x v="0"/>
    <x v="0"/>
    <x v="897"/>
    <x v="0"/>
    <x v="0"/>
    <x v="1"/>
    <x v="17"/>
    <x v="21"/>
    <n v="0.34"/>
    <x v="2"/>
    <n v="33"/>
    <n v="95"/>
    <n v="128"/>
  </r>
  <r>
    <n v="849"/>
    <d v="2011-02-07T00:00:00"/>
    <x v="0"/>
    <x v="0"/>
    <x v="1"/>
    <x v="898"/>
    <x v="0"/>
    <x v="2"/>
    <x v="1"/>
    <x v="18"/>
    <x v="27"/>
    <n v="0.7"/>
    <x v="0"/>
    <n v="5"/>
    <n v="123"/>
    <n v="128"/>
  </r>
  <r>
    <n v="340"/>
    <d v="2011-01-15T00:00:00"/>
    <x v="0"/>
    <x v="0"/>
    <x v="0"/>
    <x v="899"/>
    <x v="0"/>
    <x v="0"/>
    <x v="1"/>
    <x v="18"/>
    <x v="22"/>
    <n v="0.36"/>
    <x v="2"/>
    <n v="21"/>
    <n v="108"/>
    <n v="129"/>
  </r>
  <r>
    <n v="241"/>
    <d v="2011-01-11T00:00:00"/>
    <x v="0"/>
    <x v="0"/>
    <x v="0"/>
    <x v="900"/>
    <x v="0"/>
    <x v="3"/>
    <x v="1"/>
    <x v="5"/>
    <x v="5"/>
    <n v="0.51"/>
    <x v="6"/>
    <n v="3"/>
    <n v="127"/>
    <n v="130"/>
  </r>
  <r>
    <n v="111"/>
    <d v="2011-01-05T00:00:00"/>
    <x v="0"/>
    <x v="0"/>
    <x v="0"/>
    <x v="901"/>
    <x v="0"/>
    <x v="6"/>
    <x v="0"/>
    <x v="0"/>
    <x v="1"/>
    <n v="0.38"/>
    <x v="8"/>
    <n v="5"/>
    <n v="127"/>
    <n v="132"/>
  </r>
  <r>
    <n v="403"/>
    <d v="2011-01-18T00:00:00"/>
    <x v="0"/>
    <x v="0"/>
    <x v="0"/>
    <x v="902"/>
    <x v="0"/>
    <x v="3"/>
    <x v="1"/>
    <x v="10"/>
    <x v="9"/>
    <n v="0.8"/>
    <x v="6"/>
    <n v="1"/>
    <n v="132"/>
    <n v="133"/>
  </r>
  <r>
    <n v="744"/>
    <d v="2011-02-03T00:00:00"/>
    <x v="0"/>
    <x v="0"/>
    <x v="1"/>
    <x v="903"/>
    <x v="0"/>
    <x v="4"/>
    <x v="0"/>
    <x v="2"/>
    <x v="3"/>
    <n v="0.47"/>
    <x v="9"/>
    <n v="6"/>
    <n v="127"/>
    <n v="133"/>
  </r>
  <r>
    <n v="147"/>
    <d v="2011-01-07T00:00:00"/>
    <x v="0"/>
    <x v="0"/>
    <x v="0"/>
    <x v="904"/>
    <x v="0"/>
    <x v="5"/>
    <x v="0"/>
    <x v="4"/>
    <x v="15"/>
    <n v="0.47"/>
    <x v="9"/>
    <n v="9"/>
    <n v="125"/>
    <n v="134"/>
  </r>
  <r>
    <n v="985"/>
    <d v="2011-02-13T00:00:00"/>
    <x v="0"/>
    <x v="0"/>
    <x v="1"/>
    <x v="905"/>
    <x v="0"/>
    <x v="1"/>
    <x v="1"/>
    <x v="14"/>
    <x v="17"/>
    <n v="0.28000000000000003"/>
    <x v="13"/>
    <n v="28"/>
    <n v="106"/>
    <n v="134"/>
  </r>
  <r>
    <n v="696"/>
    <d v="2011-02-01T00:00:00"/>
    <x v="0"/>
    <x v="0"/>
    <x v="1"/>
    <x v="906"/>
    <x v="0"/>
    <x v="3"/>
    <x v="2"/>
    <x v="2"/>
    <x v="9"/>
    <n v="0.93"/>
    <x v="0"/>
    <n v="3"/>
    <n v="132"/>
    <n v="135"/>
  </r>
  <r>
    <n v="863"/>
    <d v="2011-02-08T00:00:00"/>
    <x v="0"/>
    <x v="0"/>
    <x v="1"/>
    <x v="907"/>
    <x v="0"/>
    <x v="3"/>
    <x v="0"/>
    <x v="0"/>
    <x v="5"/>
    <n v="0.52"/>
    <x v="19"/>
    <n v="7"/>
    <n v="128"/>
    <n v="135"/>
  </r>
  <r>
    <n v="959"/>
    <d v="2011-02-12T00:00:00"/>
    <x v="0"/>
    <x v="0"/>
    <x v="1"/>
    <x v="908"/>
    <x v="0"/>
    <x v="0"/>
    <x v="0"/>
    <x v="22"/>
    <x v="16"/>
    <n v="0.39"/>
    <x v="11"/>
    <n v="32"/>
    <n v="103"/>
    <n v="135"/>
  </r>
  <r>
    <n v="249"/>
    <d v="2011-01-11T00:00:00"/>
    <x v="0"/>
    <x v="0"/>
    <x v="0"/>
    <x v="909"/>
    <x v="0"/>
    <x v="3"/>
    <x v="1"/>
    <x v="2"/>
    <x v="4"/>
    <n v="0.86"/>
    <x v="5"/>
    <n v="6"/>
    <n v="130"/>
    <n v="136"/>
  </r>
  <r>
    <n v="272"/>
    <d v="2011-01-12T00:00:00"/>
    <x v="0"/>
    <x v="0"/>
    <x v="0"/>
    <x v="910"/>
    <x v="0"/>
    <x v="6"/>
    <x v="0"/>
    <x v="4"/>
    <x v="4"/>
    <n v="0.47"/>
    <x v="14"/>
    <n v="2"/>
    <n v="135"/>
    <n v="137"/>
  </r>
  <r>
    <n v="963"/>
    <d v="2011-02-12T00:00:00"/>
    <x v="0"/>
    <x v="0"/>
    <x v="1"/>
    <x v="911"/>
    <x v="0"/>
    <x v="0"/>
    <x v="0"/>
    <x v="18"/>
    <x v="0"/>
    <n v="0.31"/>
    <x v="14"/>
    <n v="24"/>
    <n v="113"/>
    <n v="137"/>
  </r>
  <r>
    <n v="271"/>
    <d v="2011-01-12T00:00:00"/>
    <x v="0"/>
    <x v="0"/>
    <x v="0"/>
    <x v="912"/>
    <x v="0"/>
    <x v="6"/>
    <x v="0"/>
    <x v="4"/>
    <x v="15"/>
    <n v="0.47"/>
    <x v="12"/>
    <n v="0"/>
    <n v="139"/>
    <n v="139"/>
  </r>
  <r>
    <n v="287"/>
    <d v="2011-01-13T00:00:00"/>
    <x v="0"/>
    <x v="0"/>
    <x v="0"/>
    <x v="913"/>
    <x v="0"/>
    <x v="4"/>
    <x v="0"/>
    <x v="3"/>
    <x v="8"/>
    <n v="0.5"/>
    <x v="13"/>
    <n v="2"/>
    <n v="137"/>
    <n v="139"/>
  </r>
  <r>
    <n v="319"/>
    <d v="2011-01-14T00:00:00"/>
    <x v="0"/>
    <x v="0"/>
    <x v="0"/>
    <x v="914"/>
    <x v="0"/>
    <x v="5"/>
    <x v="0"/>
    <x v="4"/>
    <x v="1"/>
    <n v="0.47"/>
    <x v="0"/>
    <n v="5"/>
    <n v="134"/>
    <n v="139"/>
  </r>
  <r>
    <n v="931"/>
    <d v="2011-02-11T00:00:00"/>
    <x v="0"/>
    <x v="0"/>
    <x v="1"/>
    <x v="915"/>
    <x v="0"/>
    <x v="5"/>
    <x v="0"/>
    <x v="8"/>
    <x v="8"/>
    <n v="0.74"/>
    <x v="5"/>
    <n v="8"/>
    <n v="132"/>
    <n v="140"/>
  </r>
  <r>
    <n v="441"/>
    <d v="2011-01-20T00:00:00"/>
    <x v="0"/>
    <x v="0"/>
    <x v="0"/>
    <x v="916"/>
    <x v="0"/>
    <x v="4"/>
    <x v="1"/>
    <x v="0"/>
    <x v="9"/>
    <n v="0.52"/>
    <x v="5"/>
    <n v="3"/>
    <n v="140"/>
    <n v="143"/>
  </r>
  <r>
    <n v="296"/>
    <d v="2011-01-13T00:00:00"/>
    <x v="0"/>
    <x v="0"/>
    <x v="0"/>
    <x v="917"/>
    <x v="0"/>
    <x v="4"/>
    <x v="0"/>
    <x v="4"/>
    <x v="15"/>
    <n v="0.4"/>
    <x v="13"/>
    <n v="3"/>
    <n v="141"/>
    <n v="144"/>
  </r>
  <r>
    <n v="557"/>
    <d v="2011-01-25T00:00:00"/>
    <x v="0"/>
    <x v="0"/>
    <x v="0"/>
    <x v="918"/>
    <x v="0"/>
    <x v="3"/>
    <x v="1"/>
    <x v="4"/>
    <x v="9"/>
    <n v="0.64"/>
    <x v="1"/>
    <n v="10"/>
    <n v="134"/>
    <n v="144"/>
  </r>
  <r>
    <n v="962"/>
    <d v="2011-02-12T00:00:00"/>
    <x v="0"/>
    <x v="0"/>
    <x v="1"/>
    <x v="919"/>
    <x v="0"/>
    <x v="0"/>
    <x v="0"/>
    <x v="17"/>
    <x v="23"/>
    <n v="0.28999999999999998"/>
    <x v="11"/>
    <n v="42"/>
    <n v="103"/>
    <n v="145"/>
  </r>
  <r>
    <n v="567"/>
    <d v="2011-01-25T00:00:00"/>
    <x v="0"/>
    <x v="0"/>
    <x v="0"/>
    <x v="920"/>
    <x v="0"/>
    <x v="3"/>
    <x v="1"/>
    <x v="9"/>
    <x v="1"/>
    <n v="0.65"/>
    <x v="6"/>
    <n v="13"/>
    <n v="133"/>
    <n v="146"/>
  </r>
  <r>
    <n v="753"/>
    <d v="2011-02-03T00:00:00"/>
    <x v="0"/>
    <x v="0"/>
    <x v="1"/>
    <x v="921"/>
    <x v="0"/>
    <x v="4"/>
    <x v="0"/>
    <x v="4"/>
    <x v="6"/>
    <n v="0.4"/>
    <x v="6"/>
    <n v="2"/>
    <n v="145"/>
    <n v="147"/>
  </r>
  <r>
    <n v="612"/>
    <d v="2011-01-28T00:00:00"/>
    <x v="0"/>
    <x v="0"/>
    <x v="0"/>
    <x v="922"/>
    <x v="0"/>
    <x v="5"/>
    <x v="0"/>
    <x v="0"/>
    <x v="19"/>
    <n v="0.75"/>
    <x v="4"/>
    <n v="2"/>
    <n v="147"/>
    <n v="149"/>
  </r>
  <r>
    <n v="451"/>
    <d v="2011-01-20T00:00:00"/>
    <x v="0"/>
    <x v="0"/>
    <x v="0"/>
    <x v="923"/>
    <x v="0"/>
    <x v="4"/>
    <x v="0"/>
    <x v="9"/>
    <x v="9"/>
    <n v="0.56000000000000005"/>
    <x v="13"/>
    <n v="6"/>
    <n v="146"/>
    <n v="152"/>
  </r>
  <r>
    <n v="872"/>
    <d v="2011-02-08T00:00:00"/>
    <x v="0"/>
    <x v="0"/>
    <x v="1"/>
    <x v="924"/>
    <x v="0"/>
    <x v="3"/>
    <x v="0"/>
    <x v="4"/>
    <x v="15"/>
    <n v="0.32"/>
    <x v="3"/>
    <n v="1"/>
    <n v="151"/>
    <n v="152"/>
  </r>
  <r>
    <n v="981"/>
    <d v="2011-02-13T00:00:00"/>
    <x v="0"/>
    <x v="0"/>
    <x v="1"/>
    <x v="925"/>
    <x v="0"/>
    <x v="1"/>
    <x v="0"/>
    <x v="16"/>
    <x v="22"/>
    <n v="0.32"/>
    <x v="15"/>
    <n v="58"/>
    <n v="94"/>
    <n v="152"/>
  </r>
  <r>
    <n v="543"/>
    <d v="2011-01-24T00:00:00"/>
    <x v="0"/>
    <x v="0"/>
    <x v="0"/>
    <x v="926"/>
    <x v="0"/>
    <x v="2"/>
    <x v="0"/>
    <x v="3"/>
    <x v="3"/>
    <n v="0.59"/>
    <x v="2"/>
    <n v="8"/>
    <n v="145"/>
    <n v="153"/>
  </r>
  <r>
    <n v="54"/>
    <d v="2011-01-03T00:00:00"/>
    <x v="0"/>
    <x v="0"/>
    <x v="0"/>
    <x v="927"/>
    <x v="0"/>
    <x v="2"/>
    <x v="0"/>
    <x v="3"/>
    <x v="8"/>
    <n v="0.5"/>
    <x v="7"/>
    <n v="1"/>
    <n v="153"/>
    <n v="154"/>
  </r>
  <r>
    <n v="982"/>
    <d v="2011-02-13T00:00:00"/>
    <x v="0"/>
    <x v="0"/>
    <x v="1"/>
    <x v="928"/>
    <x v="0"/>
    <x v="1"/>
    <x v="0"/>
    <x v="20"/>
    <x v="26"/>
    <n v="0.28999999999999998"/>
    <x v="12"/>
    <n v="62"/>
    <n v="92"/>
    <n v="154"/>
  </r>
  <r>
    <n v="228"/>
    <d v="2011-01-10T00:00:00"/>
    <x v="0"/>
    <x v="0"/>
    <x v="0"/>
    <x v="929"/>
    <x v="0"/>
    <x v="2"/>
    <x v="0"/>
    <x v="4"/>
    <x v="5"/>
    <n v="0.4"/>
    <x v="5"/>
    <n v="1"/>
    <n v="154"/>
    <n v="155"/>
  </r>
  <r>
    <n v="720"/>
    <d v="2011-02-02T00:00:00"/>
    <x v="0"/>
    <x v="0"/>
    <x v="1"/>
    <x v="930"/>
    <x v="0"/>
    <x v="6"/>
    <x v="2"/>
    <x v="10"/>
    <x v="6"/>
    <n v="0.93"/>
    <x v="5"/>
    <n v="1"/>
    <n v="154"/>
    <n v="155"/>
  </r>
  <r>
    <n v="776"/>
    <d v="2011-02-04T00:00:00"/>
    <x v="0"/>
    <x v="0"/>
    <x v="1"/>
    <x v="931"/>
    <x v="0"/>
    <x v="5"/>
    <x v="1"/>
    <x v="0"/>
    <x v="1"/>
    <n v="0.6"/>
    <x v="8"/>
    <n v="3"/>
    <n v="152"/>
    <n v="155"/>
  </r>
  <r>
    <n v="683"/>
    <d v="2011-01-31T00:00:00"/>
    <x v="0"/>
    <x v="0"/>
    <x v="0"/>
    <x v="932"/>
    <x v="0"/>
    <x v="2"/>
    <x v="1"/>
    <x v="2"/>
    <x v="4"/>
    <n v="0.55000000000000004"/>
    <x v="5"/>
    <n v="3"/>
    <n v="153"/>
    <n v="156"/>
  </r>
  <r>
    <n v="63"/>
    <d v="2011-01-03T00:00:00"/>
    <x v="0"/>
    <x v="0"/>
    <x v="0"/>
    <x v="933"/>
    <x v="0"/>
    <x v="2"/>
    <x v="0"/>
    <x v="0"/>
    <x v="9"/>
    <n v="0.3"/>
    <x v="5"/>
    <n v="11"/>
    <n v="146"/>
    <n v="157"/>
  </r>
  <r>
    <n v="64"/>
    <d v="2011-01-03T00:00:00"/>
    <x v="0"/>
    <x v="0"/>
    <x v="0"/>
    <x v="934"/>
    <x v="0"/>
    <x v="2"/>
    <x v="0"/>
    <x v="0"/>
    <x v="1"/>
    <n v="0.32"/>
    <x v="8"/>
    <n v="9"/>
    <n v="148"/>
    <n v="157"/>
  </r>
  <r>
    <n v="603"/>
    <d v="2011-01-28T00:00:00"/>
    <x v="0"/>
    <x v="0"/>
    <x v="0"/>
    <x v="935"/>
    <x v="0"/>
    <x v="5"/>
    <x v="1"/>
    <x v="2"/>
    <x v="5"/>
    <n v="0.86"/>
    <x v="1"/>
    <n v="2"/>
    <n v="155"/>
    <n v="157"/>
  </r>
  <r>
    <n v="822"/>
    <d v="2011-02-06T00:00:00"/>
    <x v="0"/>
    <x v="0"/>
    <x v="1"/>
    <x v="936"/>
    <x v="0"/>
    <x v="1"/>
    <x v="0"/>
    <x v="17"/>
    <x v="27"/>
    <n v="0.49"/>
    <x v="8"/>
    <n v="42"/>
    <n v="115"/>
    <n v="157"/>
  </r>
  <r>
    <n v="309"/>
    <d v="2011-01-14T00:00:00"/>
    <x v="0"/>
    <x v="0"/>
    <x v="0"/>
    <x v="937"/>
    <x v="0"/>
    <x v="5"/>
    <x v="0"/>
    <x v="8"/>
    <x v="14"/>
    <n v="0.68"/>
    <x v="0"/>
    <n v="2"/>
    <n v="156"/>
    <n v="158"/>
  </r>
  <r>
    <n v="318"/>
    <d v="2011-01-14T00:00:00"/>
    <x v="0"/>
    <x v="0"/>
    <x v="0"/>
    <x v="938"/>
    <x v="0"/>
    <x v="5"/>
    <x v="0"/>
    <x v="10"/>
    <x v="9"/>
    <n v="0.41"/>
    <x v="6"/>
    <n v="4"/>
    <n v="155"/>
    <n v="159"/>
  </r>
  <r>
    <n v="918"/>
    <d v="2011-02-10T00:00:00"/>
    <x v="0"/>
    <x v="0"/>
    <x v="1"/>
    <x v="939"/>
    <x v="0"/>
    <x v="4"/>
    <x v="0"/>
    <x v="2"/>
    <x v="15"/>
    <n v="0.28000000000000003"/>
    <x v="4"/>
    <n v="3"/>
    <n v="157"/>
    <n v="160"/>
  </r>
  <r>
    <n v="426"/>
    <d v="2011-01-19T00:00:00"/>
    <x v="0"/>
    <x v="0"/>
    <x v="0"/>
    <x v="940"/>
    <x v="0"/>
    <x v="6"/>
    <x v="0"/>
    <x v="17"/>
    <x v="22"/>
    <n v="0.61"/>
    <x v="7"/>
    <n v="5"/>
    <n v="156"/>
    <n v="161"/>
  </r>
  <r>
    <n v="473"/>
    <d v="2011-01-21T00:00:00"/>
    <x v="0"/>
    <x v="0"/>
    <x v="0"/>
    <x v="941"/>
    <x v="0"/>
    <x v="5"/>
    <x v="0"/>
    <x v="3"/>
    <x v="8"/>
    <n v="0.28000000000000003"/>
    <x v="12"/>
    <n v="10"/>
    <n v="151"/>
    <n v="161"/>
  </r>
  <r>
    <n v="682"/>
    <d v="2011-01-31T00:00:00"/>
    <x v="0"/>
    <x v="0"/>
    <x v="0"/>
    <x v="942"/>
    <x v="0"/>
    <x v="2"/>
    <x v="1"/>
    <x v="2"/>
    <x v="4"/>
    <n v="0.59"/>
    <x v="2"/>
    <n v="6"/>
    <n v="155"/>
    <n v="161"/>
  </r>
  <r>
    <n v="820"/>
    <d v="2011-02-06T00:00:00"/>
    <x v="0"/>
    <x v="0"/>
    <x v="1"/>
    <x v="943"/>
    <x v="0"/>
    <x v="1"/>
    <x v="0"/>
    <x v="17"/>
    <x v="27"/>
    <n v="0.46"/>
    <x v="1"/>
    <n v="47"/>
    <n v="114"/>
    <n v="161"/>
  </r>
  <r>
    <n v="983"/>
    <d v="2011-02-13T00:00:00"/>
    <x v="0"/>
    <x v="0"/>
    <x v="1"/>
    <x v="944"/>
    <x v="0"/>
    <x v="1"/>
    <x v="1"/>
    <x v="1"/>
    <x v="2"/>
    <n v="0.3"/>
    <x v="11"/>
    <n v="51"/>
    <n v="110"/>
    <n v="161"/>
  </r>
  <r>
    <n v="295"/>
    <d v="2011-01-13T00:00:00"/>
    <x v="0"/>
    <x v="0"/>
    <x v="0"/>
    <x v="945"/>
    <x v="0"/>
    <x v="4"/>
    <x v="0"/>
    <x v="4"/>
    <x v="15"/>
    <n v="0.4"/>
    <x v="7"/>
    <n v="4"/>
    <n v="158"/>
    <n v="162"/>
  </r>
  <r>
    <n v="984"/>
    <d v="2011-02-13T00:00:00"/>
    <x v="0"/>
    <x v="0"/>
    <x v="1"/>
    <x v="946"/>
    <x v="0"/>
    <x v="1"/>
    <x v="1"/>
    <x v="1"/>
    <x v="2"/>
    <n v="0.3"/>
    <x v="9"/>
    <n v="40"/>
    <n v="122"/>
    <n v="162"/>
  </r>
  <r>
    <n v="133"/>
    <d v="2011-01-06T00:00:00"/>
    <x v="0"/>
    <x v="0"/>
    <x v="0"/>
    <x v="947"/>
    <x v="0"/>
    <x v="4"/>
    <x v="0"/>
    <x v="10"/>
    <x v="9"/>
    <n v="0.51"/>
    <x v="4"/>
    <n v="5"/>
    <n v="158"/>
    <n v="163"/>
  </r>
  <r>
    <n v="917"/>
    <d v="2011-02-10T00:00:00"/>
    <x v="0"/>
    <x v="0"/>
    <x v="1"/>
    <x v="948"/>
    <x v="0"/>
    <x v="4"/>
    <x v="0"/>
    <x v="5"/>
    <x v="15"/>
    <n v="0.26"/>
    <x v="2"/>
    <n v="6"/>
    <n v="159"/>
    <n v="165"/>
  </r>
  <r>
    <n v="465"/>
    <d v="2011-01-21T00:00:00"/>
    <x v="0"/>
    <x v="0"/>
    <x v="0"/>
    <x v="949"/>
    <x v="0"/>
    <x v="5"/>
    <x v="0"/>
    <x v="4"/>
    <x v="15"/>
    <n v="0.51"/>
    <x v="12"/>
    <n v="7"/>
    <n v="159"/>
    <n v="166"/>
  </r>
  <r>
    <n v="894"/>
    <d v="2011-02-09T00:00:00"/>
    <x v="0"/>
    <x v="0"/>
    <x v="1"/>
    <x v="950"/>
    <x v="0"/>
    <x v="6"/>
    <x v="1"/>
    <x v="4"/>
    <x v="5"/>
    <n v="0.34"/>
    <x v="10"/>
    <n v="9"/>
    <n v="157"/>
    <n v="166"/>
  </r>
  <r>
    <n v="706"/>
    <d v="2011-02-01T00:00:00"/>
    <x v="0"/>
    <x v="0"/>
    <x v="1"/>
    <x v="951"/>
    <x v="0"/>
    <x v="3"/>
    <x v="1"/>
    <x v="0"/>
    <x v="1"/>
    <n v="0.81"/>
    <x v="8"/>
    <n v="3"/>
    <n v="165"/>
    <n v="168"/>
  </r>
  <r>
    <n v="110"/>
    <d v="2011-01-05T00:00:00"/>
    <x v="0"/>
    <x v="0"/>
    <x v="0"/>
    <x v="952"/>
    <x v="0"/>
    <x v="6"/>
    <x v="0"/>
    <x v="0"/>
    <x v="19"/>
    <n v="0.38"/>
    <x v="4"/>
    <n v="3"/>
    <n v="166"/>
    <n v="169"/>
  </r>
  <r>
    <n v="895"/>
    <d v="2011-02-09T00:00:00"/>
    <x v="0"/>
    <x v="0"/>
    <x v="1"/>
    <x v="953"/>
    <x v="0"/>
    <x v="6"/>
    <x v="1"/>
    <x v="5"/>
    <x v="14"/>
    <n v="0.47"/>
    <x v="9"/>
    <n v="2"/>
    <n v="168"/>
    <n v="170"/>
  </r>
  <r>
    <n v="132"/>
    <d v="2011-01-06T00:00:00"/>
    <x v="0"/>
    <x v="0"/>
    <x v="0"/>
    <x v="954"/>
    <x v="0"/>
    <x v="4"/>
    <x v="0"/>
    <x v="10"/>
    <x v="9"/>
    <n v="0.51"/>
    <x v="6"/>
    <n v="9"/>
    <n v="163"/>
    <n v="172"/>
  </r>
  <r>
    <n v="818"/>
    <d v="2011-02-06T00:00:00"/>
    <x v="0"/>
    <x v="0"/>
    <x v="1"/>
    <x v="955"/>
    <x v="0"/>
    <x v="1"/>
    <x v="0"/>
    <x v="17"/>
    <x v="21"/>
    <n v="0.46"/>
    <x v="0"/>
    <n v="48"/>
    <n v="126"/>
    <n v="174"/>
  </r>
  <r>
    <n v="940"/>
    <d v="2011-02-11T00:00:00"/>
    <x v="0"/>
    <x v="0"/>
    <x v="1"/>
    <x v="956"/>
    <x v="0"/>
    <x v="5"/>
    <x v="0"/>
    <x v="13"/>
    <x v="22"/>
    <n v="0.28000000000000003"/>
    <x v="0"/>
    <n v="9"/>
    <n v="165"/>
    <n v="174"/>
  </r>
  <r>
    <n v="961"/>
    <d v="2011-02-12T00:00:00"/>
    <x v="0"/>
    <x v="0"/>
    <x v="1"/>
    <x v="957"/>
    <x v="0"/>
    <x v="0"/>
    <x v="0"/>
    <x v="17"/>
    <x v="23"/>
    <n v="0.28999999999999998"/>
    <x v="11"/>
    <n v="47"/>
    <n v="127"/>
    <n v="174"/>
  </r>
  <r>
    <n v="752"/>
    <d v="2011-02-03T00:00:00"/>
    <x v="0"/>
    <x v="0"/>
    <x v="1"/>
    <x v="958"/>
    <x v="0"/>
    <x v="4"/>
    <x v="0"/>
    <x v="4"/>
    <x v="5"/>
    <n v="0.4"/>
    <x v="2"/>
    <n v="5"/>
    <n v="170"/>
    <n v="175"/>
  </r>
  <r>
    <n v="848"/>
    <d v="2011-02-07T00:00:00"/>
    <x v="0"/>
    <x v="0"/>
    <x v="1"/>
    <x v="959"/>
    <x v="0"/>
    <x v="2"/>
    <x v="1"/>
    <x v="17"/>
    <x v="21"/>
    <n v="0.66"/>
    <x v="4"/>
    <n v="5"/>
    <n v="170"/>
    <n v="175"/>
  </r>
  <r>
    <n v="705"/>
    <d v="2011-02-01T00:00:00"/>
    <x v="0"/>
    <x v="0"/>
    <x v="1"/>
    <x v="960"/>
    <x v="0"/>
    <x v="3"/>
    <x v="1"/>
    <x v="0"/>
    <x v="0"/>
    <n v="0.75"/>
    <x v="0"/>
    <n v="4"/>
    <n v="172"/>
    <n v="176"/>
  </r>
  <r>
    <n v="871"/>
    <d v="2011-02-08T00:00:00"/>
    <x v="0"/>
    <x v="0"/>
    <x v="1"/>
    <x v="961"/>
    <x v="0"/>
    <x v="3"/>
    <x v="0"/>
    <x v="10"/>
    <x v="15"/>
    <n v="0.32"/>
    <x v="18"/>
    <n v="4"/>
    <n v="172"/>
    <n v="176"/>
  </r>
  <r>
    <n v="533"/>
    <d v="2011-01-24T00:00:00"/>
    <x v="0"/>
    <x v="0"/>
    <x v="0"/>
    <x v="962"/>
    <x v="0"/>
    <x v="2"/>
    <x v="0"/>
    <x v="11"/>
    <x v="3"/>
    <n v="0.49"/>
    <x v="0"/>
    <n v="6"/>
    <n v="171"/>
    <n v="177"/>
  </r>
  <r>
    <n v="227"/>
    <d v="2011-01-10T00:00:00"/>
    <x v="0"/>
    <x v="0"/>
    <x v="0"/>
    <x v="963"/>
    <x v="0"/>
    <x v="2"/>
    <x v="0"/>
    <x v="4"/>
    <x v="9"/>
    <n v="0.4"/>
    <x v="8"/>
    <n v="4"/>
    <n v="174"/>
    <n v="178"/>
  </r>
  <r>
    <n v="908"/>
    <d v="2011-02-10T00:00:00"/>
    <x v="0"/>
    <x v="0"/>
    <x v="1"/>
    <x v="964"/>
    <x v="0"/>
    <x v="4"/>
    <x v="0"/>
    <x v="7"/>
    <x v="10"/>
    <n v="0.49"/>
    <x v="13"/>
    <n v="5"/>
    <n v="173"/>
    <n v="178"/>
  </r>
  <r>
    <n v="77"/>
    <d v="2011-01-04T00:00:00"/>
    <x v="0"/>
    <x v="0"/>
    <x v="0"/>
    <x v="965"/>
    <x v="0"/>
    <x v="3"/>
    <x v="0"/>
    <x v="3"/>
    <x v="4"/>
    <n v="0.69"/>
    <x v="6"/>
    <n v="2"/>
    <n v="177"/>
    <n v="179"/>
  </r>
  <r>
    <n v="87"/>
    <d v="2011-01-04T00:00:00"/>
    <x v="0"/>
    <x v="0"/>
    <x v="0"/>
    <x v="966"/>
    <x v="0"/>
    <x v="3"/>
    <x v="0"/>
    <x v="9"/>
    <x v="1"/>
    <n v="0.48"/>
    <x v="2"/>
    <n v="3"/>
    <n v="179"/>
    <n v="182"/>
  </r>
  <r>
    <n v="730"/>
    <d v="2011-02-02T00:00:00"/>
    <x v="0"/>
    <x v="0"/>
    <x v="1"/>
    <x v="967"/>
    <x v="0"/>
    <x v="6"/>
    <x v="0"/>
    <x v="17"/>
    <x v="0"/>
    <n v="0.42"/>
    <x v="17"/>
    <n v="7"/>
    <n v="175"/>
    <n v="182"/>
  </r>
  <r>
    <n v="819"/>
    <d v="2011-02-06T00:00:00"/>
    <x v="0"/>
    <x v="0"/>
    <x v="1"/>
    <x v="968"/>
    <x v="0"/>
    <x v="1"/>
    <x v="0"/>
    <x v="17"/>
    <x v="29"/>
    <n v="0.46"/>
    <x v="0"/>
    <n v="47"/>
    <n v="135"/>
    <n v="182"/>
  </r>
  <r>
    <n v="821"/>
    <d v="2011-02-06T00:00:00"/>
    <x v="0"/>
    <x v="0"/>
    <x v="1"/>
    <x v="969"/>
    <x v="0"/>
    <x v="1"/>
    <x v="0"/>
    <x v="17"/>
    <x v="27"/>
    <n v="0.46"/>
    <x v="1"/>
    <n v="52"/>
    <n v="130"/>
    <n v="182"/>
  </r>
  <r>
    <n v="542"/>
    <d v="2011-01-24T00:00:00"/>
    <x v="0"/>
    <x v="0"/>
    <x v="0"/>
    <x v="970"/>
    <x v="0"/>
    <x v="2"/>
    <x v="0"/>
    <x v="3"/>
    <x v="8"/>
    <n v="0.5"/>
    <x v="10"/>
    <n v="6"/>
    <n v="178"/>
    <n v="184"/>
  </r>
  <r>
    <n v="450"/>
    <d v="2011-01-20T00:00:00"/>
    <x v="0"/>
    <x v="0"/>
    <x v="0"/>
    <x v="971"/>
    <x v="0"/>
    <x v="4"/>
    <x v="1"/>
    <x v="9"/>
    <x v="1"/>
    <n v="0.56000000000000005"/>
    <x v="2"/>
    <n v="1"/>
    <n v="184"/>
    <n v="185"/>
  </r>
  <r>
    <n v="673"/>
    <d v="2011-01-31T00:00:00"/>
    <x v="0"/>
    <x v="0"/>
    <x v="0"/>
    <x v="972"/>
    <x v="0"/>
    <x v="2"/>
    <x v="1"/>
    <x v="2"/>
    <x v="3"/>
    <n v="0.59"/>
    <x v="7"/>
    <n v="3"/>
    <n v="182"/>
    <n v="185"/>
  </r>
  <r>
    <n v="155"/>
    <d v="2011-01-07T00:00:00"/>
    <x v="0"/>
    <x v="0"/>
    <x v="0"/>
    <x v="973"/>
    <x v="0"/>
    <x v="5"/>
    <x v="1"/>
    <x v="4"/>
    <x v="1"/>
    <n v="0.37"/>
    <x v="0"/>
    <n v="9"/>
    <n v="178"/>
    <n v="187"/>
  </r>
  <r>
    <n v="218"/>
    <d v="2011-01-10T00:00:00"/>
    <x v="0"/>
    <x v="0"/>
    <x v="0"/>
    <x v="974"/>
    <x v="0"/>
    <x v="2"/>
    <x v="1"/>
    <x v="8"/>
    <x v="8"/>
    <n v="0.5"/>
    <x v="7"/>
    <n v="4"/>
    <n v="184"/>
    <n v="188"/>
  </r>
  <r>
    <n v="743"/>
    <d v="2011-02-03T00:00:00"/>
    <x v="0"/>
    <x v="0"/>
    <x v="1"/>
    <x v="975"/>
    <x v="0"/>
    <x v="4"/>
    <x v="0"/>
    <x v="3"/>
    <x v="8"/>
    <n v="0.5"/>
    <x v="12"/>
    <n v="4"/>
    <n v="184"/>
    <n v="188"/>
  </r>
  <r>
    <n v="109"/>
    <d v="2011-01-05T00:00:00"/>
    <x v="0"/>
    <x v="0"/>
    <x v="0"/>
    <x v="976"/>
    <x v="0"/>
    <x v="6"/>
    <x v="0"/>
    <x v="0"/>
    <x v="9"/>
    <n v="0.38"/>
    <x v="2"/>
    <n v="4"/>
    <n v="186"/>
    <n v="190"/>
  </r>
  <r>
    <n v="729"/>
    <d v="2011-02-02T00:00:00"/>
    <x v="0"/>
    <x v="0"/>
    <x v="1"/>
    <x v="977"/>
    <x v="0"/>
    <x v="6"/>
    <x v="0"/>
    <x v="16"/>
    <x v="22"/>
    <n v="0.53"/>
    <x v="14"/>
    <n v="7"/>
    <n v="183"/>
    <n v="190"/>
  </r>
  <r>
    <n v="100"/>
    <d v="2011-01-05T00:00:00"/>
    <x v="0"/>
    <x v="0"/>
    <x v="0"/>
    <x v="978"/>
    <x v="0"/>
    <x v="6"/>
    <x v="0"/>
    <x v="4"/>
    <x v="15"/>
    <n v="0.4"/>
    <x v="9"/>
    <n v="3"/>
    <n v="192"/>
    <n v="195"/>
  </r>
  <r>
    <n v="416"/>
    <d v="2011-01-19T00:00:00"/>
    <x v="0"/>
    <x v="0"/>
    <x v="0"/>
    <x v="979"/>
    <x v="0"/>
    <x v="6"/>
    <x v="1"/>
    <x v="0"/>
    <x v="1"/>
    <n v="0.93"/>
    <x v="8"/>
    <n v="1"/>
    <n v="196"/>
    <n v="197"/>
  </r>
  <r>
    <n v="425"/>
    <d v="2011-01-19T00:00:00"/>
    <x v="0"/>
    <x v="0"/>
    <x v="0"/>
    <x v="980"/>
    <x v="0"/>
    <x v="6"/>
    <x v="0"/>
    <x v="16"/>
    <x v="21"/>
    <n v="0.56999999999999995"/>
    <x v="13"/>
    <n v="7"/>
    <n v="190"/>
    <n v="197"/>
  </r>
  <r>
    <n v="885"/>
    <d v="2011-02-09T00:00:00"/>
    <x v="0"/>
    <x v="0"/>
    <x v="1"/>
    <x v="981"/>
    <x v="0"/>
    <x v="6"/>
    <x v="0"/>
    <x v="7"/>
    <x v="3"/>
    <n v="0.42"/>
    <x v="0"/>
    <n v="1"/>
    <n v="198"/>
    <n v="199"/>
  </r>
  <r>
    <n v="286"/>
    <d v="2011-01-13T00:00:00"/>
    <x v="0"/>
    <x v="0"/>
    <x v="0"/>
    <x v="982"/>
    <x v="0"/>
    <x v="4"/>
    <x v="0"/>
    <x v="3"/>
    <x v="3"/>
    <n v="0.5"/>
    <x v="2"/>
    <n v="5"/>
    <n v="197"/>
    <n v="202"/>
  </r>
  <r>
    <n v="775"/>
    <d v="2011-02-04T00:00:00"/>
    <x v="0"/>
    <x v="0"/>
    <x v="1"/>
    <x v="983"/>
    <x v="0"/>
    <x v="5"/>
    <x v="1"/>
    <x v="9"/>
    <x v="16"/>
    <n v="0.56000000000000005"/>
    <x v="4"/>
    <n v="10"/>
    <n v="195"/>
    <n v="205"/>
  </r>
  <r>
    <n v="146"/>
    <d v="2011-01-07T00:00:00"/>
    <x v="0"/>
    <x v="0"/>
    <x v="0"/>
    <x v="984"/>
    <x v="0"/>
    <x v="5"/>
    <x v="0"/>
    <x v="4"/>
    <x v="5"/>
    <n v="0.51"/>
    <x v="10"/>
    <n v="20"/>
    <n v="190"/>
    <n v="210"/>
  </r>
  <r>
    <n v="939"/>
    <d v="2011-02-11T00:00:00"/>
    <x v="0"/>
    <x v="0"/>
    <x v="1"/>
    <x v="985"/>
    <x v="0"/>
    <x v="5"/>
    <x v="0"/>
    <x v="22"/>
    <x v="21"/>
    <n v="0.24"/>
    <x v="0"/>
    <n v="18"/>
    <n v="193"/>
    <n v="211"/>
  </r>
  <r>
    <n v="86"/>
    <d v="2011-01-04T00:00:00"/>
    <x v="0"/>
    <x v="0"/>
    <x v="0"/>
    <x v="986"/>
    <x v="0"/>
    <x v="3"/>
    <x v="0"/>
    <x v="13"/>
    <x v="16"/>
    <n v="0.48"/>
    <x v="5"/>
    <n v="10"/>
    <n v="202"/>
    <n v="212"/>
  </r>
  <r>
    <n v="449"/>
    <d v="2011-01-20T00:00:00"/>
    <x v="0"/>
    <x v="0"/>
    <x v="0"/>
    <x v="987"/>
    <x v="0"/>
    <x v="4"/>
    <x v="1"/>
    <x v="22"/>
    <x v="22"/>
    <n v="0.49"/>
    <x v="8"/>
    <n v="8"/>
    <n v="207"/>
    <n v="215"/>
  </r>
  <r>
    <n v="847"/>
    <d v="2011-02-07T00:00:00"/>
    <x v="0"/>
    <x v="0"/>
    <x v="1"/>
    <x v="988"/>
    <x v="0"/>
    <x v="2"/>
    <x v="1"/>
    <x v="18"/>
    <x v="22"/>
    <n v="0.7"/>
    <x v="6"/>
    <n v="9"/>
    <n v="207"/>
    <n v="216"/>
  </r>
  <r>
    <n v="930"/>
    <d v="2011-02-11T00:00:00"/>
    <x v="0"/>
    <x v="0"/>
    <x v="1"/>
    <x v="989"/>
    <x v="0"/>
    <x v="5"/>
    <x v="0"/>
    <x v="7"/>
    <x v="8"/>
    <n v="0.74"/>
    <x v="6"/>
    <n v="4"/>
    <n v="212"/>
    <n v="216"/>
  </r>
  <r>
    <n v="240"/>
    <d v="2011-01-11T00:00:00"/>
    <x v="0"/>
    <x v="0"/>
    <x v="0"/>
    <x v="990"/>
    <x v="0"/>
    <x v="3"/>
    <x v="1"/>
    <x v="5"/>
    <x v="6"/>
    <n v="0.51"/>
    <x v="1"/>
    <n v="3"/>
    <n v="214"/>
    <n v="217"/>
  </r>
  <r>
    <n v="464"/>
    <d v="2011-01-21T00:00:00"/>
    <x v="0"/>
    <x v="0"/>
    <x v="0"/>
    <x v="991"/>
    <x v="0"/>
    <x v="5"/>
    <x v="0"/>
    <x v="4"/>
    <x v="15"/>
    <n v="0.47"/>
    <x v="13"/>
    <n v="7"/>
    <n v="210"/>
    <n v="217"/>
  </r>
  <r>
    <n v="123"/>
    <d v="2011-01-06T00:00:00"/>
    <x v="0"/>
    <x v="0"/>
    <x v="0"/>
    <x v="992"/>
    <x v="0"/>
    <x v="4"/>
    <x v="0"/>
    <x v="2"/>
    <x v="9"/>
    <n v="0.59"/>
    <x v="0"/>
    <n v="3"/>
    <n v="216"/>
    <n v="219"/>
  </r>
  <r>
    <n v="766"/>
    <d v="2011-02-04T00:00:00"/>
    <x v="0"/>
    <x v="0"/>
    <x v="1"/>
    <x v="993"/>
    <x v="0"/>
    <x v="5"/>
    <x v="0"/>
    <x v="3"/>
    <x v="4"/>
    <n v="0.74"/>
    <x v="4"/>
    <n v="3"/>
    <n v="217"/>
    <n v="220"/>
  </r>
  <r>
    <n v="565"/>
    <d v="2011-01-25T00:00:00"/>
    <x v="0"/>
    <x v="0"/>
    <x v="0"/>
    <x v="994"/>
    <x v="0"/>
    <x v="3"/>
    <x v="0"/>
    <x v="22"/>
    <x v="21"/>
    <n v="0.45"/>
    <x v="0"/>
    <n v="14"/>
    <n v="208"/>
    <n v="222"/>
  </r>
  <r>
    <n v="566"/>
    <d v="2011-01-25T00:00:00"/>
    <x v="0"/>
    <x v="0"/>
    <x v="0"/>
    <x v="995"/>
    <x v="0"/>
    <x v="3"/>
    <x v="1"/>
    <x v="22"/>
    <x v="22"/>
    <n v="0.49"/>
    <x v="1"/>
    <n v="7"/>
    <n v="218"/>
    <n v="225"/>
  </r>
  <r>
    <n v="838"/>
    <d v="2011-02-07T00:00:00"/>
    <x v="0"/>
    <x v="0"/>
    <x v="1"/>
    <x v="996"/>
    <x v="0"/>
    <x v="2"/>
    <x v="1"/>
    <x v="2"/>
    <x v="9"/>
    <n v="1"/>
    <x v="0"/>
    <n v="7"/>
    <n v="223"/>
    <n v="230"/>
  </r>
  <r>
    <n v="556"/>
    <d v="2011-01-25T00:00:00"/>
    <x v="0"/>
    <x v="0"/>
    <x v="0"/>
    <x v="997"/>
    <x v="0"/>
    <x v="3"/>
    <x v="1"/>
    <x v="2"/>
    <x v="15"/>
    <n v="0.74"/>
    <x v="4"/>
    <n v="5"/>
    <n v="233"/>
    <n v="238"/>
  </r>
  <r>
    <n v="862"/>
    <d v="2011-02-08T00:00:00"/>
    <x v="0"/>
    <x v="0"/>
    <x v="1"/>
    <x v="998"/>
    <x v="0"/>
    <x v="3"/>
    <x v="0"/>
    <x v="0"/>
    <x v="5"/>
    <n v="0.56000000000000005"/>
    <x v="19"/>
    <n v="7"/>
    <n v="236"/>
    <n v="243"/>
  </r>
  <r>
    <n v="440"/>
    <d v="2011-01-20T00:00:00"/>
    <x v="0"/>
    <x v="0"/>
    <x v="0"/>
    <x v="999"/>
    <x v="0"/>
    <x v="4"/>
    <x v="0"/>
    <x v="10"/>
    <x v="6"/>
    <n v="0.55000000000000004"/>
    <x v="7"/>
    <n v="2"/>
    <n v="247"/>
    <n v="2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d v="2011-01-01T00:00:00"/>
    <x v="0"/>
    <x v="0"/>
    <x v="0"/>
    <d v="1899-12-30T04:00:00"/>
    <x v="0"/>
    <x v="0"/>
    <x v="0"/>
    <x v="0"/>
    <x v="0"/>
    <n v="0.75"/>
    <x v="0"/>
    <n v="0"/>
    <n v="1"/>
    <n v="1"/>
  </r>
  <r>
    <n v="6"/>
    <d v="2011-01-01T00:00:00"/>
    <x v="0"/>
    <x v="0"/>
    <x v="0"/>
    <d v="1899-12-30T05:00:00"/>
    <x v="0"/>
    <x v="0"/>
    <x v="1"/>
    <x v="0"/>
    <x v="1"/>
    <n v="0.75"/>
    <x v="1"/>
    <n v="0"/>
    <n v="1"/>
    <n v="1"/>
  </r>
  <r>
    <n v="31"/>
    <d v="2011-01-02T00:00:00"/>
    <x v="0"/>
    <x v="0"/>
    <x v="0"/>
    <d v="1899-12-31T06:00:00"/>
    <x v="0"/>
    <x v="1"/>
    <x v="1"/>
    <x v="1"/>
    <x v="2"/>
    <n v="0.76"/>
    <x v="2"/>
    <n v="0"/>
    <n v="1"/>
    <n v="1"/>
  </r>
  <r>
    <n v="50"/>
    <d v="2011-01-03T00:00:00"/>
    <x v="0"/>
    <x v="0"/>
    <x v="0"/>
    <d v="1900-01-01T01:00:00"/>
    <x v="0"/>
    <x v="2"/>
    <x v="0"/>
    <x v="2"/>
    <x v="3"/>
    <n v="0.47"/>
    <x v="3"/>
    <n v="0"/>
    <n v="1"/>
    <n v="1"/>
  </r>
  <r>
    <n v="72"/>
    <d v="2011-01-04T00:00:00"/>
    <x v="0"/>
    <x v="0"/>
    <x v="0"/>
    <d v="1900-01-01T23:00:00"/>
    <x v="0"/>
    <x v="3"/>
    <x v="0"/>
    <x v="3"/>
    <x v="4"/>
    <n v="0.63"/>
    <x v="4"/>
    <n v="0"/>
    <n v="1"/>
    <n v="1"/>
  </r>
  <r>
    <n v="119"/>
    <d v="2011-01-06T00:00:00"/>
    <x v="0"/>
    <x v="0"/>
    <x v="0"/>
    <d v="1900-01-03T22:00:00"/>
    <x v="0"/>
    <x v="4"/>
    <x v="1"/>
    <x v="2"/>
    <x v="5"/>
    <n v="0.64"/>
    <x v="1"/>
    <n v="0"/>
    <n v="1"/>
    <n v="1"/>
  </r>
  <r>
    <n v="141"/>
    <d v="2011-01-07T00:00:00"/>
    <x v="0"/>
    <x v="0"/>
    <x v="0"/>
    <d v="1900-01-04T20:00:00"/>
    <x v="0"/>
    <x v="5"/>
    <x v="1"/>
    <x v="4"/>
    <x v="5"/>
    <n v="0.69"/>
    <x v="5"/>
    <n v="0"/>
    <n v="1"/>
    <n v="1"/>
  </r>
  <r>
    <n v="142"/>
    <d v="2011-01-07T00:00:00"/>
    <x v="0"/>
    <x v="0"/>
    <x v="0"/>
    <d v="1900-01-04T21:00:00"/>
    <x v="0"/>
    <x v="5"/>
    <x v="1"/>
    <x v="4"/>
    <x v="6"/>
    <n v="0.69"/>
    <x v="4"/>
    <n v="0"/>
    <n v="1"/>
    <n v="1"/>
  </r>
  <r>
    <n v="166"/>
    <d v="2011-01-08T00:00:00"/>
    <x v="0"/>
    <x v="0"/>
    <x v="0"/>
    <d v="1900-01-05T21:00:00"/>
    <x v="0"/>
    <x v="0"/>
    <x v="2"/>
    <x v="5"/>
    <x v="5"/>
    <n v="0.55000000000000004"/>
    <x v="6"/>
    <n v="0"/>
    <n v="1"/>
    <n v="1"/>
  </r>
  <r>
    <n v="190"/>
    <d v="2011-01-09T00:00:00"/>
    <x v="0"/>
    <x v="0"/>
    <x v="0"/>
    <d v="1900-01-06T21:00:00"/>
    <x v="0"/>
    <x v="1"/>
    <x v="0"/>
    <x v="6"/>
    <x v="7"/>
    <n v="0.53"/>
    <x v="2"/>
    <n v="0"/>
    <n v="1"/>
    <n v="1"/>
  </r>
  <r>
    <n v="191"/>
    <d v="2011-01-09T00:00:00"/>
    <x v="0"/>
    <x v="0"/>
    <x v="0"/>
    <d v="1900-01-06T22:00:00"/>
    <x v="0"/>
    <x v="1"/>
    <x v="0"/>
    <x v="6"/>
    <x v="7"/>
    <n v="0.53"/>
    <x v="2"/>
    <n v="0"/>
    <n v="1"/>
    <n v="1"/>
  </r>
  <r>
    <n v="192"/>
    <d v="2011-01-09T00:00:00"/>
    <x v="0"/>
    <x v="0"/>
    <x v="0"/>
    <d v="1900-01-06T23:00:00"/>
    <x v="0"/>
    <x v="1"/>
    <x v="0"/>
    <x v="7"/>
    <x v="7"/>
    <n v="0.49"/>
    <x v="7"/>
    <n v="0"/>
    <n v="1"/>
    <n v="1"/>
  </r>
  <r>
    <n v="211"/>
    <d v="2011-01-10T00:00:00"/>
    <x v="0"/>
    <x v="0"/>
    <x v="0"/>
    <d v="1900-01-07T18:00:00"/>
    <x v="0"/>
    <x v="2"/>
    <x v="0"/>
    <x v="8"/>
    <x v="8"/>
    <n v="0.5"/>
    <x v="7"/>
    <n v="1"/>
    <n v="0"/>
    <n v="1"/>
  </r>
  <r>
    <n v="213"/>
    <d v="2011-01-10T00:00:00"/>
    <x v="0"/>
    <x v="0"/>
    <x v="0"/>
    <d v="1900-01-07T20:00:00"/>
    <x v="0"/>
    <x v="2"/>
    <x v="0"/>
    <x v="8"/>
    <x v="8"/>
    <n v="0.5"/>
    <x v="5"/>
    <n v="0"/>
    <n v="1"/>
    <n v="1"/>
  </r>
  <r>
    <n v="258"/>
    <d v="2011-01-12T00:00:00"/>
    <x v="0"/>
    <x v="0"/>
    <x v="0"/>
    <d v="1900-01-09T17:00:00"/>
    <x v="0"/>
    <x v="6"/>
    <x v="0"/>
    <x v="3"/>
    <x v="4"/>
    <n v="0.86"/>
    <x v="4"/>
    <n v="0"/>
    <n v="1"/>
    <n v="1"/>
  </r>
  <r>
    <n v="304"/>
    <d v="2011-01-14T00:00:00"/>
    <x v="0"/>
    <x v="0"/>
    <x v="0"/>
    <d v="1900-01-11T15:00:00"/>
    <x v="0"/>
    <x v="5"/>
    <x v="0"/>
    <x v="7"/>
    <x v="8"/>
    <n v="0.54"/>
    <x v="4"/>
    <n v="0"/>
    <n v="1"/>
    <n v="1"/>
  </r>
  <r>
    <n v="305"/>
    <d v="2011-01-14T00:00:00"/>
    <x v="0"/>
    <x v="0"/>
    <x v="0"/>
    <d v="1900-01-11T16:00:00"/>
    <x v="0"/>
    <x v="5"/>
    <x v="0"/>
    <x v="7"/>
    <x v="3"/>
    <n v="0.54"/>
    <x v="8"/>
    <n v="0"/>
    <n v="1"/>
    <n v="1"/>
  </r>
  <r>
    <n v="330"/>
    <d v="2011-01-15T00:00:00"/>
    <x v="0"/>
    <x v="0"/>
    <x v="0"/>
    <d v="1900-01-12T17:00:00"/>
    <x v="0"/>
    <x v="0"/>
    <x v="0"/>
    <x v="2"/>
    <x v="9"/>
    <n v="0.59"/>
    <x v="0"/>
    <n v="0"/>
    <n v="1"/>
    <n v="1"/>
  </r>
  <r>
    <n v="353"/>
    <d v="2011-01-16T00:00:00"/>
    <x v="0"/>
    <x v="0"/>
    <x v="0"/>
    <d v="1900-01-13T16:00:00"/>
    <x v="0"/>
    <x v="1"/>
    <x v="0"/>
    <x v="9"/>
    <x v="1"/>
    <n v="0.56000000000000005"/>
    <x v="6"/>
    <n v="0"/>
    <n v="1"/>
    <n v="1"/>
  </r>
  <r>
    <n v="355"/>
    <d v="2011-01-16T00:00:00"/>
    <x v="0"/>
    <x v="0"/>
    <x v="0"/>
    <d v="1900-01-13T18:00:00"/>
    <x v="0"/>
    <x v="1"/>
    <x v="1"/>
    <x v="9"/>
    <x v="1"/>
    <n v="0.56000000000000005"/>
    <x v="6"/>
    <n v="0"/>
    <n v="1"/>
    <n v="1"/>
  </r>
  <r>
    <n v="378"/>
    <d v="2011-01-17T00:00:00"/>
    <x v="0"/>
    <x v="0"/>
    <x v="0"/>
    <d v="1900-01-14T17:00:00"/>
    <x v="1"/>
    <x v="2"/>
    <x v="1"/>
    <x v="5"/>
    <x v="5"/>
    <n v="0.43"/>
    <x v="6"/>
    <n v="0"/>
    <n v="1"/>
    <n v="1"/>
  </r>
  <r>
    <n v="435"/>
    <d v="2011-01-20T00:00:00"/>
    <x v="0"/>
    <x v="0"/>
    <x v="0"/>
    <d v="1900-01-17T02:00:00"/>
    <x v="0"/>
    <x v="4"/>
    <x v="0"/>
    <x v="9"/>
    <x v="1"/>
    <n v="0.56000000000000005"/>
    <x v="6"/>
    <n v="0"/>
    <n v="1"/>
    <n v="1"/>
  </r>
  <r>
    <n v="436"/>
    <d v="2011-01-20T00:00:00"/>
    <x v="0"/>
    <x v="0"/>
    <x v="0"/>
    <d v="1900-01-17T03:00:00"/>
    <x v="0"/>
    <x v="4"/>
    <x v="0"/>
    <x v="9"/>
    <x v="1"/>
    <n v="0.56000000000000005"/>
    <x v="6"/>
    <n v="0"/>
    <n v="1"/>
    <n v="1"/>
  </r>
  <r>
    <n v="459"/>
    <d v="2011-01-21T00:00:00"/>
    <x v="0"/>
    <x v="0"/>
    <x v="0"/>
    <d v="1900-01-18T02:00:00"/>
    <x v="0"/>
    <x v="5"/>
    <x v="2"/>
    <x v="10"/>
    <x v="6"/>
    <n v="0.8"/>
    <x v="9"/>
    <n v="0"/>
    <n v="1"/>
    <n v="1"/>
  </r>
  <r>
    <n v="460"/>
    <d v="2011-01-21T00:00:00"/>
    <x v="0"/>
    <x v="0"/>
    <x v="0"/>
    <d v="1900-01-18T03:00:00"/>
    <x v="0"/>
    <x v="5"/>
    <x v="1"/>
    <x v="10"/>
    <x v="1"/>
    <n v="0.87"/>
    <x v="1"/>
    <n v="0"/>
    <n v="1"/>
    <n v="1"/>
  </r>
  <r>
    <n v="508"/>
    <d v="2011-01-23T00:00:00"/>
    <x v="0"/>
    <x v="0"/>
    <x v="0"/>
    <d v="1900-01-20T03:00:00"/>
    <x v="0"/>
    <x v="1"/>
    <x v="1"/>
    <x v="11"/>
    <x v="10"/>
    <n v="0.56999999999999995"/>
    <x v="8"/>
    <n v="0"/>
    <n v="1"/>
    <n v="1"/>
  </r>
  <r>
    <n v="527"/>
    <d v="2011-01-24T00:00:00"/>
    <x v="0"/>
    <x v="0"/>
    <x v="0"/>
    <d v="1900-01-20T22:00:00"/>
    <x v="0"/>
    <x v="2"/>
    <x v="0"/>
    <x v="11"/>
    <x v="11"/>
    <n v="0.45"/>
    <x v="2"/>
    <n v="0"/>
    <n v="1"/>
    <n v="1"/>
  </r>
  <r>
    <n v="528"/>
    <d v="2011-01-24T00:00:00"/>
    <x v="0"/>
    <x v="0"/>
    <x v="0"/>
    <d v="1900-01-20T23:00:00"/>
    <x v="0"/>
    <x v="2"/>
    <x v="0"/>
    <x v="11"/>
    <x v="12"/>
    <n v="0.45"/>
    <x v="10"/>
    <n v="0"/>
    <n v="1"/>
    <n v="1"/>
  </r>
  <r>
    <n v="529"/>
    <d v="2011-01-24T00:00:00"/>
    <x v="0"/>
    <x v="0"/>
    <x v="0"/>
    <d v="1900-01-21T00:00:00"/>
    <x v="0"/>
    <x v="2"/>
    <x v="0"/>
    <x v="12"/>
    <x v="13"/>
    <n v="0.48"/>
    <x v="4"/>
    <n v="0"/>
    <n v="1"/>
    <n v="1"/>
  </r>
  <r>
    <n v="552"/>
    <d v="2011-01-25T00:00:00"/>
    <x v="0"/>
    <x v="0"/>
    <x v="0"/>
    <d v="1900-01-21T23:00:00"/>
    <x v="0"/>
    <x v="3"/>
    <x v="0"/>
    <x v="3"/>
    <x v="14"/>
    <n v="0.74"/>
    <x v="8"/>
    <n v="0"/>
    <n v="1"/>
    <n v="1"/>
  </r>
  <r>
    <n v="575"/>
    <d v="2011-01-26T00:00:00"/>
    <x v="0"/>
    <x v="0"/>
    <x v="0"/>
    <d v="1900-01-22T22:00:00"/>
    <x v="0"/>
    <x v="6"/>
    <x v="2"/>
    <x v="4"/>
    <x v="15"/>
    <n v="0.86"/>
    <x v="7"/>
    <n v="0"/>
    <n v="1"/>
    <n v="1"/>
  </r>
  <r>
    <n v="599"/>
    <d v="2011-01-28T00:00:00"/>
    <x v="0"/>
    <x v="0"/>
    <x v="0"/>
    <d v="1900-01-23T22:00:00"/>
    <x v="0"/>
    <x v="5"/>
    <x v="1"/>
    <x v="4"/>
    <x v="9"/>
    <n v="0.75"/>
    <x v="8"/>
    <n v="1"/>
    <n v="0"/>
    <n v="1"/>
  </r>
  <r>
    <n v="646"/>
    <d v="2011-01-30T00:00:00"/>
    <x v="0"/>
    <x v="0"/>
    <x v="0"/>
    <d v="1900-01-25T21:00:00"/>
    <x v="0"/>
    <x v="1"/>
    <x v="0"/>
    <x v="3"/>
    <x v="6"/>
    <n v="0.93"/>
    <x v="0"/>
    <n v="0"/>
    <n v="1"/>
    <n v="1"/>
  </r>
  <r>
    <n v="667"/>
    <d v="2011-01-31T00:00:00"/>
    <x v="0"/>
    <x v="0"/>
    <x v="0"/>
    <d v="1900-01-26T18:00:00"/>
    <x v="0"/>
    <x v="2"/>
    <x v="0"/>
    <x v="10"/>
    <x v="9"/>
    <n v="0.64"/>
    <x v="2"/>
    <n v="0"/>
    <n v="1"/>
    <n v="1"/>
  </r>
  <r>
    <n v="715"/>
    <d v="2011-02-02T00:00:00"/>
    <x v="0"/>
    <x v="0"/>
    <x v="1"/>
    <d v="1900-01-28T18:00:00"/>
    <x v="0"/>
    <x v="6"/>
    <x v="2"/>
    <x v="10"/>
    <x v="9"/>
    <n v="0.93"/>
    <x v="4"/>
    <n v="0"/>
    <n v="1"/>
    <n v="1"/>
  </r>
  <r>
    <n v="716"/>
    <d v="2011-02-02T00:00:00"/>
    <x v="0"/>
    <x v="0"/>
    <x v="1"/>
    <d v="1900-01-28T19:00:00"/>
    <x v="0"/>
    <x v="6"/>
    <x v="2"/>
    <x v="10"/>
    <x v="6"/>
    <n v="0.93"/>
    <x v="7"/>
    <n v="0"/>
    <n v="1"/>
    <n v="1"/>
  </r>
  <r>
    <n v="739"/>
    <d v="2011-02-03T00:00:00"/>
    <x v="0"/>
    <x v="0"/>
    <x v="1"/>
    <d v="1900-01-29T18:00:00"/>
    <x v="0"/>
    <x v="4"/>
    <x v="0"/>
    <x v="5"/>
    <x v="14"/>
    <n v="0.43"/>
    <x v="10"/>
    <n v="0"/>
    <n v="1"/>
    <n v="1"/>
  </r>
  <r>
    <n v="761"/>
    <d v="2011-02-04T00:00:00"/>
    <x v="0"/>
    <x v="0"/>
    <x v="1"/>
    <d v="1900-01-30T16:00:00"/>
    <x v="0"/>
    <x v="5"/>
    <x v="1"/>
    <x v="3"/>
    <x v="14"/>
    <n v="0.63"/>
    <x v="8"/>
    <n v="0"/>
    <n v="1"/>
    <n v="1"/>
  </r>
  <r>
    <n v="762"/>
    <d v="2011-02-04T00:00:00"/>
    <x v="0"/>
    <x v="0"/>
    <x v="1"/>
    <d v="1900-01-30T17:00:00"/>
    <x v="0"/>
    <x v="5"/>
    <x v="1"/>
    <x v="3"/>
    <x v="14"/>
    <n v="0.63"/>
    <x v="8"/>
    <n v="0"/>
    <n v="1"/>
    <n v="1"/>
  </r>
  <r>
    <n v="811"/>
    <d v="2011-02-06T00:00:00"/>
    <x v="0"/>
    <x v="0"/>
    <x v="1"/>
    <d v="1900-02-01T18:00:00"/>
    <x v="0"/>
    <x v="1"/>
    <x v="0"/>
    <x v="9"/>
    <x v="1"/>
    <n v="0.6"/>
    <x v="5"/>
    <n v="0"/>
    <n v="1"/>
    <n v="1"/>
  </r>
  <r>
    <n v="812"/>
    <d v="2011-02-06T00:00:00"/>
    <x v="0"/>
    <x v="0"/>
    <x v="1"/>
    <d v="1900-02-01T19:00:00"/>
    <x v="0"/>
    <x v="1"/>
    <x v="0"/>
    <x v="9"/>
    <x v="1"/>
    <n v="0.6"/>
    <x v="5"/>
    <n v="0"/>
    <n v="1"/>
    <n v="1"/>
  </r>
  <r>
    <n v="833"/>
    <d v="2011-02-07T00:00:00"/>
    <x v="0"/>
    <x v="0"/>
    <x v="1"/>
    <d v="1900-02-02T16:00:00"/>
    <x v="0"/>
    <x v="2"/>
    <x v="0"/>
    <x v="4"/>
    <x v="1"/>
    <n v="0.86"/>
    <x v="0"/>
    <n v="0"/>
    <n v="1"/>
    <n v="1"/>
  </r>
  <r>
    <n v="857"/>
    <d v="2011-02-08T00:00:00"/>
    <x v="0"/>
    <x v="0"/>
    <x v="1"/>
    <d v="1900-02-03T16:00:00"/>
    <x v="0"/>
    <x v="3"/>
    <x v="2"/>
    <x v="13"/>
    <x v="16"/>
    <n v="0.93"/>
    <x v="6"/>
    <n v="0"/>
    <n v="1"/>
    <n v="1"/>
  </r>
  <r>
    <n v="904"/>
    <d v="2011-02-10T00:00:00"/>
    <x v="0"/>
    <x v="0"/>
    <x v="1"/>
    <d v="1900-02-05T15:00:00"/>
    <x v="0"/>
    <x v="4"/>
    <x v="1"/>
    <x v="3"/>
    <x v="3"/>
    <n v="0.59"/>
    <x v="5"/>
    <n v="0"/>
    <n v="1"/>
    <n v="1"/>
  </r>
  <r>
    <n v="951"/>
    <d v="2011-02-12T00:00:00"/>
    <x v="0"/>
    <x v="0"/>
    <x v="1"/>
    <d v="1900-02-07T14:00:00"/>
    <x v="0"/>
    <x v="0"/>
    <x v="0"/>
    <x v="8"/>
    <x v="14"/>
    <n v="0.74"/>
    <x v="1"/>
    <n v="0"/>
    <n v="1"/>
    <n v="1"/>
  </r>
  <r>
    <n v="7"/>
    <d v="2011-01-01T00:00:00"/>
    <x v="0"/>
    <x v="0"/>
    <x v="0"/>
    <d v="1899-12-30T06:00:00"/>
    <x v="0"/>
    <x v="0"/>
    <x v="0"/>
    <x v="10"/>
    <x v="16"/>
    <n v="0.8"/>
    <x v="0"/>
    <n v="2"/>
    <n v="0"/>
    <n v="2"/>
  </r>
  <r>
    <n v="30"/>
    <d v="2011-01-02T00:00:00"/>
    <x v="0"/>
    <x v="0"/>
    <x v="0"/>
    <d v="1899-12-31T05:00:00"/>
    <x v="0"/>
    <x v="1"/>
    <x v="2"/>
    <x v="14"/>
    <x v="17"/>
    <n v="0.77"/>
    <x v="9"/>
    <n v="0"/>
    <n v="2"/>
    <n v="2"/>
  </r>
  <r>
    <n v="49"/>
    <d v="2011-01-03T00:00:00"/>
    <x v="0"/>
    <x v="0"/>
    <x v="0"/>
    <d v="1900-01-01T00:00:00"/>
    <x v="0"/>
    <x v="2"/>
    <x v="0"/>
    <x v="4"/>
    <x v="18"/>
    <n v="0.44"/>
    <x v="11"/>
    <n v="0"/>
    <n v="2"/>
    <n v="2"/>
  </r>
  <r>
    <n v="71"/>
    <d v="2011-01-04T00:00:00"/>
    <x v="0"/>
    <x v="0"/>
    <x v="0"/>
    <d v="1900-01-01T22:00:00"/>
    <x v="0"/>
    <x v="3"/>
    <x v="0"/>
    <x v="2"/>
    <x v="15"/>
    <n v="0.59"/>
    <x v="8"/>
    <n v="0"/>
    <n v="2"/>
    <n v="2"/>
  </r>
  <r>
    <n v="73"/>
    <d v="2011-01-04T00:00:00"/>
    <x v="0"/>
    <x v="0"/>
    <x v="0"/>
    <d v="1900-01-02T00:00:00"/>
    <x v="0"/>
    <x v="3"/>
    <x v="0"/>
    <x v="3"/>
    <x v="15"/>
    <n v="0.63"/>
    <x v="1"/>
    <n v="0"/>
    <n v="2"/>
    <n v="2"/>
  </r>
  <r>
    <n v="95"/>
    <d v="2011-01-05T00:00:00"/>
    <x v="0"/>
    <x v="0"/>
    <x v="0"/>
    <d v="1900-01-02T22:00:00"/>
    <x v="0"/>
    <x v="6"/>
    <x v="0"/>
    <x v="2"/>
    <x v="5"/>
    <n v="0.74"/>
    <x v="1"/>
    <n v="0"/>
    <n v="2"/>
    <n v="2"/>
  </r>
  <r>
    <n v="96"/>
    <d v="2011-01-05T00:00:00"/>
    <x v="0"/>
    <x v="0"/>
    <x v="0"/>
    <d v="1900-01-02T23:00:00"/>
    <x v="0"/>
    <x v="6"/>
    <x v="0"/>
    <x v="0"/>
    <x v="9"/>
    <n v="0.48"/>
    <x v="5"/>
    <n v="0"/>
    <n v="2"/>
    <n v="2"/>
  </r>
  <r>
    <n v="118"/>
    <d v="2011-01-06T00:00:00"/>
    <x v="0"/>
    <x v="0"/>
    <x v="0"/>
    <d v="1900-01-03T21:00:00"/>
    <x v="0"/>
    <x v="4"/>
    <x v="0"/>
    <x v="2"/>
    <x v="9"/>
    <n v="0.64"/>
    <x v="0"/>
    <n v="0"/>
    <n v="2"/>
    <n v="2"/>
  </r>
  <r>
    <n v="168"/>
    <d v="2011-01-08T00:00:00"/>
    <x v="0"/>
    <x v="0"/>
    <x v="0"/>
    <d v="1900-01-05T23:00:00"/>
    <x v="0"/>
    <x v="0"/>
    <x v="1"/>
    <x v="2"/>
    <x v="14"/>
    <n v="0.74"/>
    <x v="6"/>
    <n v="0"/>
    <n v="2"/>
    <n v="2"/>
  </r>
  <r>
    <n v="279"/>
    <d v="2011-01-13T00:00:00"/>
    <x v="0"/>
    <x v="0"/>
    <x v="0"/>
    <d v="1900-01-10T14:00:00"/>
    <x v="0"/>
    <x v="4"/>
    <x v="0"/>
    <x v="3"/>
    <x v="8"/>
    <n v="0.5"/>
    <x v="7"/>
    <n v="0"/>
    <n v="2"/>
    <n v="2"/>
  </r>
  <r>
    <n v="280"/>
    <d v="2011-01-13T00:00:00"/>
    <x v="0"/>
    <x v="0"/>
    <x v="0"/>
    <d v="1900-01-10T15:00:00"/>
    <x v="0"/>
    <x v="4"/>
    <x v="0"/>
    <x v="3"/>
    <x v="8"/>
    <n v="0.5"/>
    <x v="12"/>
    <n v="0"/>
    <n v="2"/>
    <n v="2"/>
  </r>
  <r>
    <n v="354"/>
    <d v="2011-01-16T00:00:00"/>
    <x v="0"/>
    <x v="0"/>
    <x v="0"/>
    <d v="1900-01-13T17:00:00"/>
    <x v="0"/>
    <x v="1"/>
    <x v="1"/>
    <x v="9"/>
    <x v="1"/>
    <n v="0.56000000000000005"/>
    <x v="6"/>
    <n v="1"/>
    <n v="1"/>
    <n v="2"/>
  </r>
  <r>
    <n v="376"/>
    <d v="2011-01-17T00:00:00"/>
    <x v="0"/>
    <x v="0"/>
    <x v="0"/>
    <d v="1900-01-14T15:00:00"/>
    <x v="1"/>
    <x v="2"/>
    <x v="1"/>
    <x v="5"/>
    <x v="15"/>
    <n v="0.43"/>
    <x v="2"/>
    <n v="0"/>
    <n v="2"/>
    <n v="2"/>
  </r>
  <r>
    <n v="412"/>
    <d v="2011-01-19T00:00:00"/>
    <x v="0"/>
    <x v="0"/>
    <x v="0"/>
    <d v="1900-01-16T03:00:00"/>
    <x v="0"/>
    <x v="6"/>
    <x v="2"/>
    <x v="10"/>
    <x v="9"/>
    <n v="0.93"/>
    <x v="4"/>
    <n v="1"/>
    <n v="1"/>
    <n v="2"/>
  </r>
  <r>
    <n v="434"/>
    <d v="2011-01-20T00:00:00"/>
    <x v="0"/>
    <x v="0"/>
    <x v="0"/>
    <d v="1900-01-17T01:00:00"/>
    <x v="0"/>
    <x v="4"/>
    <x v="0"/>
    <x v="9"/>
    <x v="16"/>
    <n v="0.56000000000000005"/>
    <x v="0"/>
    <n v="0"/>
    <n v="2"/>
    <n v="2"/>
  </r>
  <r>
    <n v="458"/>
    <d v="2011-01-21T00:00:00"/>
    <x v="0"/>
    <x v="0"/>
    <x v="0"/>
    <d v="1900-01-18T01:00:00"/>
    <x v="0"/>
    <x v="5"/>
    <x v="2"/>
    <x v="0"/>
    <x v="19"/>
    <n v="0.75"/>
    <x v="6"/>
    <n v="0"/>
    <n v="2"/>
    <n v="2"/>
  </r>
  <r>
    <n v="485"/>
    <d v="2011-01-22T00:00:00"/>
    <x v="0"/>
    <x v="0"/>
    <x v="0"/>
    <d v="1900-01-19T04:00:00"/>
    <x v="0"/>
    <x v="0"/>
    <x v="1"/>
    <x v="12"/>
    <x v="12"/>
    <n v="0.44"/>
    <x v="5"/>
    <n v="0"/>
    <n v="2"/>
    <n v="2"/>
  </r>
  <r>
    <n v="509"/>
    <d v="2011-01-23T00:00:00"/>
    <x v="0"/>
    <x v="0"/>
    <x v="0"/>
    <d v="1900-01-20T04:00:00"/>
    <x v="0"/>
    <x v="1"/>
    <x v="0"/>
    <x v="6"/>
    <x v="20"/>
    <n v="0.57999999999999996"/>
    <x v="6"/>
    <n v="1"/>
    <n v="1"/>
    <n v="2"/>
  </r>
  <r>
    <n v="551"/>
    <d v="2011-01-25T00:00:00"/>
    <x v="0"/>
    <x v="0"/>
    <x v="0"/>
    <d v="1900-01-21T22:00:00"/>
    <x v="0"/>
    <x v="3"/>
    <x v="0"/>
    <x v="2"/>
    <x v="4"/>
    <n v="0.69"/>
    <x v="5"/>
    <n v="0"/>
    <n v="2"/>
    <n v="2"/>
  </r>
  <r>
    <n v="598"/>
    <d v="2011-01-28T00:00:00"/>
    <x v="0"/>
    <x v="0"/>
    <x v="0"/>
    <d v="1900-01-23T21:00:00"/>
    <x v="0"/>
    <x v="5"/>
    <x v="1"/>
    <x v="4"/>
    <x v="6"/>
    <n v="0.75"/>
    <x v="6"/>
    <n v="0"/>
    <n v="2"/>
    <n v="2"/>
  </r>
  <r>
    <n v="624"/>
    <d v="2011-01-29T00:00:00"/>
    <x v="0"/>
    <x v="0"/>
    <x v="0"/>
    <d v="1900-01-24T23:00:00"/>
    <x v="0"/>
    <x v="0"/>
    <x v="0"/>
    <x v="2"/>
    <x v="15"/>
    <n v="0.64"/>
    <x v="4"/>
    <n v="0"/>
    <n v="2"/>
    <n v="2"/>
  </r>
  <r>
    <n v="668"/>
    <d v="2011-01-31T00:00:00"/>
    <x v="0"/>
    <x v="0"/>
    <x v="0"/>
    <d v="1900-01-26T19:00:00"/>
    <x v="0"/>
    <x v="2"/>
    <x v="0"/>
    <x v="10"/>
    <x v="9"/>
    <n v="0.64"/>
    <x v="2"/>
    <n v="0"/>
    <n v="2"/>
    <n v="2"/>
  </r>
  <r>
    <n v="669"/>
    <d v="2011-01-31T00:00:00"/>
    <x v="0"/>
    <x v="0"/>
    <x v="0"/>
    <d v="1900-01-26T20:00:00"/>
    <x v="0"/>
    <x v="2"/>
    <x v="0"/>
    <x v="4"/>
    <x v="5"/>
    <n v="0.59"/>
    <x v="5"/>
    <n v="0"/>
    <n v="2"/>
    <n v="2"/>
  </r>
  <r>
    <n v="691"/>
    <d v="2011-02-01T00:00:00"/>
    <x v="0"/>
    <x v="0"/>
    <x v="1"/>
    <d v="1900-01-27T18:00:00"/>
    <x v="0"/>
    <x v="3"/>
    <x v="1"/>
    <x v="2"/>
    <x v="9"/>
    <n v="0.69"/>
    <x v="0"/>
    <n v="0"/>
    <n v="2"/>
    <n v="2"/>
  </r>
  <r>
    <n v="692"/>
    <d v="2011-02-01T00:00:00"/>
    <x v="0"/>
    <x v="0"/>
    <x v="1"/>
    <d v="1900-01-27T19:00:00"/>
    <x v="0"/>
    <x v="3"/>
    <x v="1"/>
    <x v="2"/>
    <x v="9"/>
    <n v="0.69"/>
    <x v="0"/>
    <n v="0"/>
    <n v="2"/>
    <n v="2"/>
  </r>
  <r>
    <n v="712"/>
    <d v="2011-02-02T00:00:00"/>
    <x v="0"/>
    <x v="0"/>
    <x v="1"/>
    <d v="1900-01-28T15:00:00"/>
    <x v="0"/>
    <x v="6"/>
    <x v="2"/>
    <x v="10"/>
    <x v="19"/>
    <n v="0.93"/>
    <x v="8"/>
    <n v="0"/>
    <n v="2"/>
    <n v="2"/>
  </r>
  <r>
    <n v="738"/>
    <d v="2011-02-03T00:00:00"/>
    <x v="0"/>
    <x v="0"/>
    <x v="1"/>
    <d v="1900-01-29T17:00:00"/>
    <x v="0"/>
    <x v="4"/>
    <x v="0"/>
    <x v="5"/>
    <x v="14"/>
    <n v="0.43"/>
    <x v="10"/>
    <n v="0"/>
    <n v="2"/>
    <n v="2"/>
  </r>
  <r>
    <n v="740"/>
    <d v="2011-02-03T00:00:00"/>
    <x v="0"/>
    <x v="0"/>
    <x v="1"/>
    <d v="1900-01-29T19:00:00"/>
    <x v="0"/>
    <x v="4"/>
    <x v="0"/>
    <x v="2"/>
    <x v="3"/>
    <n v="0.5"/>
    <x v="9"/>
    <n v="0"/>
    <n v="2"/>
    <n v="2"/>
  </r>
  <r>
    <n v="810"/>
    <d v="2011-02-06T00:00:00"/>
    <x v="0"/>
    <x v="0"/>
    <x v="1"/>
    <d v="1900-02-01T17:00:00"/>
    <x v="0"/>
    <x v="1"/>
    <x v="0"/>
    <x v="9"/>
    <x v="9"/>
    <n v="0.6"/>
    <x v="12"/>
    <n v="0"/>
    <n v="2"/>
    <n v="2"/>
  </r>
  <r>
    <n v="834"/>
    <d v="2011-02-07T00:00:00"/>
    <x v="0"/>
    <x v="0"/>
    <x v="1"/>
    <d v="1900-02-02T17:00:00"/>
    <x v="0"/>
    <x v="2"/>
    <x v="0"/>
    <x v="4"/>
    <x v="1"/>
    <n v="0.86"/>
    <x v="0"/>
    <n v="1"/>
    <n v="1"/>
    <n v="2"/>
  </r>
  <r>
    <n v="856"/>
    <d v="2011-02-08T00:00:00"/>
    <x v="0"/>
    <x v="0"/>
    <x v="1"/>
    <d v="1900-02-03T15:00:00"/>
    <x v="0"/>
    <x v="3"/>
    <x v="1"/>
    <x v="9"/>
    <x v="16"/>
    <n v="0.93"/>
    <x v="8"/>
    <n v="1"/>
    <n v="1"/>
    <n v="2"/>
  </r>
  <r>
    <n v="859"/>
    <d v="2011-02-08T00:00:00"/>
    <x v="0"/>
    <x v="0"/>
    <x v="1"/>
    <d v="1900-02-03T18:00:00"/>
    <x v="0"/>
    <x v="3"/>
    <x v="0"/>
    <x v="9"/>
    <x v="9"/>
    <n v="0.81"/>
    <x v="13"/>
    <n v="0"/>
    <n v="2"/>
    <n v="2"/>
  </r>
  <r>
    <n v="881"/>
    <d v="2011-02-09T00:00:00"/>
    <x v="0"/>
    <x v="0"/>
    <x v="1"/>
    <d v="1900-02-04T16:00:00"/>
    <x v="0"/>
    <x v="6"/>
    <x v="0"/>
    <x v="15"/>
    <x v="10"/>
    <n v="0.45"/>
    <x v="4"/>
    <n v="0"/>
    <n v="2"/>
    <n v="2"/>
  </r>
  <r>
    <n v="952"/>
    <d v="2011-02-12T00:00:00"/>
    <x v="0"/>
    <x v="0"/>
    <x v="1"/>
    <d v="1900-02-07T15:00:00"/>
    <x v="0"/>
    <x v="0"/>
    <x v="0"/>
    <x v="8"/>
    <x v="3"/>
    <n v="0.93"/>
    <x v="2"/>
    <n v="1"/>
    <n v="1"/>
    <n v="2"/>
  </r>
  <r>
    <n v="974"/>
    <d v="2011-02-13T00:00:00"/>
    <x v="0"/>
    <x v="0"/>
    <x v="1"/>
    <d v="1900-02-08T13:00:00"/>
    <x v="0"/>
    <x v="1"/>
    <x v="1"/>
    <x v="4"/>
    <x v="6"/>
    <n v="0.69"/>
    <x v="6"/>
    <n v="0"/>
    <n v="2"/>
    <n v="2"/>
  </r>
  <r>
    <n v="995"/>
    <d v="2011-02-14T00:00:00"/>
    <x v="0"/>
    <x v="0"/>
    <x v="1"/>
    <d v="1900-02-09T10:00:00"/>
    <x v="0"/>
    <x v="2"/>
    <x v="0"/>
    <x v="16"/>
    <x v="21"/>
    <n v="0.4"/>
    <x v="9"/>
    <n v="0"/>
    <n v="2"/>
    <n v="2"/>
  </r>
  <r>
    <n v="996"/>
    <d v="2011-02-14T00:00:00"/>
    <x v="0"/>
    <x v="0"/>
    <x v="1"/>
    <d v="1900-02-09T11:00:00"/>
    <x v="0"/>
    <x v="2"/>
    <x v="0"/>
    <x v="17"/>
    <x v="22"/>
    <n v="0.46"/>
    <x v="5"/>
    <n v="1"/>
    <n v="1"/>
    <n v="2"/>
  </r>
  <r>
    <n v="997"/>
    <d v="2011-02-14T00:00:00"/>
    <x v="0"/>
    <x v="0"/>
    <x v="1"/>
    <d v="1900-02-09T12:00:00"/>
    <x v="0"/>
    <x v="2"/>
    <x v="0"/>
    <x v="18"/>
    <x v="23"/>
    <n v="0.53"/>
    <x v="7"/>
    <n v="0"/>
    <n v="2"/>
    <n v="2"/>
  </r>
  <r>
    <n v="8"/>
    <d v="2011-01-01T00:00:00"/>
    <x v="0"/>
    <x v="0"/>
    <x v="0"/>
    <d v="1899-12-30T07:00:00"/>
    <x v="0"/>
    <x v="0"/>
    <x v="0"/>
    <x v="4"/>
    <x v="1"/>
    <n v="0.86"/>
    <x v="0"/>
    <n v="1"/>
    <n v="2"/>
    <n v="3"/>
  </r>
  <r>
    <n v="29"/>
    <d v="2011-01-02T00:00:00"/>
    <x v="0"/>
    <x v="0"/>
    <x v="0"/>
    <d v="1899-12-31T04:00:00"/>
    <x v="0"/>
    <x v="1"/>
    <x v="1"/>
    <x v="19"/>
    <x v="18"/>
    <n v="0.94"/>
    <x v="2"/>
    <n v="2"/>
    <n v="1"/>
    <n v="3"/>
  </r>
  <r>
    <n v="51"/>
    <d v="2011-01-03T00:00:00"/>
    <x v="0"/>
    <x v="0"/>
    <x v="0"/>
    <d v="1900-01-01T02:00:00"/>
    <x v="0"/>
    <x v="2"/>
    <x v="0"/>
    <x v="2"/>
    <x v="3"/>
    <n v="0.47"/>
    <x v="7"/>
    <n v="0"/>
    <n v="3"/>
    <n v="3"/>
  </r>
  <r>
    <n v="97"/>
    <d v="2011-01-05T00:00:00"/>
    <x v="0"/>
    <x v="0"/>
    <x v="0"/>
    <d v="1900-01-03T00:00:00"/>
    <x v="0"/>
    <x v="6"/>
    <x v="0"/>
    <x v="10"/>
    <x v="9"/>
    <n v="0.47"/>
    <x v="6"/>
    <n v="0"/>
    <n v="3"/>
    <n v="3"/>
  </r>
  <r>
    <n v="212"/>
    <d v="2011-01-10T00:00:00"/>
    <x v="0"/>
    <x v="0"/>
    <x v="0"/>
    <d v="1900-01-07T19:00:00"/>
    <x v="0"/>
    <x v="2"/>
    <x v="0"/>
    <x v="8"/>
    <x v="8"/>
    <n v="0.5"/>
    <x v="5"/>
    <n v="0"/>
    <n v="3"/>
    <n v="3"/>
  </r>
  <r>
    <n v="214"/>
    <d v="2011-01-10T00:00:00"/>
    <x v="0"/>
    <x v="0"/>
    <x v="0"/>
    <d v="1900-01-07T21:00:00"/>
    <x v="0"/>
    <x v="2"/>
    <x v="0"/>
    <x v="7"/>
    <x v="8"/>
    <n v="0.54"/>
    <x v="4"/>
    <n v="1"/>
    <n v="2"/>
    <n v="3"/>
  </r>
  <r>
    <n v="215"/>
    <d v="2011-01-10T00:00:00"/>
    <x v="0"/>
    <x v="0"/>
    <x v="0"/>
    <d v="1900-01-07T22:00:00"/>
    <x v="0"/>
    <x v="2"/>
    <x v="0"/>
    <x v="7"/>
    <x v="20"/>
    <n v="0.54"/>
    <x v="10"/>
    <n v="0"/>
    <n v="3"/>
    <n v="3"/>
  </r>
  <r>
    <n v="235"/>
    <d v="2011-01-11T00:00:00"/>
    <x v="0"/>
    <x v="0"/>
    <x v="0"/>
    <d v="1900-01-08T18:00:00"/>
    <x v="0"/>
    <x v="3"/>
    <x v="0"/>
    <x v="3"/>
    <x v="4"/>
    <n v="0.59"/>
    <x v="6"/>
    <n v="0"/>
    <n v="3"/>
    <n v="3"/>
  </r>
  <r>
    <n v="236"/>
    <d v="2011-01-11T00:00:00"/>
    <x v="0"/>
    <x v="0"/>
    <x v="0"/>
    <d v="1900-01-08T19:00:00"/>
    <x v="0"/>
    <x v="3"/>
    <x v="1"/>
    <x v="2"/>
    <x v="4"/>
    <n v="0.55000000000000004"/>
    <x v="2"/>
    <n v="0"/>
    <n v="3"/>
    <n v="3"/>
  </r>
  <r>
    <n v="281"/>
    <d v="2011-01-13T00:00:00"/>
    <x v="0"/>
    <x v="0"/>
    <x v="0"/>
    <d v="1900-01-10T16:00:00"/>
    <x v="0"/>
    <x v="4"/>
    <x v="0"/>
    <x v="3"/>
    <x v="8"/>
    <n v="0.5"/>
    <x v="13"/>
    <n v="0"/>
    <n v="3"/>
    <n v="3"/>
  </r>
  <r>
    <n v="283"/>
    <d v="2011-01-13T00:00:00"/>
    <x v="0"/>
    <x v="0"/>
    <x v="0"/>
    <d v="1900-01-10T18:00:00"/>
    <x v="0"/>
    <x v="4"/>
    <x v="0"/>
    <x v="3"/>
    <x v="8"/>
    <n v="0.5"/>
    <x v="9"/>
    <n v="0"/>
    <n v="3"/>
    <n v="3"/>
  </r>
  <r>
    <n v="331"/>
    <d v="2011-01-15T00:00:00"/>
    <x v="0"/>
    <x v="0"/>
    <x v="0"/>
    <d v="1900-01-12T18:00:00"/>
    <x v="0"/>
    <x v="0"/>
    <x v="0"/>
    <x v="3"/>
    <x v="14"/>
    <n v="0.63"/>
    <x v="8"/>
    <n v="1"/>
    <n v="2"/>
    <n v="3"/>
  </r>
  <r>
    <n v="356"/>
    <d v="2011-01-16T00:00:00"/>
    <x v="0"/>
    <x v="0"/>
    <x v="0"/>
    <d v="1900-01-13T19:00:00"/>
    <x v="0"/>
    <x v="1"/>
    <x v="1"/>
    <x v="0"/>
    <x v="6"/>
    <n v="0.56000000000000005"/>
    <x v="9"/>
    <n v="0"/>
    <n v="3"/>
    <n v="3"/>
  </r>
  <r>
    <n v="377"/>
    <d v="2011-01-17T00:00:00"/>
    <x v="0"/>
    <x v="0"/>
    <x v="0"/>
    <d v="1900-01-14T16:00:00"/>
    <x v="1"/>
    <x v="2"/>
    <x v="1"/>
    <x v="5"/>
    <x v="5"/>
    <n v="0.43"/>
    <x v="4"/>
    <n v="1"/>
    <n v="2"/>
    <n v="3"/>
  </r>
  <r>
    <n v="397"/>
    <d v="2011-01-18T00:00:00"/>
    <x v="0"/>
    <x v="0"/>
    <x v="0"/>
    <d v="1900-01-15T12:00:00"/>
    <x v="0"/>
    <x v="3"/>
    <x v="1"/>
    <x v="4"/>
    <x v="15"/>
    <n v="0.86"/>
    <x v="13"/>
    <n v="0"/>
    <n v="3"/>
    <n v="3"/>
  </r>
  <r>
    <n v="409"/>
    <d v="2011-01-19T00:00:00"/>
    <x v="0"/>
    <x v="0"/>
    <x v="0"/>
    <d v="1900-01-16T00:00:00"/>
    <x v="0"/>
    <x v="6"/>
    <x v="1"/>
    <x v="10"/>
    <x v="16"/>
    <n v="0.93"/>
    <x v="0"/>
    <n v="0"/>
    <n v="3"/>
    <n v="3"/>
  </r>
  <r>
    <n v="411"/>
    <d v="2011-01-19T00:00:00"/>
    <x v="0"/>
    <x v="0"/>
    <x v="0"/>
    <d v="1900-01-16T02:00:00"/>
    <x v="0"/>
    <x v="6"/>
    <x v="2"/>
    <x v="10"/>
    <x v="9"/>
    <n v="0.93"/>
    <x v="4"/>
    <n v="0"/>
    <n v="3"/>
    <n v="3"/>
  </r>
  <r>
    <n v="484"/>
    <d v="2011-01-22T00:00:00"/>
    <x v="0"/>
    <x v="0"/>
    <x v="0"/>
    <d v="1900-01-19T03:00:00"/>
    <x v="0"/>
    <x v="0"/>
    <x v="1"/>
    <x v="12"/>
    <x v="24"/>
    <n v="0.48"/>
    <x v="9"/>
    <n v="0"/>
    <n v="3"/>
    <n v="3"/>
  </r>
  <r>
    <n v="507"/>
    <d v="2011-01-23T00:00:00"/>
    <x v="0"/>
    <x v="0"/>
    <x v="0"/>
    <d v="1900-01-20T02:00:00"/>
    <x v="0"/>
    <x v="1"/>
    <x v="1"/>
    <x v="11"/>
    <x v="10"/>
    <n v="0.56999999999999995"/>
    <x v="8"/>
    <n v="0"/>
    <n v="3"/>
    <n v="3"/>
  </r>
  <r>
    <n v="597"/>
    <d v="2011-01-28T00:00:00"/>
    <x v="0"/>
    <x v="0"/>
    <x v="0"/>
    <d v="1900-01-23T20:00:00"/>
    <x v="0"/>
    <x v="5"/>
    <x v="1"/>
    <x v="4"/>
    <x v="6"/>
    <n v="0.75"/>
    <x v="4"/>
    <n v="1"/>
    <n v="2"/>
    <n v="3"/>
  </r>
  <r>
    <n v="623"/>
    <d v="2011-01-29T00:00:00"/>
    <x v="0"/>
    <x v="0"/>
    <x v="0"/>
    <d v="1900-01-24T22:00:00"/>
    <x v="0"/>
    <x v="0"/>
    <x v="0"/>
    <x v="2"/>
    <x v="15"/>
    <n v="0.69"/>
    <x v="8"/>
    <n v="1"/>
    <n v="2"/>
    <n v="3"/>
  </r>
  <r>
    <n v="647"/>
    <d v="2011-01-30T00:00:00"/>
    <x v="0"/>
    <x v="0"/>
    <x v="0"/>
    <d v="1900-01-25T22:00:00"/>
    <x v="0"/>
    <x v="1"/>
    <x v="0"/>
    <x v="3"/>
    <x v="6"/>
    <n v="0.86"/>
    <x v="0"/>
    <n v="0"/>
    <n v="3"/>
    <n v="3"/>
  </r>
  <r>
    <n v="648"/>
    <d v="2011-01-30T00:00:00"/>
    <x v="0"/>
    <x v="0"/>
    <x v="0"/>
    <d v="1900-01-25T23:00:00"/>
    <x v="0"/>
    <x v="1"/>
    <x v="0"/>
    <x v="3"/>
    <x v="6"/>
    <n v="0.86"/>
    <x v="0"/>
    <n v="0"/>
    <n v="3"/>
    <n v="3"/>
  </r>
  <r>
    <n v="690"/>
    <d v="2011-02-01T00:00:00"/>
    <x v="0"/>
    <x v="0"/>
    <x v="1"/>
    <d v="1900-01-27T17:00:00"/>
    <x v="0"/>
    <x v="3"/>
    <x v="1"/>
    <x v="2"/>
    <x v="15"/>
    <n v="0.69"/>
    <x v="8"/>
    <n v="0"/>
    <n v="3"/>
    <n v="3"/>
  </r>
  <r>
    <n v="693"/>
    <d v="2011-02-01T00:00:00"/>
    <x v="0"/>
    <x v="0"/>
    <x v="1"/>
    <d v="1900-01-27T20:00:00"/>
    <x v="0"/>
    <x v="3"/>
    <x v="2"/>
    <x v="3"/>
    <x v="6"/>
    <n v="0.93"/>
    <x v="0"/>
    <n v="0"/>
    <n v="3"/>
    <n v="3"/>
  </r>
  <r>
    <n v="713"/>
    <d v="2011-02-02T00:00:00"/>
    <x v="0"/>
    <x v="0"/>
    <x v="1"/>
    <d v="1900-01-28T16:00:00"/>
    <x v="0"/>
    <x v="6"/>
    <x v="2"/>
    <x v="10"/>
    <x v="9"/>
    <n v="0.93"/>
    <x v="2"/>
    <n v="0"/>
    <n v="3"/>
    <n v="3"/>
  </r>
  <r>
    <n v="717"/>
    <d v="2011-02-02T00:00:00"/>
    <x v="0"/>
    <x v="0"/>
    <x v="1"/>
    <d v="1900-01-28T20:00:00"/>
    <x v="0"/>
    <x v="6"/>
    <x v="2"/>
    <x v="10"/>
    <x v="19"/>
    <n v="0.93"/>
    <x v="8"/>
    <n v="0"/>
    <n v="3"/>
    <n v="3"/>
  </r>
  <r>
    <n v="832"/>
    <d v="2011-02-07T00:00:00"/>
    <x v="0"/>
    <x v="0"/>
    <x v="1"/>
    <d v="1900-02-02T15:00:00"/>
    <x v="0"/>
    <x v="2"/>
    <x v="0"/>
    <x v="4"/>
    <x v="1"/>
    <n v="0.8"/>
    <x v="0"/>
    <n v="0"/>
    <n v="3"/>
    <n v="3"/>
  </r>
  <r>
    <n v="858"/>
    <d v="2011-02-08T00:00:00"/>
    <x v="0"/>
    <x v="0"/>
    <x v="1"/>
    <d v="1900-02-03T17:00:00"/>
    <x v="0"/>
    <x v="3"/>
    <x v="0"/>
    <x v="9"/>
    <x v="1"/>
    <n v="0.93"/>
    <x v="6"/>
    <n v="0"/>
    <n v="3"/>
    <n v="3"/>
  </r>
  <r>
    <n v="880"/>
    <d v="2011-02-09T00:00:00"/>
    <x v="0"/>
    <x v="0"/>
    <x v="1"/>
    <d v="1900-02-04T15:00:00"/>
    <x v="0"/>
    <x v="6"/>
    <x v="0"/>
    <x v="6"/>
    <x v="10"/>
    <n v="0.38"/>
    <x v="7"/>
    <n v="1"/>
    <n v="2"/>
    <n v="3"/>
  </r>
  <r>
    <n v="903"/>
    <d v="2011-02-10T00:00:00"/>
    <x v="0"/>
    <x v="0"/>
    <x v="1"/>
    <d v="1900-02-05T14:00:00"/>
    <x v="0"/>
    <x v="4"/>
    <x v="2"/>
    <x v="3"/>
    <x v="4"/>
    <n v="0.8"/>
    <x v="4"/>
    <n v="0"/>
    <n v="3"/>
    <n v="3"/>
  </r>
  <r>
    <n v="926"/>
    <d v="2011-02-11T00:00:00"/>
    <x v="0"/>
    <x v="0"/>
    <x v="1"/>
    <d v="1900-02-06T13:00:00"/>
    <x v="0"/>
    <x v="5"/>
    <x v="0"/>
    <x v="7"/>
    <x v="3"/>
    <n v="0.54"/>
    <x v="1"/>
    <n v="0"/>
    <n v="3"/>
    <n v="3"/>
  </r>
  <r>
    <n v="976"/>
    <d v="2011-02-13T00:00:00"/>
    <x v="0"/>
    <x v="0"/>
    <x v="1"/>
    <d v="1900-02-08T15:00:00"/>
    <x v="0"/>
    <x v="1"/>
    <x v="1"/>
    <x v="10"/>
    <x v="16"/>
    <n v="0.55000000000000004"/>
    <x v="0"/>
    <n v="0"/>
    <n v="3"/>
    <n v="3"/>
  </r>
  <r>
    <n v="998"/>
    <d v="2011-02-14T00:00:00"/>
    <x v="0"/>
    <x v="0"/>
    <x v="1"/>
    <d v="1900-02-09T13:00:00"/>
    <x v="0"/>
    <x v="2"/>
    <x v="0"/>
    <x v="18"/>
    <x v="23"/>
    <n v="0.53"/>
    <x v="7"/>
    <n v="0"/>
    <n v="3"/>
    <n v="3"/>
  </r>
  <r>
    <n v="74"/>
    <d v="2011-01-04T00:00:00"/>
    <x v="0"/>
    <x v="0"/>
    <x v="0"/>
    <d v="1900-01-02T01:00:00"/>
    <x v="0"/>
    <x v="3"/>
    <x v="0"/>
    <x v="8"/>
    <x v="4"/>
    <n v="0.68"/>
    <x v="8"/>
    <n v="0"/>
    <n v="4"/>
    <n v="4"/>
  </r>
  <r>
    <n v="117"/>
    <d v="2011-01-06T00:00:00"/>
    <x v="0"/>
    <x v="0"/>
    <x v="0"/>
    <d v="1900-01-03T20:00:00"/>
    <x v="0"/>
    <x v="4"/>
    <x v="0"/>
    <x v="2"/>
    <x v="9"/>
    <n v="0.64"/>
    <x v="0"/>
    <n v="0"/>
    <n v="4"/>
    <n v="4"/>
  </r>
  <r>
    <n v="120"/>
    <d v="2011-01-06T00:00:00"/>
    <x v="0"/>
    <x v="0"/>
    <x v="0"/>
    <d v="1900-01-03T23:00:00"/>
    <x v="0"/>
    <x v="4"/>
    <x v="1"/>
    <x v="3"/>
    <x v="15"/>
    <n v="0.69"/>
    <x v="1"/>
    <n v="0"/>
    <n v="4"/>
    <n v="4"/>
  </r>
  <r>
    <n v="189"/>
    <d v="2011-01-09T00:00:00"/>
    <x v="0"/>
    <x v="0"/>
    <x v="0"/>
    <d v="1900-01-06T20:00:00"/>
    <x v="0"/>
    <x v="1"/>
    <x v="0"/>
    <x v="7"/>
    <x v="10"/>
    <n v="0.46"/>
    <x v="11"/>
    <n v="0"/>
    <n v="4"/>
    <n v="4"/>
  </r>
  <r>
    <n v="282"/>
    <d v="2011-01-13T00:00:00"/>
    <x v="0"/>
    <x v="0"/>
    <x v="0"/>
    <d v="1900-01-10T17:00:00"/>
    <x v="0"/>
    <x v="4"/>
    <x v="0"/>
    <x v="3"/>
    <x v="8"/>
    <n v="0.5"/>
    <x v="10"/>
    <n v="0"/>
    <n v="4"/>
    <n v="4"/>
  </r>
  <r>
    <n v="396"/>
    <d v="2011-01-17T00:00:00"/>
    <x v="0"/>
    <x v="0"/>
    <x v="0"/>
    <d v="1900-01-15T11:00:00"/>
    <x v="1"/>
    <x v="2"/>
    <x v="2"/>
    <x v="2"/>
    <x v="3"/>
    <n v="0.86"/>
    <x v="7"/>
    <n v="1"/>
    <n v="3"/>
    <n v="4"/>
  </r>
  <r>
    <n v="600"/>
    <d v="2011-01-28T00:00:00"/>
    <x v="0"/>
    <x v="0"/>
    <x v="0"/>
    <d v="1900-01-23T23:00:00"/>
    <x v="0"/>
    <x v="5"/>
    <x v="1"/>
    <x v="5"/>
    <x v="6"/>
    <n v="0.8"/>
    <x v="8"/>
    <n v="0"/>
    <n v="4"/>
    <n v="4"/>
  </r>
  <r>
    <n v="714"/>
    <d v="2011-02-02T00:00:00"/>
    <x v="0"/>
    <x v="0"/>
    <x v="1"/>
    <d v="1900-01-28T17:00:00"/>
    <x v="0"/>
    <x v="6"/>
    <x v="2"/>
    <x v="10"/>
    <x v="9"/>
    <n v="0.93"/>
    <x v="4"/>
    <n v="4"/>
    <n v="0"/>
    <n v="4"/>
  </r>
  <r>
    <n v="788"/>
    <d v="2011-02-05T00:00:00"/>
    <x v="0"/>
    <x v="0"/>
    <x v="1"/>
    <d v="1900-01-31T19:00:00"/>
    <x v="0"/>
    <x v="0"/>
    <x v="2"/>
    <x v="4"/>
    <x v="1"/>
    <n v="1"/>
    <x v="0"/>
    <n v="0"/>
    <n v="4"/>
    <n v="4"/>
  </r>
  <r>
    <n v="789"/>
    <d v="2011-02-05T00:00:00"/>
    <x v="0"/>
    <x v="0"/>
    <x v="1"/>
    <d v="1900-01-31T20:00:00"/>
    <x v="0"/>
    <x v="0"/>
    <x v="2"/>
    <x v="10"/>
    <x v="1"/>
    <n v="0.93"/>
    <x v="1"/>
    <n v="0"/>
    <n v="4"/>
    <n v="4"/>
  </r>
  <r>
    <n v="855"/>
    <d v="2011-02-08T00:00:00"/>
    <x v="0"/>
    <x v="0"/>
    <x v="1"/>
    <d v="1900-02-03T14:00:00"/>
    <x v="0"/>
    <x v="3"/>
    <x v="1"/>
    <x v="13"/>
    <x v="22"/>
    <n v="0.87"/>
    <x v="0"/>
    <n v="0"/>
    <n v="4"/>
    <n v="4"/>
  </r>
  <r>
    <n v="927"/>
    <d v="2011-02-11T00:00:00"/>
    <x v="0"/>
    <x v="0"/>
    <x v="1"/>
    <d v="1900-02-06T14:00:00"/>
    <x v="0"/>
    <x v="5"/>
    <x v="0"/>
    <x v="6"/>
    <x v="8"/>
    <n v="0.63"/>
    <x v="1"/>
    <n v="0"/>
    <n v="4"/>
    <n v="4"/>
  </r>
  <r>
    <n v="950"/>
    <d v="2011-02-12T00:00:00"/>
    <x v="0"/>
    <x v="0"/>
    <x v="1"/>
    <d v="1900-02-07T13:00:00"/>
    <x v="0"/>
    <x v="0"/>
    <x v="0"/>
    <x v="8"/>
    <x v="14"/>
    <n v="0.74"/>
    <x v="1"/>
    <n v="0"/>
    <n v="4"/>
    <n v="4"/>
  </r>
  <r>
    <n v="48"/>
    <d v="2011-01-03T00:00:00"/>
    <x v="0"/>
    <x v="0"/>
    <x v="0"/>
    <d v="1899-12-31T23:00:00"/>
    <x v="0"/>
    <x v="2"/>
    <x v="0"/>
    <x v="10"/>
    <x v="5"/>
    <n v="0.44"/>
    <x v="12"/>
    <n v="0"/>
    <n v="5"/>
    <n v="5"/>
  </r>
  <r>
    <n v="70"/>
    <d v="2011-01-04T00:00:00"/>
    <x v="0"/>
    <x v="0"/>
    <x v="0"/>
    <d v="1900-01-01T21:00:00"/>
    <x v="0"/>
    <x v="3"/>
    <x v="0"/>
    <x v="2"/>
    <x v="18"/>
    <n v="0.55000000000000004"/>
    <x v="8"/>
    <n v="0"/>
    <n v="5"/>
    <n v="5"/>
  </r>
  <r>
    <n v="143"/>
    <d v="2011-01-07T00:00:00"/>
    <x v="0"/>
    <x v="0"/>
    <x v="0"/>
    <d v="1900-01-04T22:00:00"/>
    <x v="0"/>
    <x v="5"/>
    <x v="2"/>
    <x v="10"/>
    <x v="16"/>
    <n v="0.55000000000000004"/>
    <x v="0"/>
    <n v="0"/>
    <n v="5"/>
    <n v="5"/>
  </r>
  <r>
    <n v="167"/>
    <d v="2011-01-08T00:00:00"/>
    <x v="0"/>
    <x v="0"/>
    <x v="0"/>
    <d v="1900-01-05T22:00:00"/>
    <x v="0"/>
    <x v="0"/>
    <x v="1"/>
    <x v="2"/>
    <x v="14"/>
    <n v="0.74"/>
    <x v="6"/>
    <n v="0"/>
    <n v="5"/>
    <n v="5"/>
  </r>
  <r>
    <n v="210"/>
    <d v="2011-01-10T00:00:00"/>
    <x v="0"/>
    <x v="0"/>
    <x v="0"/>
    <d v="1900-01-07T17:00:00"/>
    <x v="0"/>
    <x v="2"/>
    <x v="0"/>
    <x v="8"/>
    <x v="8"/>
    <n v="0.5"/>
    <x v="7"/>
    <n v="2"/>
    <n v="3"/>
    <n v="5"/>
  </r>
  <r>
    <n v="259"/>
    <d v="2011-01-12T00:00:00"/>
    <x v="0"/>
    <x v="0"/>
    <x v="0"/>
    <d v="1900-01-09T18:00:00"/>
    <x v="0"/>
    <x v="6"/>
    <x v="0"/>
    <x v="3"/>
    <x v="4"/>
    <n v="0.86"/>
    <x v="6"/>
    <n v="0"/>
    <n v="5"/>
    <n v="5"/>
  </r>
  <r>
    <n v="303"/>
    <d v="2011-01-14T00:00:00"/>
    <x v="0"/>
    <x v="0"/>
    <x v="0"/>
    <d v="1900-01-11T14:00:00"/>
    <x v="0"/>
    <x v="5"/>
    <x v="0"/>
    <x v="7"/>
    <x v="8"/>
    <n v="0.54"/>
    <x v="6"/>
    <n v="0"/>
    <n v="5"/>
    <n v="5"/>
  </r>
  <r>
    <n v="329"/>
    <d v="2011-01-15T00:00:00"/>
    <x v="0"/>
    <x v="0"/>
    <x v="0"/>
    <d v="1900-01-12T16:00:00"/>
    <x v="0"/>
    <x v="0"/>
    <x v="1"/>
    <x v="2"/>
    <x v="9"/>
    <n v="0.59"/>
    <x v="0"/>
    <n v="0"/>
    <n v="5"/>
    <n v="5"/>
  </r>
  <r>
    <n v="379"/>
    <d v="2011-01-17T00:00:00"/>
    <x v="0"/>
    <x v="0"/>
    <x v="0"/>
    <d v="1900-01-14T18:00:00"/>
    <x v="1"/>
    <x v="2"/>
    <x v="1"/>
    <x v="5"/>
    <x v="15"/>
    <n v="0.43"/>
    <x v="2"/>
    <n v="0"/>
    <n v="5"/>
    <n v="5"/>
  </r>
  <r>
    <n v="433"/>
    <d v="2011-01-20T00:00:00"/>
    <x v="0"/>
    <x v="0"/>
    <x v="0"/>
    <d v="1900-01-17T00:00:00"/>
    <x v="0"/>
    <x v="4"/>
    <x v="0"/>
    <x v="9"/>
    <x v="16"/>
    <n v="0.56000000000000005"/>
    <x v="0"/>
    <n v="2"/>
    <n v="3"/>
    <n v="5"/>
  </r>
  <r>
    <n v="461"/>
    <d v="2011-01-21T00:00:00"/>
    <x v="0"/>
    <x v="0"/>
    <x v="0"/>
    <d v="1900-01-18T04:00:00"/>
    <x v="0"/>
    <x v="5"/>
    <x v="0"/>
    <x v="0"/>
    <x v="5"/>
    <n v="0.6"/>
    <x v="11"/>
    <n v="1"/>
    <n v="4"/>
    <n v="5"/>
  </r>
  <r>
    <n v="506"/>
    <d v="2011-01-23T00:00:00"/>
    <x v="0"/>
    <x v="0"/>
    <x v="0"/>
    <d v="1900-01-20T01:00:00"/>
    <x v="0"/>
    <x v="1"/>
    <x v="0"/>
    <x v="12"/>
    <x v="13"/>
    <n v="0.62"/>
    <x v="4"/>
    <n v="1"/>
    <n v="4"/>
    <n v="5"/>
  </r>
  <r>
    <n v="530"/>
    <d v="2011-01-24T00:00:00"/>
    <x v="0"/>
    <x v="0"/>
    <x v="0"/>
    <d v="1900-01-21T01:00:00"/>
    <x v="0"/>
    <x v="2"/>
    <x v="0"/>
    <x v="12"/>
    <x v="13"/>
    <n v="0.48"/>
    <x v="4"/>
    <n v="0"/>
    <n v="5"/>
    <n v="5"/>
  </r>
  <r>
    <n v="550"/>
    <d v="2011-01-25T00:00:00"/>
    <x v="0"/>
    <x v="0"/>
    <x v="0"/>
    <d v="1900-01-21T21:00:00"/>
    <x v="0"/>
    <x v="3"/>
    <x v="1"/>
    <x v="2"/>
    <x v="14"/>
    <n v="0.69"/>
    <x v="6"/>
    <n v="0"/>
    <n v="5"/>
    <n v="5"/>
  </r>
  <r>
    <n v="573"/>
    <d v="2011-01-26T00:00:00"/>
    <x v="0"/>
    <x v="0"/>
    <x v="0"/>
    <d v="1900-01-22T20:00:00"/>
    <x v="0"/>
    <x v="6"/>
    <x v="1"/>
    <x v="0"/>
    <x v="19"/>
    <n v="0.65"/>
    <x v="4"/>
    <n v="0"/>
    <n v="5"/>
    <n v="5"/>
  </r>
  <r>
    <n v="625"/>
    <d v="2011-01-29T00:00:00"/>
    <x v="0"/>
    <x v="0"/>
    <x v="0"/>
    <d v="1900-01-25T00:00:00"/>
    <x v="0"/>
    <x v="0"/>
    <x v="0"/>
    <x v="2"/>
    <x v="15"/>
    <n v="0.59"/>
    <x v="8"/>
    <n v="1"/>
    <n v="4"/>
    <n v="5"/>
  </r>
  <r>
    <n v="737"/>
    <d v="2011-02-03T00:00:00"/>
    <x v="0"/>
    <x v="0"/>
    <x v="1"/>
    <d v="1900-01-29T16:00:00"/>
    <x v="0"/>
    <x v="4"/>
    <x v="0"/>
    <x v="4"/>
    <x v="4"/>
    <n v="0.44"/>
    <x v="14"/>
    <n v="0"/>
    <n v="5"/>
    <n v="5"/>
  </r>
  <r>
    <n v="831"/>
    <d v="2011-02-07T00:00:00"/>
    <x v="0"/>
    <x v="0"/>
    <x v="1"/>
    <d v="1900-02-02T14:00:00"/>
    <x v="0"/>
    <x v="2"/>
    <x v="0"/>
    <x v="10"/>
    <x v="16"/>
    <n v="0.75"/>
    <x v="0"/>
    <n v="1"/>
    <n v="4"/>
    <n v="5"/>
  </r>
  <r>
    <n v="975"/>
    <d v="2011-02-13T00:00:00"/>
    <x v="0"/>
    <x v="0"/>
    <x v="1"/>
    <d v="1900-02-08T14:00:00"/>
    <x v="0"/>
    <x v="1"/>
    <x v="1"/>
    <x v="4"/>
    <x v="6"/>
    <n v="0.69"/>
    <x v="4"/>
    <n v="2"/>
    <n v="3"/>
    <n v="5"/>
  </r>
  <r>
    <n v="28"/>
    <d v="2011-01-02T00:00:00"/>
    <x v="0"/>
    <x v="0"/>
    <x v="0"/>
    <d v="1899-12-31T03:00:00"/>
    <x v="0"/>
    <x v="1"/>
    <x v="1"/>
    <x v="19"/>
    <x v="25"/>
    <n v="0.94"/>
    <x v="2"/>
    <n v="2"/>
    <n v="4"/>
    <n v="6"/>
  </r>
  <r>
    <n v="93"/>
    <d v="2011-01-05T00:00:00"/>
    <x v="0"/>
    <x v="0"/>
    <x v="0"/>
    <d v="1900-01-02T20:00:00"/>
    <x v="0"/>
    <x v="6"/>
    <x v="0"/>
    <x v="4"/>
    <x v="1"/>
    <n v="0.64"/>
    <x v="0"/>
    <n v="0"/>
    <n v="6"/>
    <n v="6"/>
  </r>
  <r>
    <n v="94"/>
    <d v="2011-01-05T00:00:00"/>
    <x v="0"/>
    <x v="0"/>
    <x v="0"/>
    <d v="1900-01-02T21:00:00"/>
    <x v="0"/>
    <x v="6"/>
    <x v="0"/>
    <x v="2"/>
    <x v="5"/>
    <n v="0.74"/>
    <x v="1"/>
    <n v="0"/>
    <n v="6"/>
    <n v="6"/>
  </r>
  <r>
    <n v="193"/>
    <d v="2011-01-09T00:00:00"/>
    <x v="0"/>
    <x v="0"/>
    <x v="0"/>
    <d v="1900-01-07T00:00:00"/>
    <x v="0"/>
    <x v="1"/>
    <x v="0"/>
    <x v="6"/>
    <x v="7"/>
    <n v="0.53"/>
    <x v="2"/>
    <n v="1"/>
    <n v="5"/>
    <n v="6"/>
  </r>
  <r>
    <n v="209"/>
    <d v="2011-01-09T00:00:00"/>
    <x v="0"/>
    <x v="0"/>
    <x v="0"/>
    <d v="1900-01-07T16:00:00"/>
    <x v="0"/>
    <x v="1"/>
    <x v="0"/>
    <x v="8"/>
    <x v="3"/>
    <n v="0.5"/>
    <x v="2"/>
    <n v="0"/>
    <n v="6"/>
    <n v="6"/>
  </r>
  <r>
    <n v="237"/>
    <d v="2011-01-11T00:00:00"/>
    <x v="0"/>
    <x v="0"/>
    <x v="0"/>
    <d v="1900-01-08T20:00:00"/>
    <x v="0"/>
    <x v="3"/>
    <x v="1"/>
    <x v="2"/>
    <x v="15"/>
    <n v="0.55000000000000004"/>
    <x v="4"/>
    <n v="0"/>
    <n v="6"/>
    <n v="6"/>
  </r>
  <r>
    <n v="257"/>
    <d v="2011-01-12T00:00:00"/>
    <x v="0"/>
    <x v="0"/>
    <x v="0"/>
    <d v="1900-01-09T16:00:00"/>
    <x v="0"/>
    <x v="6"/>
    <x v="1"/>
    <x v="2"/>
    <x v="15"/>
    <n v="0.86"/>
    <x v="8"/>
    <n v="0"/>
    <n v="6"/>
    <n v="6"/>
  </r>
  <r>
    <n v="437"/>
    <d v="2011-01-20T00:00:00"/>
    <x v="0"/>
    <x v="0"/>
    <x v="0"/>
    <d v="1900-01-17T04:00:00"/>
    <x v="0"/>
    <x v="4"/>
    <x v="0"/>
    <x v="0"/>
    <x v="9"/>
    <n v="0.6"/>
    <x v="5"/>
    <n v="0"/>
    <n v="6"/>
    <n v="6"/>
  </r>
  <r>
    <n v="457"/>
    <d v="2011-01-21T00:00:00"/>
    <x v="0"/>
    <x v="0"/>
    <x v="0"/>
    <d v="1900-01-18T00:00:00"/>
    <x v="0"/>
    <x v="5"/>
    <x v="1"/>
    <x v="0"/>
    <x v="9"/>
    <n v="0.7"/>
    <x v="10"/>
    <n v="0"/>
    <n v="6"/>
    <n v="6"/>
  </r>
  <r>
    <n v="905"/>
    <d v="2011-02-10T00:00:00"/>
    <x v="0"/>
    <x v="0"/>
    <x v="1"/>
    <d v="1900-02-05T16:00:00"/>
    <x v="0"/>
    <x v="4"/>
    <x v="1"/>
    <x v="8"/>
    <x v="8"/>
    <n v="0.5"/>
    <x v="5"/>
    <n v="0"/>
    <n v="6"/>
    <n v="6"/>
  </r>
  <r>
    <n v="140"/>
    <d v="2011-01-07T00:00:00"/>
    <x v="0"/>
    <x v="0"/>
    <x v="0"/>
    <d v="1900-01-04T19:00:00"/>
    <x v="0"/>
    <x v="5"/>
    <x v="1"/>
    <x v="4"/>
    <x v="5"/>
    <n v="0.69"/>
    <x v="5"/>
    <n v="2"/>
    <n v="5"/>
    <n v="7"/>
  </r>
  <r>
    <n v="165"/>
    <d v="2011-01-08T00:00:00"/>
    <x v="0"/>
    <x v="0"/>
    <x v="0"/>
    <d v="1900-01-05T20:00:00"/>
    <x v="0"/>
    <x v="0"/>
    <x v="2"/>
    <x v="5"/>
    <x v="5"/>
    <n v="0.55000000000000004"/>
    <x v="6"/>
    <n v="0"/>
    <n v="7"/>
    <n v="7"/>
  </r>
  <r>
    <n v="256"/>
    <d v="2011-01-12T00:00:00"/>
    <x v="0"/>
    <x v="0"/>
    <x v="0"/>
    <d v="1900-01-09T15:00:00"/>
    <x v="0"/>
    <x v="6"/>
    <x v="1"/>
    <x v="2"/>
    <x v="5"/>
    <n v="0.86"/>
    <x v="1"/>
    <n v="0"/>
    <n v="7"/>
    <n v="7"/>
  </r>
  <r>
    <n v="278"/>
    <d v="2011-01-13T00:00:00"/>
    <x v="0"/>
    <x v="0"/>
    <x v="0"/>
    <d v="1900-01-10T13:00:00"/>
    <x v="0"/>
    <x v="4"/>
    <x v="0"/>
    <x v="3"/>
    <x v="8"/>
    <n v="0.59"/>
    <x v="7"/>
    <n v="1"/>
    <n v="6"/>
    <n v="7"/>
  </r>
  <r>
    <n v="410"/>
    <d v="2011-01-19T00:00:00"/>
    <x v="0"/>
    <x v="0"/>
    <x v="0"/>
    <d v="1900-01-16T01:00:00"/>
    <x v="0"/>
    <x v="6"/>
    <x v="2"/>
    <x v="10"/>
    <x v="9"/>
    <n v="0.93"/>
    <x v="4"/>
    <n v="1"/>
    <n v="6"/>
    <n v="7"/>
  </r>
  <r>
    <n v="413"/>
    <d v="2011-01-19T00:00:00"/>
    <x v="0"/>
    <x v="0"/>
    <x v="0"/>
    <d v="1900-01-16T04:00:00"/>
    <x v="0"/>
    <x v="6"/>
    <x v="1"/>
    <x v="10"/>
    <x v="1"/>
    <n v="0.93"/>
    <x v="1"/>
    <n v="0"/>
    <n v="7"/>
    <n v="7"/>
  </r>
  <r>
    <n v="483"/>
    <d v="2011-01-22T00:00:00"/>
    <x v="0"/>
    <x v="0"/>
    <x v="0"/>
    <d v="1900-01-19T02:00:00"/>
    <x v="0"/>
    <x v="0"/>
    <x v="1"/>
    <x v="11"/>
    <x v="12"/>
    <n v="0.41"/>
    <x v="7"/>
    <n v="1"/>
    <n v="6"/>
    <n v="7"/>
  </r>
  <r>
    <n v="526"/>
    <d v="2011-01-24T00:00:00"/>
    <x v="0"/>
    <x v="0"/>
    <x v="0"/>
    <d v="1900-01-20T21:00:00"/>
    <x v="0"/>
    <x v="2"/>
    <x v="0"/>
    <x v="15"/>
    <x v="13"/>
    <n v="0.41"/>
    <x v="2"/>
    <n v="0"/>
    <n v="7"/>
    <n v="7"/>
  </r>
  <r>
    <n v="665"/>
    <d v="2011-01-31T00:00:00"/>
    <x v="0"/>
    <x v="0"/>
    <x v="0"/>
    <d v="1900-01-26T16:00:00"/>
    <x v="0"/>
    <x v="2"/>
    <x v="1"/>
    <x v="0"/>
    <x v="9"/>
    <n v="0.65"/>
    <x v="5"/>
    <n v="1"/>
    <n v="6"/>
    <n v="7"/>
  </r>
  <r>
    <n v="666"/>
    <d v="2011-01-31T00:00:00"/>
    <x v="0"/>
    <x v="0"/>
    <x v="0"/>
    <d v="1900-01-26T17:00:00"/>
    <x v="0"/>
    <x v="2"/>
    <x v="0"/>
    <x v="10"/>
    <x v="6"/>
    <n v="0.64"/>
    <x v="10"/>
    <n v="2"/>
    <n v="5"/>
    <n v="7"/>
  </r>
  <r>
    <n v="760"/>
    <d v="2011-02-04T00:00:00"/>
    <x v="0"/>
    <x v="0"/>
    <x v="1"/>
    <d v="1900-01-30T15:00:00"/>
    <x v="0"/>
    <x v="5"/>
    <x v="1"/>
    <x v="2"/>
    <x v="9"/>
    <n v="0.59"/>
    <x v="0"/>
    <n v="0"/>
    <n v="7"/>
    <n v="7"/>
  </r>
  <r>
    <n v="763"/>
    <d v="2011-02-04T00:00:00"/>
    <x v="0"/>
    <x v="0"/>
    <x v="1"/>
    <d v="1900-01-30T18:00:00"/>
    <x v="0"/>
    <x v="5"/>
    <x v="1"/>
    <x v="3"/>
    <x v="4"/>
    <n v="0.63"/>
    <x v="4"/>
    <n v="0"/>
    <n v="7"/>
    <n v="7"/>
  </r>
  <r>
    <n v="879"/>
    <d v="2011-02-09T00:00:00"/>
    <x v="0"/>
    <x v="0"/>
    <x v="1"/>
    <d v="1900-02-04T14:00:00"/>
    <x v="0"/>
    <x v="6"/>
    <x v="0"/>
    <x v="7"/>
    <x v="20"/>
    <n v="0.36"/>
    <x v="5"/>
    <n v="0"/>
    <n v="7"/>
    <n v="7"/>
  </r>
  <r>
    <n v="882"/>
    <d v="2011-02-09T00:00:00"/>
    <x v="0"/>
    <x v="0"/>
    <x v="1"/>
    <d v="1900-02-04T17:00:00"/>
    <x v="0"/>
    <x v="6"/>
    <x v="0"/>
    <x v="15"/>
    <x v="20"/>
    <n v="0.45"/>
    <x v="8"/>
    <n v="0"/>
    <n v="7"/>
    <n v="7"/>
  </r>
  <r>
    <n v="902"/>
    <d v="2011-02-10T00:00:00"/>
    <x v="0"/>
    <x v="0"/>
    <x v="1"/>
    <d v="1900-02-05T13:00:00"/>
    <x v="0"/>
    <x v="4"/>
    <x v="2"/>
    <x v="3"/>
    <x v="4"/>
    <n v="0.8"/>
    <x v="4"/>
    <n v="0"/>
    <n v="7"/>
    <n v="7"/>
  </r>
  <r>
    <n v="925"/>
    <d v="2011-02-11T00:00:00"/>
    <x v="0"/>
    <x v="0"/>
    <x v="1"/>
    <d v="1900-02-06T12:00:00"/>
    <x v="0"/>
    <x v="5"/>
    <x v="0"/>
    <x v="7"/>
    <x v="3"/>
    <n v="0.54"/>
    <x v="1"/>
    <n v="1"/>
    <n v="6"/>
    <n v="7"/>
  </r>
  <r>
    <n v="994"/>
    <d v="2011-02-14T00:00:00"/>
    <x v="0"/>
    <x v="0"/>
    <x v="1"/>
    <d v="1900-02-09T09:00:00"/>
    <x v="0"/>
    <x v="2"/>
    <x v="0"/>
    <x v="20"/>
    <x v="26"/>
    <n v="0.37"/>
    <x v="12"/>
    <n v="1"/>
    <n v="6"/>
    <n v="7"/>
  </r>
  <r>
    <n v="9"/>
    <d v="2011-01-01T00:00:00"/>
    <x v="0"/>
    <x v="0"/>
    <x v="0"/>
    <d v="1899-12-30T08:00:00"/>
    <x v="0"/>
    <x v="0"/>
    <x v="0"/>
    <x v="0"/>
    <x v="18"/>
    <n v="0.75"/>
    <x v="0"/>
    <n v="1"/>
    <n v="7"/>
    <n v="8"/>
  </r>
  <r>
    <n v="32"/>
    <d v="2011-01-02T00:00:00"/>
    <x v="0"/>
    <x v="0"/>
    <x v="0"/>
    <d v="1899-12-31T07:00:00"/>
    <x v="0"/>
    <x v="1"/>
    <x v="2"/>
    <x v="1"/>
    <x v="2"/>
    <n v="0.71"/>
    <x v="5"/>
    <n v="0"/>
    <n v="8"/>
    <n v="8"/>
  </r>
  <r>
    <n v="47"/>
    <d v="2011-01-02T00:00:00"/>
    <x v="0"/>
    <x v="0"/>
    <x v="0"/>
    <d v="1899-12-31T22:00:00"/>
    <x v="0"/>
    <x v="1"/>
    <x v="0"/>
    <x v="10"/>
    <x v="9"/>
    <n v="0.47"/>
    <x v="6"/>
    <n v="0"/>
    <n v="8"/>
    <n v="8"/>
  </r>
  <r>
    <n v="306"/>
    <d v="2011-01-14T00:00:00"/>
    <x v="0"/>
    <x v="0"/>
    <x v="0"/>
    <d v="1900-01-11T17:00:00"/>
    <x v="0"/>
    <x v="5"/>
    <x v="0"/>
    <x v="7"/>
    <x v="3"/>
    <n v="0.54"/>
    <x v="1"/>
    <n v="0"/>
    <n v="8"/>
    <n v="8"/>
  </r>
  <r>
    <n v="328"/>
    <d v="2011-01-15T00:00:00"/>
    <x v="0"/>
    <x v="0"/>
    <x v="0"/>
    <d v="1900-01-12T15:00:00"/>
    <x v="0"/>
    <x v="0"/>
    <x v="1"/>
    <x v="2"/>
    <x v="9"/>
    <n v="0.59"/>
    <x v="0"/>
    <n v="1"/>
    <n v="7"/>
    <n v="8"/>
  </r>
  <r>
    <n v="375"/>
    <d v="2011-01-17T00:00:00"/>
    <x v="0"/>
    <x v="0"/>
    <x v="0"/>
    <d v="1900-01-14T14:00:00"/>
    <x v="1"/>
    <x v="2"/>
    <x v="1"/>
    <x v="5"/>
    <x v="14"/>
    <n v="0.43"/>
    <x v="10"/>
    <n v="0"/>
    <n v="8"/>
    <n v="8"/>
  </r>
  <r>
    <n v="486"/>
    <d v="2011-01-22T00:00:00"/>
    <x v="0"/>
    <x v="0"/>
    <x v="0"/>
    <d v="1900-01-19T05:00:00"/>
    <x v="0"/>
    <x v="0"/>
    <x v="0"/>
    <x v="12"/>
    <x v="24"/>
    <n v="0.44"/>
    <x v="7"/>
    <n v="0"/>
    <n v="8"/>
    <n v="8"/>
  </r>
  <r>
    <n v="576"/>
    <d v="2011-01-26T00:00:00"/>
    <x v="0"/>
    <x v="0"/>
    <x v="0"/>
    <d v="1900-01-22T23:00:00"/>
    <x v="0"/>
    <x v="6"/>
    <x v="2"/>
    <x v="4"/>
    <x v="15"/>
    <n v="0.86"/>
    <x v="7"/>
    <n v="0"/>
    <n v="8"/>
    <n v="8"/>
  </r>
  <r>
    <n v="622"/>
    <d v="2011-01-29T00:00:00"/>
    <x v="0"/>
    <x v="0"/>
    <x v="0"/>
    <d v="1900-01-24T21:00:00"/>
    <x v="0"/>
    <x v="0"/>
    <x v="0"/>
    <x v="4"/>
    <x v="6"/>
    <n v="0.64"/>
    <x v="4"/>
    <n v="3"/>
    <n v="5"/>
    <n v="8"/>
  </r>
  <r>
    <n v="645"/>
    <d v="2011-01-30T00:00:00"/>
    <x v="0"/>
    <x v="0"/>
    <x v="0"/>
    <d v="1900-01-25T20:00:00"/>
    <x v="0"/>
    <x v="1"/>
    <x v="0"/>
    <x v="3"/>
    <x v="6"/>
    <n v="0.93"/>
    <x v="0"/>
    <n v="1"/>
    <n v="7"/>
    <n v="8"/>
  </r>
  <r>
    <n v="670"/>
    <d v="2011-01-31T00:00:00"/>
    <x v="0"/>
    <x v="0"/>
    <x v="0"/>
    <d v="1900-01-26T21:00:00"/>
    <x v="0"/>
    <x v="2"/>
    <x v="0"/>
    <x v="5"/>
    <x v="14"/>
    <n v="0.64"/>
    <x v="7"/>
    <n v="0"/>
    <n v="8"/>
    <n v="8"/>
  </r>
  <r>
    <n v="689"/>
    <d v="2011-02-01T00:00:00"/>
    <x v="0"/>
    <x v="0"/>
    <x v="1"/>
    <d v="1900-01-27T16:00:00"/>
    <x v="0"/>
    <x v="3"/>
    <x v="1"/>
    <x v="2"/>
    <x v="15"/>
    <n v="0.64"/>
    <x v="8"/>
    <n v="2"/>
    <n v="6"/>
    <n v="8"/>
  </r>
  <r>
    <n v="786"/>
    <d v="2011-02-05T00:00:00"/>
    <x v="0"/>
    <x v="0"/>
    <x v="1"/>
    <d v="1900-01-31T17:00:00"/>
    <x v="0"/>
    <x v="0"/>
    <x v="2"/>
    <x v="10"/>
    <x v="9"/>
    <n v="0.93"/>
    <x v="4"/>
    <n v="0"/>
    <n v="8"/>
    <n v="8"/>
  </r>
  <r>
    <n v="813"/>
    <d v="2011-02-06T00:00:00"/>
    <x v="0"/>
    <x v="0"/>
    <x v="1"/>
    <d v="1900-02-01T20:00:00"/>
    <x v="0"/>
    <x v="1"/>
    <x v="0"/>
    <x v="0"/>
    <x v="19"/>
    <n v="0.65"/>
    <x v="6"/>
    <n v="0"/>
    <n v="8"/>
    <n v="8"/>
  </r>
  <r>
    <n v="27"/>
    <d v="2011-01-02T00:00:00"/>
    <x v="0"/>
    <x v="0"/>
    <x v="0"/>
    <d v="1899-12-31T02:00:00"/>
    <x v="0"/>
    <x v="1"/>
    <x v="1"/>
    <x v="14"/>
    <x v="17"/>
    <n v="1"/>
    <x v="7"/>
    <n v="1"/>
    <n v="8"/>
    <n v="9"/>
  </r>
  <r>
    <n v="46"/>
    <d v="2011-01-02T00:00:00"/>
    <x v="0"/>
    <x v="0"/>
    <x v="0"/>
    <d v="1899-12-31T21:00:00"/>
    <x v="0"/>
    <x v="1"/>
    <x v="0"/>
    <x v="0"/>
    <x v="6"/>
    <n v="0.44"/>
    <x v="9"/>
    <n v="0"/>
    <n v="9"/>
    <n v="9"/>
  </r>
  <r>
    <n v="169"/>
    <d v="2011-01-08T00:00:00"/>
    <x v="0"/>
    <x v="0"/>
    <x v="0"/>
    <d v="1900-01-06T00:00:00"/>
    <x v="0"/>
    <x v="0"/>
    <x v="1"/>
    <x v="2"/>
    <x v="15"/>
    <n v="0.74"/>
    <x v="8"/>
    <n v="1"/>
    <n v="8"/>
    <n v="9"/>
  </r>
  <r>
    <n v="549"/>
    <d v="2011-01-25T00:00:00"/>
    <x v="0"/>
    <x v="0"/>
    <x v="0"/>
    <d v="1900-01-21T20:00:00"/>
    <x v="0"/>
    <x v="3"/>
    <x v="1"/>
    <x v="2"/>
    <x v="3"/>
    <n v="0.69"/>
    <x v="7"/>
    <n v="3"/>
    <n v="6"/>
    <n v="9"/>
  </r>
  <r>
    <n v="553"/>
    <d v="2011-01-25T00:00:00"/>
    <x v="0"/>
    <x v="0"/>
    <x v="0"/>
    <d v="1900-01-22T00:00:00"/>
    <x v="0"/>
    <x v="3"/>
    <x v="0"/>
    <x v="3"/>
    <x v="3"/>
    <n v="0.74"/>
    <x v="5"/>
    <n v="0"/>
    <n v="9"/>
    <n v="9"/>
  </r>
  <r>
    <n v="596"/>
    <d v="2011-01-28T00:00:00"/>
    <x v="0"/>
    <x v="0"/>
    <x v="0"/>
    <d v="1900-01-23T19:00:00"/>
    <x v="0"/>
    <x v="5"/>
    <x v="1"/>
    <x v="4"/>
    <x v="6"/>
    <n v="0.75"/>
    <x v="4"/>
    <n v="0"/>
    <n v="9"/>
    <n v="9"/>
  </r>
  <r>
    <n v="787"/>
    <d v="2011-02-05T00:00:00"/>
    <x v="0"/>
    <x v="0"/>
    <x v="1"/>
    <d v="1900-01-31T18:00:00"/>
    <x v="0"/>
    <x v="0"/>
    <x v="2"/>
    <x v="4"/>
    <x v="9"/>
    <n v="1"/>
    <x v="1"/>
    <n v="0"/>
    <n v="9"/>
    <n v="9"/>
  </r>
  <r>
    <n v="194"/>
    <d v="2011-01-09T00:00:00"/>
    <x v="0"/>
    <x v="0"/>
    <x v="0"/>
    <d v="1900-01-07T01:00:00"/>
    <x v="0"/>
    <x v="1"/>
    <x v="0"/>
    <x v="7"/>
    <x v="7"/>
    <n v="0.49"/>
    <x v="7"/>
    <n v="0"/>
    <n v="10"/>
    <n v="10"/>
  </r>
  <r>
    <n v="332"/>
    <d v="2011-01-15T00:00:00"/>
    <x v="0"/>
    <x v="0"/>
    <x v="0"/>
    <d v="1900-01-12T19:00:00"/>
    <x v="0"/>
    <x v="0"/>
    <x v="0"/>
    <x v="3"/>
    <x v="6"/>
    <n v="0.63"/>
    <x v="0"/>
    <n v="1"/>
    <n v="9"/>
    <n v="10"/>
  </r>
  <r>
    <n v="574"/>
    <d v="2011-01-26T00:00:00"/>
    <x v="0"/>
    <x v="0"/>
    <x v="0"/>
    <d v="1900-01-22T21:00:00"/>
    <x v="0"/>
    <x v="6"/>
    <x v="2"/>
    <x v="10"/>
    <x v="9"/>
    <n v="0.69"/>
    <x v="2"/>
    <n v="3"/>
    <n v="7"/>
    <n v="10"/>
  </r>
  <r>
    <n v="790"/>
    <d v="2011-02-05T00:00:00"/>
    <x v="0"/>
    <x v="0"/>
    <x v="1"/>
    <d v="1900-01-31T21:00:00"/>
    <x v="0"/>
    <x v="0"/>
    <x v="2"/>
    <x v="4"/>
    <x v="9"/>
    <n v="1"/>
    <x v="1"/>
    <n v="0"/>
    <n v="10"/>
    <n v="10"/>
  </r>
  <r>
    <n v="835"/>
    <d v="2011-02-07T00:00:00"/>
    <x v="0"/>
    <x v="0"/>
    <x v="1"/>
    <d v="1900-02-02T18:00:00"/>
    <x v="0"/>
    <x v="2"/>
    <x v="0"/>
    <x v="4"/>
    <x v="1"/>
    <n v="0.86"/>
    <x v="0"/>
    <n v="1"/>
    <n v="9"/>
    <n v="10"/>
  </r>
  <r>
    <n v="854"/>
    <d v="2011-02-08T00:00:00"/>
    <x v="0"/>
    <x v="0"/>
    <x v="1"/>
    <d v="1900-02-03T13:00:00"/>
    <x v="0"/>
    <x v="3"/>
    <x v="1"/>
    <x v="13"/>
    <x v="22"/>
    <n v="0.87"/>
    <x v="0"/>
    <n v="4"/>
    <n v="6"/>
    <n v="10"/>
  </r>
  <r>
    <n v="949"/>
    <d v="2011-02-12T00:00:00"/>
    <x v="0"/>
    <x v="0"/>
    <x v="1"/>
    <d v="1900-02-07T12:00:00"/>
    <x v="0"/>
    <x v="0"/>
    <x v="0"/>
    <x v="8"/>
    <x v="5"/>
    <n v="0.8"/>
    <x v="0"/>
    <n v="3"/>
    <n v="7"/>
    <n v="10"/>
  </r>
  <r>
    <n v="92"/>
    <d v="2011-01-04T00:00:00"/>
    <x v="0"/>
    <x v="0"/>
    <x v="0"/>
    <d v="1900-01-02T19:00:00"/>
    <x v="0"/>
    <x v="3"/>
    <x v="0"/>
    <x v="4"/>
    <x v="9"/>
    <n v="0.69"/>
    <x v="1"/>
    <n v="2"/>
    <n v="9"/>
    <n v="11"/>
  </r>
  <r>
    <n v="116"/>
    <d v="2011-01-06T00:00:00"/>
    <x v="0"/>
    <x v="0"/>
    <x v="0"/>
    <d v="1900-01-03T19:00:00"/>
    <x v="0"/>
    <x v="4"/>
    <x v="0"/>
    <x v="5"/>
    <x v="19"/>
    <n v="0.55000000000000004"/>
    <x v="0"/>
    <n v="0"/>
    <n v="11"/>
    <n v="11"/>
  </r>
  <r>
    <n v="188"/>
    <d v="2011-01-09T00:00:00"/>
    <x v="0"/>
    <x v="0"/>
    <x v="0"/>
    <d v="1900-01-06T19:00:00"/>
    <x v="0"/>
    <x v="1"/>
    <x v="0"/>
    <x v="7"/>
    <x v="13"/>
    <n v="0.46"/>
    <x v="15"/>
    <n v="0"/>
    <n v="11"/>
    <n v="11"/>
  </r>
  <r>
    <n v="482"/>
    <d v="2011-01-22T00:00:00"/>
    <x v="0"/>
    <x v="0"/>
    <x v="0"/>
    <d v="1900-01-19T01:00:00"/>
    <x v="0"/>
    <x v="0"/>
    <x v="1"/>
    <x v="11"/>
    <x v="12"/>
    <n v="0.41"/>
    <x v="10"/>
    <n v="0"/>
    <n v="11"/>
    <n v="11"/>
  </r>
  <r>
    <n v="644"/>
    <d v="2011-01-30T00:00:00"/>
    <x v="0"/>
    <x v="0"/>
    <x v="0"/>
    <d v="1900-01-25T19:00:00"/>
    <x v="0"/>
    <x v="1"/>
    <x v="0"/>
    <x v="2"/>
    <x v="9"/>
    <n v="0.8"/>
    <x v="0"/>
    <n v="1"/>
    <n v="10"/>
    <n v="11"/>
  </r>
  <r>
    <n v="785"/>
    <d v="2011-02-05T00:00:00"/>
    <x v="0"/>
    <x v="0"/>
    <x v="1"/>
    <d v="1900-01-31T16:00:00"/>
    <x v="0"/>
    <x v="0"/>
    <x v="1"/>
    <x v="0"/>
    <x v="19"/>
    <n v="0.75"/>
    <x v="6"/>
    <n v="1"/>
    <n v="10"/>
    <n v="11"/>
  </r>
  <r>
    <n v="953"/>
    <d v="2011-02-12T00:00:00"/>
    <x v="0"/>
    <x v="0"/>
    <x v="1"/>
    <d v="1900-02-07T16:00:00"/>
    <x v="0"/>
    <x v="0"/>
    <x v="0"/>
    <x v="8"/>
    <x v="4"/>
    <n v="0.8"/>
    <x v="8"/>
    <n v="2"/>
    <n v="9"/>
    <n v="11"/>
  </r>
  <r>
    <n v="993"/>
    <d v="2011-02-14T00:00:00"/>
    <x v="0"/>
    <x v="0"/>
    <x v="1"/>
    <d v="1900-02-09T08:00:00"/>
    <x v="0"/>
    <x v="2"/>
    <x v="0"/>
    <x v="20"/>
    <x v="26"/>
    <n v="0.37"/>
    <x v="12"/>
    <n v="3"/>
    <n v="8"/>
    <n v="11"/>
  </r>
  <r>
    <n v="69"/>
    <d v="2011-01-03T00:00:00"/>
    <x v="0"/>
    <x v="0"/>
    <x v="0"/>
    <d v="1900-01-01T20:00:00"/>
    <x v="0"/>
    <x v="2"/>
    <x v="0"/>
    <x v="5"/>
    <x v="6"/>
    <n v="0.55000000000000004"/>
    <x v="8"/>
    <n v="1"/>
    <n v="11"/>
    <n v="12"/>
  </r>
  <r>
    <n v="187"/>
    <d v="2011-01-09T00:00:00"/>
    <x v="0"/>
    <x v="0"/>
    <x v="0"/>
    <d v="1900-01-06T18:00:00"/>
    <x v="0"/>
    <x v="1"/>
    <x v="0"/>
    <x v="7"/>
    <x v="13"/>
    <n v="0.42"/>
    <x v="15"/>
    <n v="0"/>
    <n v="12"/>
    <n v="12"/>
  </r>
  <r>
    <n v="234"/>
    <d v="2011-01-11T00:00:00"/>
    <x v="0"/>
    <x v="0"/>
    <x v="0"/>
    <d v="1900-01-08T17:00:00"/>
    <x v="0"/>
    <x v="3"/>
    <x v="0"/>
    <x v="3"/>
    <x v="14"/>
    <n v="0.59"/>
    <x v="8"/>
    <n v="2"/>
    <n v="10"/>
    <n v="12"/>
  </r>
  <r>
    <n v="327"/>
    <d v="2011-01-15T00:00:00"/>
    <x v="0"/>
    <x v="0"/>
    <x v="0"/>
    <d v="1900-01-12T14:00:00"/>
    <x v="0"/>
    <x v="0"/>
    <x v="1"/>
    <x v="2"/>
    <x v="5"/>
    <n v="0.59"/>
    <x v="1"/>
    <n v="0"/>
    <n v="12"/>
    <n v="12"/>
  </r>
  <r>
    <n v="481"/>
    <d v="2011-01-22T00:00:00"/>
    <x v="0"/>
    <x v="0"/>
    <x v="0"/>
    <d v="1900-01-19T00:00:00"/>
    <x v="0"/>
    <x v="0"/>
    <x v="1"/>
    <x v="11"/>
    <x v="18"/>
    <n v="0.41"/>
    <x v="3"/>
    <n v="3"/>
    <n v="9"/>
    <n v="12"/>
  </r>
  <r>
    <n v="649"/>
    <d v="2011-01-30T00:00:00"/>
    <x v="0"/>
    <x v="0"/>
    <x v="0"/>
    <d v="1900-01-26T00:00:00"/>
    <x v="0"/>
    <x v="1"/>
    <x v="1"/>
    <x v="3"/>
    <x v="6"/>
    <n v="0.86"/>
    <x v="0"/>
    <n v="1"/>
    <n v="11"/>
    <n v="12"/>
  </r>
  <r>
    <n v="736"/>
    <d v="2011-02-03T00:00:00"/>
    <x v="0"/>
    <x v="0"/>
    <x v="1"/>
    <d v="1900-01-29T15:00:00"/>
    <x v="0"/>
    <x v="4"/>
    <x v="0"/>
    <x v="4"/>
    <x v="14"/>
    <n v="0.4"/>
    <x v="16"/>
    <n v="1"/>
    <n v="11"/>
    <n v="12"/>
  </r>
  <r>
    <n v="877"/>
    <d v="2011-02-08T00:00:00"/>
    <x v="0"/>
    <x v="0"/>
    <x v="1"/>
    <d v="1900-02-04T12:00:00"/>
    <x v="0"/>
    <x v="3"/>
    <x v="0"/>
    <x v="8"/>
    <x v="20"/>
    <n v="0.33"/>
    <x v="13"/>
    <n v="3"/>
    <n v="9"/>
    <n v="12"/>
  </r>
  <r>
    <n v="973"/>
    <d v="2011-02-13T00:00:00"/>
    <x v="0"/>
    <x v="0"/>
    <x v="1"/>
    <d v="1900-02-08T12:00:00"/>
    <x v="0"/>
    <x v="1"/>
    <x v="1"/>
    <x v="4"/>
    <x v="9"/>
    <n v="0.69"/>
    <x v="8"/>
    <n v="4"/>
    <n v="8"/>
    <n v="12"/>
  </r>
  <r>
    <n v="977"/>
    <d v="2011-02-13T00:00:00"/>
    <x v="0"/>
    <x v="0"/>
    <x v="1"/>
    <d v="1900-02-08T16:00:00"/>
    <x v="0"/>
    <x v="1"/>
    <x v="1"/>
    <x v="10"/>
    <x v="9"/>
    <n v="0.64"/>
    <x v="2"/>
    <n v="1"/>
    <n v="11"/>
    <n v="12"/>
  </r>
  <r>
    <n v="4"/>
    <d v="2011-01-01T00:00:00"/>
    <x v="0"/>
    <x v="0"/>
    <x v="0"/>
    <d v="1899-12-30T03:00:00"/>
    <x v="0"/>
    <x v="0"/>
    <x v="0"/>
    <x v="0"/>
    <x v="0"/>
    <n v="0.75"/>
    <x v="0"/>
    <n v="3"/>
    <n v="10"/>
    <n v="13"/>
  </r>
  <r>
    <n v="380"/>
    <d v="2011-01-17T00:00:00"/>
    <x v="0"/>
    <x v="0"/>
    <x v="0"/>
    <d v="1900-01-14T19:00:00"/>
    <x v="1"/>
    <x v="2"/>
    <x v="1"/>
    <x v="2"/>
    <x v="15"/>
    <n v="0.5"/>
    <x v="4"/>
    <n v="4"/>
    <n v="9"/>
    <n v="13"/>
  </r>
  <r>
    <n v="395"/>
    <d v="2011-01-17T00:00:00"/>
    <x v="0"/>
    <x v="0"/>
    <x v="0"/>
    <d v="1900-01-15T10:00:00"/>
    <x v="1"/>
    <x v="2"/>
    <x v="2"/>
    <x v="3"/>
    <x v="8"/>
    <n v="0.93"/>
    <x v="10"/>
    <n v="0"/>
    <n v="13"/>
    <n v="13"/>
  </r>
  <r>
    <n v="432"/>
    <d v="2011-01-20T00:00:00"/>
    <x v="0"/>
    <x v="0"/>
    <x v="0"/>
    <d v="1900-01-16T23:00:00"/>
    <x v="0"/>
    <x v="4"/>
    <x v="0"/>
    <x v="9"/>
    <x v="9"/>
    <n v="0.56000000000000005"/>
    <x v="3"/>
    <n v="5"/>
    <n v="8"/>
    <n v="13"/>
  </r>
  <r>
    <n v="480"/>
    <d v="2011-01-22T00:00:00"/>
    <x v="0"/>
    <x v="0"/>
    <x v="0"/>
    <d v="1900-01-18T23:00:00"/>
    <x v="0"/>
    <x v="0"/>
    <x v="0"/>
    <x v="11"/>
    <x v="12"/>
    <n v="0.45"/>
    <x v="10"/>
    <n v="0"/>
    <n v="13"/>
    <n v="13"/>
  </r>
  <r>
    <n v="504"/>
    <d v="2011-01-23T00:00:00"/>
    <x v="0"/>
    <x v="0"/>
    <x v="0"/>
    <d v="1900-01-19T23:00:00"/>
    <x v="0"/>
    <x v="1"/>
    <x v="0"/>
    <x v="11"/>
    <x v="10"/>
    <n v="0.56999999999999995"/>
    <x v="8"/>
    <n v="1"/>
    <n v="12"/>
    <n v="13"/>
  </r>
  <r>
    <n v="759"/>
    <d v="2011-02-04T00:00:00"/>
    <x v="0"/>
    <x v="0"/>
    <x v="1"/>
    <d v="1900-01-30T14:00:00"/>
    <x v="0"/>
    <x v="5"/>
    <x v="1"/>
    <x v="4"/>
    <x v="1"/>
    <n v="0.44"/>
    <x v="0"/>
    <n v="3"/>
    <n v="10"/>
    <n v="13"/>
  </r>
  <r>
    <n v="809"/>
    <d v="2011-02-06T00:00:00"/>
    <x v="0"/>
    <x v="0"/>
    <x v="1"/>
    <d v="1900-02-01T16:00:00"/>
    <x v="0"/>
    <x v="1"/>
    <x v="0"/>
    <x v="9"/>
    <x v="0"/>
    <n v="0.6"/>
    <x v="1"/>
    <n v="3"/>
    <n v="10"/>
    <n v="13"/>
  </r>
  <r>
    <n v="10"/>
    <d v="2011-01-01T00:00:00"/>
    <x v="0"/>
    <x v="0"/>
    <x v="0"/>
    <d v="1899-12-30T09:00:00"/>
    <x v="0"/>
    <x v="0"/>
    <x v="0"/>
    <x v="18"/>
    <x v="27"/>
    <n v="0.76"/>
    <x v="0"/>
    <n v="8"/>
    <n v="6"/>
    <n v="14"/>
  </r>
  <r>
    <n v="302"/>
    <d v="2011-01-14T00:00:00"/>
    <x v="0"/>
    <x v="0"/>
    <x v="0"/>
    <d v="1900-01-11T13:00:00"/>
    <x v="0"/>
    <x v="5"/>
    <x v="0"/>
    <x v="8"/>
    <x v="3"/>
    <n v="0.5"/>
    <x v="2"/>
    <n v="0"/>
    <n v="14"/>
    <n v="14"/>
  </r>
  <r>
    <n v="924"/>
    <d v="2011-02-11T00:00:00"/>
    <x v="0"/>
    <x v="0"/>
    <x v="1"/>
    <d v="1900-02-06T11:00:00"/>
    <x v="0"/>
    <x v="5"/>
    <x v="0"/>
    <x v="7"/>
    <x v="3"/>
    <n v="0.49"/>
    <x v="8"/>
    <n v="2"/>
    <n v="12"/>
    <n v="14"/>
  </r>
  <r>
    <n v="161"/>
    <d v="2011-01-07T00:00:00"/>
    <x v="0"/>
    <x v="0"/>
    <x v="0"/>
    <d v="1900-01-05T16:00:00"/>
    <x v="0"/>
    <x v="5"/>
    <x v="1"/>
    <x v="5"/>
    <x v="5"/>
    <n v="0.51"/>
    <x v="6"/>
    <n v="1"/>
    <n v="14"/>
    <n v="15"/>
  </r>
  <r>
    <n v="170"/>
    <d v="2011-01-08T00:00:00"/>
    <x v="0"/>
    <x v="0"/>
    <x v="0"/>
    <d v="1900-01-06T01:00:00"/>
    <x v="0"/>
    <x v="0"/>
    <x v="2"/>
    <x v="2"/>
    <x v="15"/>
    <n v="0.93"/>
    <x v="8"/>
    <n v="0"/>
    <n v="15"/>
    <n v="15"/>
  </r>
  <r>
    <n v="208"/>
    <d v="2011-01-09T00:00:00"/>
    <x v="0"/>
    <x v="0"/>
    <x v="0"/>
    <d v="1900-01-07T15:00:00"/>
    <x v="0"/>
    <x v="1"/>
    <x v="0"/>
    <x v="3"/>
    <x v="8"/>
    <n v="0.46"/>
    <x v="9"/>
    <n v="5"/>
    <n v="10"/>
    <n v="15"/>
  </r>
  <r>
    <n v="301"/>
    <d v="2011-01-13T00:00:00"/>
    <x v="0"/>
    <x v="0"/>
    <x v="0"/>
    <d v="1900-01-11T12:00:00"/>
    <x v="0"/>
    <x v="4"/>
    <x v="0"/>
    <x v="8"/>
    <x v="3"/>
    <n v="0.5"/>
    <x v="2"/>
    <n v="1"/>
    <n v="14"/>
    <n v="15"/>
  </r>
  <r>
    <n v="352"/>
    <d v="2011-01-16T00:00:00"/>
    <x v="0"/>
    <x v="0"/>
    <x v="0"/>
    <d v="1900-01-13T15:00:00"/>
    <x v="0"/>
    <x v="1"/>
    <x v="0"/>
    <x v="10"/>
    <x v="16"/>
    <n v="0.69"/>
    <x v="0"/>
    <n v="9"/>
    <n v="6"/>
    <n v="15"/>
  </r>
  <r>
    <n v="531"/>
    <d v="2011-01-24T00:00:00"/>
    <x v="0"/>
    <x v="0"/>
    <x v="0"/>
    <d v="1900-01-21T02:00:00"/>
    <x v="0"/>
    <x v="2"/>
    <x v="0"/>
    <x v="12"/>
    <x v="10"/>
    <n v="0.48"/>
    <x v="1"/>
    <n v="0"/>
    <n v="15"/>
    <n v="15"/>
  </r>
  <r>
    <n v="621"/>
    <d v="2011-01-29T00:00:00"/>
    <x v="0"/>
    <x v="0"/>
    <x v="0"/>
    <d v="1900-01-24T20:00:00"/>
    <x v="0"/>
    <x v="0"/>
    <x v="0"/>
    <x v="10"/>
    <x v="9"/>
    <n v="0.64"/>
    <x v="6"/>
    <n v="0"/>
    <n v="15"/>
    <n v="15"/>
  </r>
  <r>
    <n v="830"/>
    <d v="2011-02-07T00:00:00"/>
    <x v="0"/>
    <x v="0"/>
    <x v="1"/>
    <d v="1900-02-02T13:00:00"/>
    <x v="0"/>
    <x v="2"/>
    <x v="0"/>
    <x v="0"/>
    <x v="0"/>
    <n v="0.65"/>
    <x v="0"/>
    <n v="1"/>
    <n v="14"/>
    <n v="15"/>
  </r>
  <r>
    <n v="948"/>
    <d v="2011-02-12T00:00:00"/>
    <x v="0"/>
    <x v="0"/>
    <x v="1"/>
    <d v="1900-02-07T11:00:00"/>
    <x v="0"/>
    <x v="0"/>
    <x v="0"/>
    <x v="3"/>
    <x v="6"/>
    <n v="0.8"/>
    <x v="0"/>
    <n v="2"/>
    <n v="13"/>
    <n v="15"/>
  </r>
  <r>
    <n v="1"/>
    <d v="2011-01-01T00:00:00"/>
    <x v="0"/>
    <x v="0"/>
    <x v="0"/>
    <d v="1899-12-30T00:00:00"/>
    <x v="0"/>
    <x v="0"/>
    <x v="0"/>
    <x v="0"/>
    <x v="0"/>
    <n v="0.81"/>
    <x v="0"/>
    <n v="3"/>
    <n v="13"/>
    <n v="16"/>
  </r>
  <r>
    <n v="163"/>
    <d v="2011-01-08T00:00:00"/>
    <x v="0"/>
    <x v="0"/>
    <x v="0"/>
    <d v="1900-01-05T18:00:00"/>
    <x v="0"/>
    <x v="0"/>
    <x v="1"/>
    <x v="5"/>
    <x v="6"/>
    <n v="0.55000000000000004"/>
    <x v="1"/>
    <n v="1"/>
    <n v="15"/>
    <n v="16"/>
  </r>
  <r>
    <n v="164"/>
    <d v="2011-01-08T00:00:00"/>
    <x v="0"/>
    <x v="0"/>
    <x v="0"/>
    <d v="1900-01-05T19:00:00"/>
    <x v="0"/>
    <x v="0"/>
    <x v="1"/>
    <x v="5"/>
    <x v="19"/>
    <n v="0.55000000000000004"/>
    <x v="0"/>
    <n v="3"/>
    <n v="13"/>
    <n v="16"/>
  </r>
  <r>
    <n v="260"/>
    <d v="2011-01-12T00:00:00"/>
    <x v="0"/>
    <x v="0"/>
    <x v="0"/>
    <d v="1900-01-09T19:00:00"/>
    <x v="0"/>
    <x v="6"/>
    <x v="0"/>
    <x v="8"/>
    <x v="4"/>
    <n v="0.93"/>
    <x v="4"/>
    <n v="0"/>
    <n v="16"/>
    <n v="16"/>
  </r>
  <r>
    <n v="351"/>
    <d v="2011-01-16T00:00:00"/>
    <x v="0"/>
    <x v="0"/>
    <x v="0"/>
    <d v="1900-01-13T14:00:00"/>
    <x v="0"/>
    <x v="1"/>
    <x v="0"/>
    <x v="9"/>
    <x v="0"/>
    <n v="0.56000000000000005"/>
    <x v="1"/>
    <n v="3"/>
    <n v="13"/>
    <n v="16"/>
  </r>
  <r>
    <n v="374"/>
    <d v="2011-01-17T00:00:00"/>
    <x v="0"/>
    <x v="0"/>
    <x v="0"/>
    <d v="1900-01-14T13:00:00"/>
    <x v="1"/>
    <x v="2"/>
    <x v="1"/>
    <x v="4"/>
    <x v="5"/>
    <n v="0.44"/>
    <x v="2"/>
    <n v="1"/>
    <n v="15"/>
    <n v="16"/>
  </r>
  <r>
    <n v="595"/>
    <d v="2011-01-27T00:00:00"/>
    <x v="0"/>
    <x v="0"/>
    <x v="0"/>
    <d v="1900-01-23T18:00:00"/>
    <x v="0"/>
    <x v="4"/>
    <x v="0"/>
    <x v="5"/>
    <x v="5"/>
    <n v="0.8"/>
    <x v="6"/>
    <n v="0"/>
    <n v="16"/>
    <n v="16"/>
  </r>
  <r>
    <n v="601"/>
    <d v="2011-01-28T00:00:00"/>
    <x v="0"/>
    <x v="0"/>
    <x v="0"/>
    <d v="1900-01-24T00:00:00"/>
    <x v="0"/>
    <x v="5"/>
    <x v="1"/>
    <x v="5"/>
    <x v="5"/>
    <n v="0.8"/>
    <x v="4"/>
    <n v="0"/>
    <n v="16"/>
    <n v="16"/>
  </r>
  <r>
    <n v="711"/>
    <d v="2011-02-01T00:00:00"/>
    <x v="0"/>
    <x v="0"/>
    <x v="1"/>
    <d v="1900-01-28T14:00:00"/>
    <x v="0"/>
    <x v="3"/>
    <x v="2"/>
    <x v="4"/>
    <x v="5"/>
    <n v="0.93"/>
    <x v="2"/>
    <n v="1"/>
    <n v="15"/>
    <n v="16"/>
  </r>
  <r>
    <n v="901"/>
    <d v="2011-02-10T00:00:00"/>
    <x v="0"/>
    <x v="0"/>
    <x v="1"/>
    <d v="1900-02-05T12:00:00"/>
    <x v="0"/>
    <x v="4"/>
    <x v="2"/>
    <x v="3"/>
    <x v="3"/>
    <n v="0.86"/>
    <x v="2"/>
    <n v="0"/>
    <n v="16"/>
    <n v="16"/>
  </r>
  <r>
    <n v="25"/>
    <d v="2011-01-02T00:00:00"/>
    <x v="0"/>
    <x v="0"/>
    <x v="0"/>
    <d v="1899-12-31T00:00:00"/>
    <x v="0"/>
    <x v="1"/>
    <x v="1"/>
    <x v="19"/>
    <x v="25"/>
    <n v="0.88"/>
    <x v="9"/>
    <n v="4"/>
    <n v="13"/>
    <n v="17"/>
  </r>
  <r>
    <n v="26"/>
    <d v="2011-01-02T00:00:00"/>
    <x v="0"/>
    <x v="0"/>
    <x v="0"/>
    <d v="1899-12-31T01:00:00"/>
    <x v="0"/>
    <x v="1"/>
    <x v="1"/>
    <x v="21"/>
    <x v="28"/>
    <n v="0.94"/>
    <x v="10"/>
    <n v="1"/>
    <n v="16"/>
    <n v="17"/>
  </r>
  <r>
    <n v="139"/>
    <d v="2011-01-07T00:00:00"/>
    <x v="0"/>
    <x v="0"/>
    <x v="0"/>
    <d v="1900-01-04T18:00:00"/>
    <x v="0"/>
    <x v="5"/>
    <x v="1"/>
    <x v="4"/>
    <x v="5"/>
    <n v="0.64"/>
    <x v="2"/>
    <n v="4"/>
    <n v="13"/>
    <n v="17"/>
  </r>
  <r>
    <n v="307"/>
    <d v="2011-01-14T00:00:00"/>
    <x v="0"/>
    <x v="0"/>
    <x v="0"/>
    <d v="1900-01-11T18:00:00"/>
    <x v="0"/>
    <x v="5"/>
    <x v="0"/>
    <x v="7"/>
    <x v="15"/>
    <n v="0.54"/>
    <x v="0"/>
    <n v="0"/>
    <n v="17"/>
    <n v="17"/>
  </r>
  <r>
    <n v="373"/>
    <d v="2011-01-17T00:00:00"/>
    <x v="0"/>
    <x v="0"/>
    <x v="0"/>
    <d v="1900-01-14T12:00:00"/>
    <x v="1"/>
    <x v="2"/>
    <x v="1"/>
    <x v="4"/>
    <x v="5"/>
    <n v="0.47"/>
    <x v="5"/>
    <n v="1"/>
    <n v="16"/>
    <n v="17"/>
  </r>
  <r>
    <n v="572"/>
    <d v="2011-01-26T00:00:00"/>
    <x v="0"/>
    <x v="0"/>
    <x v="0"/>
    <d v="1900-01-22T19:00:00"/>
    <x v="0"/>
    <x v="6"/>
    <x v="1"/>
    <x v="10"/>
    <x v="9"/>
    <n v="0.69"/>
    <x v="4"/>
    <n v="3"/>
    <n v="14"/>
    <n v="17"/>
  </r>
  <r>
    <n v="688"/>
    <d v="2011-01-31T00:00:00"/>
    <x v="0"/>
    <x v="0"/>
    <x v="0"/>
    <d v="1900-01-27T15:00:00"/>
    <x v="0"/>
    <x v="2"/>
    <x v="1"/>
    <x v="2"/>
    <x v="5"/>
    <n v="0.64"/>
    <x v="1"/>
    <n v="2"/>
    <n v="15"/>
    <n v="17"/>
  </r>
  <r>
    <n v="784"/>
    <d v="2011-02-05T00:00:00"/>
    <x v="0"/>
    <x v="0"/>
    <x v="1"/>
    <d v="1900-01-31T15:00:00"/>
    <x v="0"/>
    <x v="0"/>
    <x v="1"/>
    <x v="0"/>
    <x v="19"/>
    <n v="0.75"/>
    <x v="6"/>
    <n v="5"/>
    <n v="12"/>
    <n v="17"/>
  </r>
  <r>
    <n v="878"/>
    <d v="2011-02-09T00:00:00"/>
    <x v="0"/>
    <x v="0"/>
    <x v="1"/>
    <d v="1900-02-04T13:00:00"/>
    <x v="0"/>
    <x v="6"/>
    <x v="0"/>
    <x v="7"/>
    <x v="10"/>
    <n v="0.36"/>
    <x v="12"/>
    <n v="0"/>
    <n v="17"/>
    <n v="17"/>
  </r>
  <r>
    <n v="233"/>
    <d v="2011-01-10T00:00:00"/>
    <x v="0"/>
    <x v="0"/>
    <x v="0"/>
    <d v="1900-01-08T16:00:00"/>
    <x v="0"/>
    <x v="2"/>
    <x v="0"/>
    <x v="3"/>
    <x v="4"/>
    <n v="0.59"/>
    <x v="6"/>
    <n v="0"/>
    <n v="18"/>
    <n v="18"/>
  </r>
  <r>
    <n v="357"/>
    <d v="2011-01-16T00:00:00"/>
    <x v="0"/>
    <x v="0"/>
    <x v="0"/>
    <d v="1900-01-13T20:00:00"/>
    <x v="0"/>
    <x v="1"/>
    <x v="0"/>
    <x v="10"/>
    <x v="6"/>
    <n v="0.55000000000000004"/>
    <x v="7"/>
    <n v="0"/>
    <n v="18"/>
    <n v="18"/>
  </r>
  <r>
    <n v="372"/>
    <d v="2011-01-16T00:00:00"/>
    <x v="0"/>
    <x v="0"/>
    <x v="0"/>
    <d v="1900-01-14T11:00:00"/>
    <x v="0"/>
    <x v="1"/>
    <x v="1"/>
    <x v="4"/>
    <x v="9"/>
    <n v="0.4"/>
    <x v="8"/>
    <n v="0"/>
    <n v="18"/>
    <n v="18"/>
  </r>
  <r>
    <n v="505"/>
    <d v="2011-01-23T00:00:00"/>
    <x v="0"/>
    <x v="0"/>
    <x v="0"/>
    <d v="1900-01-20T00:00:00"/>
    <x v="0"/>
    <x v="1"/>
    <x v="0"/>
    <x v="12"/>
    <x v="13"/>
    <n v="0.62"/>
    <x v="4"/>
    <n v="3"/>
    <n v="15"/>
    <n v="18"/>
  </r>
  <r>
    <n v="718"/>
    <d v="2011-02-02T00:00:00"/>
    <x v="0"/>
    <x v="0"/>
    <x v="1"/>
    <d v="1900-01-28T21:00:00"/>
    <x v="0"/>
    <x v="6"/>
    <x v="2"/>
    <x v="10"/>
    <x v="19"/>
    <n v="0.93"/>
    <x v="8"/>
    <n v="1"/>
    <n v="17"/>
    <n v="18"/>
  </r>
  <r>
    <n v="783"/>
    <d v="2011-02-05T00:00:00"/>
    <x v="0"/>
    <x v="0"/>
    <x v="1"/>
    <d v="1900-01-31T14:00:00"/>
    <x v="0"/>
    <x v="0"/>
    <x v="1"/>
    <x v="0"/>
    <x v="19"/>
    <n v="0.65"/>
    <x v="6"/>
    <n v="1"/>
    <n v="17"/>
    <n v="18"/>
  </r>
  <r>
    <n v="115"/>
    <d v="2011-01-05T00:00:00"/>
    <x v="0"/>
    <x v="0"/>
    <x v="0"/>
    <d v="1900-01-03T18:00:00"/>
    <x v="0"/>
    <x v="6"/>
    <x v="0"/>
    <x v="4"/>
    <x v="1"/>
    <n v="0.47"/>
    <x v="0"/>
    <n v="1"/>
    <n v="18"/>
    <n v="19"/>
  </r>
  <r>
    <n v="195"/>
    <d v="2011-01-09T00:00:00"/>
    <x v="0"/>
    <x v="0"/>
    <x v="0"/>
    <d v="1900-01-07T02:00:00"/>
    <x v="0"/>
    <x v="1"/>
    <x v="0"/>
    <x v="8"/>
    <x v="10"/>
    <n v="0.46"/>
    <x v="14"/>
    <n v="0"/>
    <n v="19"/>
    <n v="19"/>
  </r>
  <r>
    <n v="255"/>
    <d v="2011-01-11T00:00:00"/>
    <x v="0"/>
    <x v="0"/>
    <x v="0"/>
    <d v="1900-01-09T14:00:00"/>
    <x v="0"/>
    <x v="3"/>
    <x v="2"/>
    <x v="2"/>
    <x v="5"/>
    <n v="0.93"/>
    <x v="1"/>
    <n v="1"/>
    <n v="18"/>
    <n v="19"/>
  </r>
  <r>
    <n v="510"/>
    <d v="2011-01-23T00:00:00"/>
    <x v="0"/>
    <x v="0"/>
    <x v="0"/>
    <d v="1900-01-20T05:00:00"/>
    <x v="0"/>
    <x v="1"/>
    <x v="0"/>
    <x v="15"/>
    <x v="10"/>
    <n v="0.62"/>
    <x v="6"/>
    <n v="2"/>
    <n v="17"/>
    <n v="19"/>
  </r>
  <r>
    <n v="33"/>
    <d v="2011-01-02T00:00:00"/>
    <x v="0"/>
    <x v="0"/>
    <x v="0"/>
    <d v="1899-12-31T08:00:00"/>
    <x v="0"/>
    <x v="1"/>
    <x v="1"/>
    <x v="20"/>
    <x v="18"/>
    <n v="0.76"/>
    <x v="5"/>
    <n v="1"/>
    <n v="19"/>
    <n v="20"/>
  </r>
  <r>
    <n v="68"/>
    <d v="2011-01-03T00:00:00"/>
    <x v="0"/>
    <x v="0"/>
    <x v="0"/>
    <d v="1900-01-01T19:00:00"/>
    <x v="0"/>
    <x v="2"/>
    <x v="0"/>
    <x v="3"/>
    <x v="4"/>
    <n v="0.69"/>
    <x v="4"/>
    <n v="0"/>
    <n v="20"/>
    <n v="20"/>
  </r>
  <r>
    <n v="171"/>
    <d v="2011-01-08T00:00:00"/>
    <x v="0"/>
    <x v="0"/>
    <x v="0"/>
    <d v="1900-01-06T02:00:00"/>
    <x v="0"/>
    <x v="0"/>
    <x v="2"/>
    <x v="2"/>
    <x v="15"/>
    <n v="0.93"/>
    <x v="8"/>
    <n v="0"/>
    <n v="20"/>
    <n v="20"/>
  </r>
  <r>
    <n v="207"/>
    <d v="2011-01-09T00:00:00"/>
    <x v="0"/>
    <x v="0"/>
    <x v="0"/>
    <d v="1900-01-07T14:00:00"/>
    <x v="0"/>
    <x v="1"/>
    <x v="0"/>
    <x v="3"/>
    <x v="20"/>
    <n v="0.46"/>
    <x v="11"/>
    <n v="1"/>
    <n v="19"/>
    <n v="20"/>
  </r>
  <r>
    <n v="253"/>
    <d v="2011-01-11T00:00:00"/>
    <x v="0"/>
    <x v="0"/>
    <x v="0"/>
    <d v="1900-01-09T12:00:00"/>
    <x v="0"/>
    <x v="3"/>
    <x v="2"/>
    <x v="2"/>
    <x v="5"/>
    <n v="0.86"/>
    <x v="1"/>
    <n v="0"/>
    <n v="20"/>
    <n v="20"/>
  </r>
  <r>
    <n v="277"/>
    <d v="2011-01-12T00:00:00"/>
    <x v="0"/>
    <x v="0"/>
    <x v="0"/>
    <d v="1900-01-10T12:00:00"/>
    <x v="0"/>
    <x v="6"/>
    <x v="0"/>
    <x v="3"/>
    <x v="20"/>
    <n v="0.59"/>
    <x v="11"/>
    <n v="1"/>
    <n v="19"/>
    <n v="20"/>
  </r>
  <r>
    <n v="326"/>
    <d v="2011-01-15T00:00:00"/>
    <x v="0"/>
    <x v="0"/>
    <x v="0"/>
    <d v="1900-01-12T13:00:00"/>
    <x v="0"/>
    <x v="0"/>
    <x v="1"/>
    <x v="2"/>
    <x v="5"/>
    <n v="0.59"/>
    <x v="1"/>
    <n v="2"/>
    <n v="18"/>
    <n v="20"/>
  </r>
  <r>
    <n v="408"/>
    <d v="2011-01-18T00:00:00"/>
    <x v="0"/>
    <x v="0"/>
    <x v="0"/>
    <d v="1900-01-15T23:00:00"/>
    <x v="0"/>
    <x v="3"/>
    <x v="1"/>
    <x v="10"/>
    <x v="16"/>
    <n v="0.93"/>
    <x v="0"/>
    <n v="1"/>
    <n v="19"/>
    <n v="20"/>
  </r>
  <r>
    <n v="620"/>
    <d v="2011-01-29T00:00:00"/>
    <x v="0"/>
    <x v="0"/>
    <x v="0"/>
    <d v="1900-01-24T19:00:00"/>
    <x v="0"/>
    <x v="0"/>
    <x v="0"/>
    <x v="10"/>
    <x v="9"/>
    <n v="0.64"/>
    <x v="2"/>
    <n v="0"/>
    <n v="20"/>
    <n v="20"/>
  </r>
  <r>
    <n v="791"/>
    <d v="2011-02-05T00:00:00"/>
    <x v="0"/>
    <x v="0"/>
    <x v="1"/>
    <d v="1900-01-31T22:00:00"/>
    <x v="0"/>
    <x v="0"/>
    <x v="2"/>
    <x v="4"/>
    <x v="9"/>
    <n v="1"/>
    <x v="1"/>
    <n v="3"/>
    <n v="17"/>
    <n v="20"/>
  </r>
  <r>
    <n v="808"/>
    <d v="2011-02-06T00:00:00"/>
    <x v="0"/>
    <x v="0"/>
    <x v="1"/>
    <d v="1900-02-01T15:00:00"/>
    <x v="0"/>
    <x v="1"/>
    <x v="0"/>
    <x v="9"/>
    <x v="9"/>
    <n v="0.6"/>
    <x v="13"/>
    <n v="0"/>
    <n v="20"/>
    <n v="20"/>
  </r>
  <r>
    <n v="972"/>
    <d v="2011-02-13T00:00:00"/>
    <x v="0"/>
    <x v="0"/>
    <x v="1"/>
    <d v="1900-02-08T11:00:00"/>
    <x v="0"/>
    <x v="1"/>
    <x v="1"/>
    <x v="4"/>
    <x v="9"/>
    <n v="0.75"/>
    <x v="1"/>
    <n v="1"/>
    <n v="19"/>
    <n v="20"/>
  </r>
  <r>
    <n v="371"/>
    <d v="2011-01-16T00:00:00"/>
    <x v="0"/>
    <x v="0"/>
    <x v="0"/>
    <d v="1900-01-14T10:00:00"/>
    <x v="0"/>
    <x v="1"/>
    <x v="1"/>
    <x v="4"/>
    <x v="6"/>
    <n v="0.49"/>
    <x v="4"/>
    <n v="2"/>
    <n v="19"/>
    <n v="21"/>
  </r>
  <r>
    <n v="456"/>
    <d v="2011-01-21T00:00:00"/>
    <x v="0"/>
    <x v="0"/>
    <x v="0"/>
    <d v="1900-01-17T23:00:00"/>
    <x v="0"/>
    <x v="5"/>
    <x v="1"/>
    <x v="0"/>
    <x v="9"/>
    <n v="0.7"/>
    <x v="10"/>
    <n v="1"/>
    <n v="20"/>
    <n v="21"/>
  </r>
  <r>
    <n v="525"/>
    <d v="2011-01-23T00:00:00"/>
    <x v="0"/>
    <x v="0"/>
    <x v="0"/>
    <d v="1900-01-20T20:00:00"/>
    <x v="0"/>
    <x v="1"/>
    <x v="0"/>
    <x v="15"/>
    <x v="13"/>
    <n v="0.41"/>
    <x v="5"/>
    <n v="4"/>
    <n v="17"/>
    <n v="21"/>
  </r>
  <r>
    <n v="663"/>
    <d v="2011-01-30T00:00:00"/>
    <x v="0"/>
    <x v="0"/>
    <x v="0"/>
    <d v="1900-01-26T14:00:00"/>
    <x v="0"/>
    <x v="1"/>
    <x v="1"/>
    <x v="0"/>
    <x v="9"/>
    <n v="0.7"/>
    <x v="2"/>
    <n v="2"/>
    <n v="19"/>
    <n v="21"/>
  </r>
  <r>
    <n v="664"/>
    <d v="2011-01-30T00:00:00"/>
    <x v="0"/>
    <x v="0"/>
    <x v="0"/>
    <d v="1900-01-26T15:00:00"/>
    <x v="0"/>
    <x v="1"/>
    <x v="1"/>
    <x v="0"/>
    <x v="6"/>
    <n v="0.65"/>
    <x v="7"/>
    <n v="5"/>
    <n v="16"/>
    <n v="21"/>
  </r>
  <r>
    <n v="825"/>
    <d v="2011-02-06T00:00:00"/>
    <x v="0"/>
    <x v="0"/>
    <x v="1"/>
    <d v="1900-02-02T08:00:00"/>
    <x v="0"/>
    <x v="1"/>
    <x v="0"/>
    <x v="13"/>
    <x v="0"/>
    <n v="0.61"/>
    <x v="4"/>
    <n v="1"/>
    <n v="20"/>
    <n v="21"/>
  </r>
  <r>
    <n v="44"/>
    <d v="2011-01-02T00:00:00"/>
    <x v="0"/>
    <x v="0"/>
    <x v="0"/>
    <d v="1899-12-31T19:00:00"/>
    <x v="0"/>
    <x v="1"/>
    <x v="0"/>
    <x v="22"/>
    <x v="18"/>
    <n v="0.39"/>
    <x v="12"/>
    <n v="5"/>
    <n v="17"/>
    <n v="22"/>
  </r>
  <r>
    <n v="185"/>
    <d v="2011-01-08T00:00:00"/>
    <x v="0"/>
    <x v="0"/>
    <x v="0"/>
    <d v="1900-01-06T16:00:00"/>
    <x v="0"/>
    <x v="0"/>
    <x v="0"/>
    <x v="7"/>
    <x v="13"/>
    <n v="0.39"/>
    <x v="16"/>
    <n v="0"/>
    <n v="22"/>
    <n v="22"/>
  </r>
  <r>
    <n v="398"/>
    <d v="2011-01-18T00:00:00"/>
    <x v="0"/>
    <x v="0"/>
    <x v="0"/>
    <d v="1900-01-15T13:00:00"/>
    <x v="0"/>
    <x v="3"/>
    <x v="1"/>
    <x v="4"/>
    <x v="5"/>
    <n v="0.86"/>
    <x v="5"/>
    <n v="0"/>
    <n v="22"/>
    <n v="22"/>
  </r>
  <r>
    <n v="503"/>
    <d v="2011-01-23T00:00:00"/>
    <x v="0"/>
    <x v="0"/>
    <x v="0"/>
    <d v="1900-01-19T22:00:00"/>
    <x v="0"/>
    <x v="1"/>
    <x v="0"/>
    <x v="11"/>
    <x v="10"/>
    <n v="0.56999999999999995"/>
    <x v="8"/>
    <n v="2"/>
    <n v="20"/>
    <n v="22"/>
  </r>
  <r>
    <n v="694"/>
    <d v="2011-02-01T00:00:00"/>
    <x v="0"/>
    <x v="0"/>
    <x v="1"/>
    <d v="1900-01-27T21:00:00"/>
    <x v="0"/>
    <x v="3"/>
    <x v="2"/>
    <x v="3"/>
    <x v="6"/>
    <n v="0.93"/>
    <x v="0"/>
    <n v="0"/>
    <n v="22"/>
    <n v="22"/>
  </r>
  <r>
    <n v="138"/>
    <d v="2011-01-06T00:00:00"/>
    <x v="0"/>
    <x v="0"/>
    <x v="0"/>
    <d v="1900-01-04T17:00:00"/>
    <x v="0"/>
    <x v="4"/>
    <x v="1"/>
    <x v="4"/>
    <x v="5"/>
    <n v="0.59"/>
    <x v="2"/>
    <n v="4"/>
    <n v="19"/>
    <n v="23"/>
  </r>
  <r>
    <n v="333"/>
    <d v="2011-01-15T00:00:00"/>
    <x v="0"/>
    <x v="0"/>
    <x v="0"/>
    <d v="1900-01-12T20:00:00"/>
    <x v="0"/>
    <x v="0"/>
    <x v="0"/>
    <x v="3"/>
    <x v="4"/>
    <n v="0.63"/>
    <x v="4"/>
    <n v="1"/>
    <n v="22"/>
    <n v="23"/>
  </r>
  <r>
    <n v="350"/>
    <d v="2011-01-16T00:00:00"/>
    <x v="0"/>
    <x v="0"/>
    <x v="0"/>
    <d v="1900-01-13T13:00:00"/>
    <x v="0"/>
    <x v="1"/>
    <x v="0"/>
    <x v="9"/>
    <x v="16"/>
    <n v="0.56000000000000005"/>
    <x v="4"/>
    <n v="4"/>
    <n v="19"/>
    <n v="23"/>
  </r>
  <r>
    <n v="618"/>
    <d v="2011-01-28T00:00:00"/>
    <x v="0"/>
    <x v="0"/>
    <x v="0"/>
    <d v="1900-01-24T17:00:00"/>
    <x v="0"/>
    <x v="5"/>
    <x v="0"/>
    <x v="0"/>
    <x v="9"/>
    <n v="0.6"/>
    <x v="5"/>
    <n v="1"/>
    <n v="22"/>
    <n v="23"/>
  </r>
  <r>
    <n v="814"/>
    <d v="2011-02-06T00:00:00"/>
    <x v="0"/>
    <x v="0"/>
    <x v="1"/>
    <d v="1900-02-01T21:00:00"/>
    <x v="0"/>
    <x v="1"/>
    <x v="0"/>
    <x v="0"/>
    <x v="1"/>
    <n v="0.65"/>
    <x v="8"/>
    <n v="2"/>
    <n v="21"/>
    <n v="23"/>
  </r>
  <r>
    <n v="232"/>
    <d v="2011-01-10T00:00:00"/>
    <x v="0"/>
    <x v="0"/>
    <x v="0"/>
    <d v="1900-01-08T15:00:00"/>
    <x v="0"/>
    <x v="2"/>
    <x v="0"/>
    <x v="3"/>
    <x v="4"/>
    <n v="0.59"/>
    <x v="6"/>
    <n v="2"/>
    <n v="22"/>
    <n v="24"/>
  </r>
  <r>
    <n v="548"/>
    <d v="2011-01-24T00:00:00"/>
    <x v="0"/>
    <x v="0"/>
    <x v="0"/>
    <d v="1900-01-21T19:00:00"/>
    <x v="0"/>
    <x v="2"/>
    <x v="1"/>
    <x v="2"/>
    <x v="4"/>
    <n v="0.64"/>
    <x v="10"/>
    <n v="3"/>
    <n v="21"/>
    <n v="24"/>
  </r>
  <r>
    <n v="588"/>
    <d v="2011-01-27T00:00:00"/>
    <x v="0"/>
    <x v="0"/>
    <x v="0"/>
    <d v="1900-01-23T11:00:00"/>
    <x v="0"/>
    <x v="4"/>
    <x v="0"/>
    <x v="10"/>
    <x v="9"/>
    <n v="0.55000000000000004"/>
    <x v="2"/>
    <n v="1"/>
    <n v="23"/>
    <n v="24"/>
  </r>
  <r>
    <n v="928"/>
    <d v="2011-02-11T00:00:00"/>
    <x v="0"/>
    <x v="0"/>
    <x v="1"/>
    <d v="1900-02-06T15:00:00"/>
    <x v="0"/>
    <x v="5"/>
    <x v="0"/>
    <x v="7"/>
    <x v="15"/>
    <n v="0.68"/>
    <x v="0"/>
    <n v="1"/>
    <n v="23"/>
    <n v="24"/>
  </r>
  <r>
    <n v="947"/>
    <d v="2011-02-12T00:00:00"/>
    <x v="0"/>
    <x v="0"/>
    <x v="1"/>
    <d v="1900-02-07T10:00:00"/>
    <x v="0"/>
    <x v="0"/>
    <x v="0"/>
    <x v="3"/>
    <x v="6"/>
    <n v="0.86"/>
    <x v="0"/>
    <n v="2"/>
    <n v="22"/>
    <n v="24"/>
  </r>
  <r>
    <n v="971"/>
    <d v="2011-02-13T00:00:00"/>
    <x v="0"/>
    <x v="0"/>
    <x v="1"/>
    <d v="1900-02-08T10:00:00"/>
    <x v="0"/>
    <x v="1"/>
    <x v="0"/>
    <x v="4"/>
    <x v="9"/>
    <n v="0.59"/>
    <x v="1"/>
    <n v="1"/>
    <n v="23"/>
    <n v="24"/>
  </r>
  <r>
    <n v="162"/>
    <d v="2011-01-08T00:00:00"/>
    <x v="0"/>
    <x v="0"/>
    <x v="0"/>
    <d v="1900-01-05T17:00:00"/>
    <x v="0"/>
    <x v="0"/>
    <x v="1"/>
    <x v="5"/>
    <x v="5"/>
    <n v="0.51"/>
    <x v="6"/>
    <n v="1"/>
    <n v="24"/>
    <n v="25"/>
  </r>
  <r>
    <n v="186"/>
    <d v="2011-01-09T00:00:00"/>
    <x v="0"/>
    <x v="0"/>
    <x v="0"/>
    <d v="1900-01-06T17:00:00"/>
    <x v="0"/>
    <x v="1"/>
    <x v="0"/>
    <x v="7"/>
    <x v="10"/>
    <n v="0.42"/>
    <x v="3"/>
    <n v="1"/>
    <n v="24"/>
    <n v="25"/>
  </r>
  <r>
    <n v="523"/>
    <d v="2011-01-23T00:00:00"/>
    <x v="0"/>
    <x v="0"/>
    <x v="0"/>
    <d v="1900-01-20T18:00:00"/>
    <x v="0"/>
    <x v="1"/>
    <x v="0"/>
    <x v="7"/>
    <x v="20"/>
    <n v="0.36"/>
    <x v="2"/>
    <n v="5"/>
    <n v="20"/>
    <n v="25"/>
  </r>
  <r>
    <n v="853"/>
    <d v="2011-02-07T00:00:00"/>
    <x v="0"/>
    <x v="0"/>
    <x v="1"/>
    <d v="1900-02-03T12:00:00"/>
    <x v="0"/>
    <x v="2"/>
    <x v="1"/>
    <x v="22"/>
    <x v="21"/>
    <n v="0.81"/>
    <x v="0"/>
    <n v="6"/>
    <n v="19"/>
    <n v="25"/>
  </r>
  <r>
    <n v="347"/>
    <d v="2011-01-15T00:00:00"/>
    <x v="0"/>
    <x v="0"/>
    <x v="0"/>
    <d v="1900-01-13T10:00:00"/>
    <x v="0"/>
    <x v="0"/>
    <x v="1"/>
    <x v="22"/>
    <x v="22"/>
    <n v="0.42"/>
    <x v="8"/>
    <n v="0"/>
    <n v="26"/>
    <n v="26"/>
  </r>
  <r>
    <n v="587"/>
    <d v="2011-01-26T00:00:00"/>
    <x v="0"/>
    <x v="0"/>
    <x v="0"/>
    <d v="1900-01-23T10:00:00"/>
    <x v="0"/>
    <x v="6"/>
    <x v="2"/>
    <x v="4"/>
    <x v="15"/>
    <n v="0.93"/>
    <x v="12"/>
    <n v="0"/>
    <n v="26"/>
    <n v="26"/>
  </r>
  <r>
    <n v="617"/>
    <d v="2011-01-28T00:00:00"/>
    <x v="0"/>
    <x v="0"/>
    <x v="0"/>
    <d v="1900-01-24T16:00:00"/>
    <x v="0"/>
    <x v="5"/>
    <x v="0"/>
    <x v="0"/>
    <x v="6"/>
    <n v="0.65"/>
    <x v="12"/>
    <n v="0"/>
    <n v="26"/>
    <n v="26"/>
  </r>
  <r>
    <n v="826"/>
    <d v="2011-02-06T00:00:00"/>
    <x v="0"/>
    <x v="0"/>
    <x v="1"/>
    <d v="1900-02-02T09:00:00"/>
    <x v="0"/>
    <x v="1"/>
    <x v="0"/>
    <x v="13"/>
    <x v="0"/>
    <n v="0.61"/>
    <x v="8"/>
    <n v="5"/>
    <n v="21"/>
    <n v="26"/>
  </r>
  <r>
    <n v="906"/>
    <d v="2011-02-10T00:00:00"/>
    <x v="0"/>
    <x v="0"/>
    <x v="1"/>
    <d v="1900-02-05T17:00:00"/>
    <x v="0"/>
    <x v="4"/>
    <x v="1"/>
    <x v="8"/>
    <x v="8"/>
    <n v="0.54"/>
    <x v="7"/>
    <n v="0"/>
    <n v="26"/>
    <n v="26"/>
  </r>
  <r>
    <n v="999"/>
    <d v="2011-02-14T00:00:00"/>
    <x v="0"/>
    <x v="0"/>
    <x v="1"/>
    <d v="1900-02-09T14:00:00"/>
    <x v="0"/>
    <x v="2"/>
    <x v="0"/>
    <x v="17"/>
    <x v="23"/>
    <n v="0.46"/>
    <x v="9"/>
    <n v="1"/>
    <n v="25"/>
    <n v="26"/>
  </r>
  <r>
    <n v="238"/>
    <d v="2011-01-11T00:00:00"/>
    <x v="0"/>
    <x v="0"/>
    <x v="0"/>
    <d v="1900-01-08T21:00:00"/>
    <x v="0"/>
    <x v="3"/>
    <x v="1"/>
    <x v="2"/>
    <x v="15"/>
    <n v="0.55000000000000004"/>
    <x v="4"/>
    <n v="0"/>
    <n v="27"/>
    <n v="27"/>
  </r>
  <r>
    <n v="324"/>
    <d v="2011-01-14T00:00:00"/>
    <x v="0"/>
    <x v="0"/>
    <x v="0"/>
    <d v="1900-01-12T11:00:00"/>
    <x v="0"/>
    <x v="5"/>
    <x v="1"/>
    <x v="5"/>
    <x v="19"/>
    <n v="0.55000000000000004"/>
    <x v="0"/>
    <n v="1"/>
    <n v="26"/>
    <n v="27"/>
  </r>
  <r>
    <n v="394"/>
    <d v="2011-01-17T00:00:00"/>
    <x v="0"/>
    <x v="0"/>
    <x v="0"/>
    <d v="1900-01-15T09:00:00"/>
    <x v="1"/>
    <x v="2"/>
    <x v="2"/>
    <x v="2"/>
    <x v="4"/>
    <n v="0.8"/>
    <x v="2"/>
    <n v="3"/>
    <n v="24"/>
    <n v="27"/>
  </r>
  <r>
    <n v="462"/>
    <d v="2011-01-21T00:00:00"/>
    <x v="0"/>
    <x v="0"/>
    <x v="0"/>
    <d v="1900-01-18T05:00:00"/>
    <x v="0"/>
    <x v="5"/>
    <x v="0"/>
    <x v="10"/>
    <x v="6"/>
    <n v="0.55000000000000004"/>
    <x v="10"/>
    <n v="0"/>
    <n v="27"/>
    <n v="27"/>
  </r>
  <r>
    <n v="479"/>
    <d v="2011-01-21T00:00:00"/>
    <x v="0"/>
    <x v="0"/>
    <x v="0"/>
    <d v="1900-01-18T22:00:00"/>
    <x v="0"/>
    <x v="5"/>
    <x v="0"/>
    <x v="15"/>
    <x v="11"/>
    <n v="0.38"/>
    <x v="13"/>
    <n v="0"/>
    <n v="27"/>
    <n v="27"/>
  </r>
  <r>
    <n v="487"/>
    <d v="2011-01-22T00:00:00"/>
    <x v="0"/>
    <x v="0"/>
    <x v="0"/>
    <d v="1900-01-19T06:00:00"/>
    <x v="0"/>
    <x v="0"/>
    <x v="0"/>
    <x v="12"/>
    <x v="18"/>
    <n v="0.44"/>
    <x v="13"/>
    <n v="1"/>
    <n v="26"/>
    <n v="27"/>
  </r>
  <r>
    <n v="594"/>
    <d v="2011-01-27T00:00:00"/>
    <x v="0"/>
    <x v="0"/>
    <x v="0"/>
    <d v="1900-01-23T17:00:00"/>
    <x v="0"/>
    <x v="4"/>
    <x v="0"/>
    <x v="5"/>
    <x v="6"/>
    <n v="0.74"/>
    <x v="1"/>
    <n v="0"/>
    <n v="27"/>
    <n v="27"/>
  </r>
  <r>
    <n v="827"/>
    <d v="2011-02-06T00:00:00"/>
    <x v="0"/>
    <x v="0"/>
    <x v="1"/>
    <d v="1900-02-02T10:00:00"/>
    <x v="0"/>
    <x v="1"/>
    <x v="0"/>
    <x v="9"/>
    <x v="23"/>
    <n v="0.6"/>
    <x v="0"/>
    <n v="5"/>
    <n v="22"/>
    <n v="27"/>
  </r>
  <r>
    <n v="23"/>
    <d v="2011-01-01T00:00:00"/>
    <x v="0"/>
    <x v="0"/>
    <x v="0"/>
    <d v="1899-12-30T22:00:00"/>
    <x v="0"/>
    <x v="0"/>
    <x v="1"/>
    <x v="1"/>
    <x v="2"/>
    <n v="0.94"/>
    <x v="5"/>
    <n v="11"/>
    <n v="17"/>
    <n v="28"/>
  </r>
  <r>
    <n v="182"/>
    <d v="2011-01-08T00:00:00"/>
    <x v="0"/>
    <x v="0"/>
    <x v="0"/>
    <d v="1900-01-06T13:00:00"/>
    <x v="0"/>
    <x v="0"/>
    <x v="0"/>
    <x v="8"/>
    <x v="8"/>
    <n v="0.36"/>
    <x v="10"/>
    <n v="0"/>
    <n v="28"/>
    <n v="28"/>
  </r>
  <r>
    <n v="284"/>
    <d v="2011-01-13T00:00:00"/>
    <x v="0"/>
    <x v="0"/>
    <x v="0"/>
    <d v="1900-01-10T19:00:00"/>
    <x v="0"/>
    <x v="4"/>
    <x v="0"/>
    <x v="8"/>
    <x v="4"/>
    <n v="0.54"/>
    <x v="4"/>
    <n v="0"/>
    <n v="28"/>
    <n v="28"/>
  </r>
  <r>
    <n v="325"/>
    <d v="2011-01-15T00:00:00"/>
    <x v="0"/>
    <x v="0"/>
    <x v="0"/>
    <d v="1900-01-12T12:00:00"/>
    <x v="0"/>
    <x v="0"/>
    <x v="0"/>
    <x v="5"/>
    <x v="19"/>
    <n v="0.55000000000000004"/>
    <x v="0"/>
    <n v="3"/>
    <n v="25"/>
    <n v="28"/>
  </r>
  <r>
    <n v="370"/>
    <d v="2011-01-16T00:00:00"/>
    <x v="0"/>
    <x v="0"/>
    <x v="0"/>
    <d v="1900-01-14T09:00:00"/>
    <x v="0"/>
    <x v="1"/>
    <x v="0"/>
    <x v="5"/>
    <x v="5"/>
    <n v="0.51"/>
    <x v="6"/>
    <n v="6"/>
    <n v="22"/>
    <n v="28"/>
  </r>
  <r>
    <n v="399"/>
    <d v="2011-01-18T00:00:00"/>
    <x v="0"/>
    <x v="0"/>
    <x v="0"/>
    <d v="1900-01-15T14:00:00"/>
    <x v="0"/>
    <x v="3"/>
    <x v="1"/>
    <x v="10"/>
    <x v="9"/>
    <n v="0.8"/>
    <x v="6"/>
    <n v="2"/>
    <n v="26"/>
    <n v="28"/>
  </r>
  <r>
    <n v="431"/>
    <d v="2011-01-19T00:00:00"/>
    <x v="0"/>
    <x v="0"/>
    <x v="0"/>
    <d v="1900-01-16T22:00:00"/>
    <x v="0"/>
    <x v="6"/>
    <x v="0"/>
    <x v="22"/>
    <x v="16"/>
    <n v="0.52"/>
    <x v="15"/>
    <n v="1"/>
    <n v="27"/>
    <n v="28"/>
  </r>
  <r>
    <n v="511"/>
    <d v="2011-01-23T00:00:00"/>
    <x v="0"/>
    <x v="0"/>
    <x v="0"/>
    <d v="1900-01-20T06:00:00"/>
    <x v="0"/>
    <x v="1"/>
    <x v="0"/>
    <x v="7"/>
    <x v="10"/>
    <n v="0.54"/>
    <x v="12"/>
    <n v="3"/>
    <n v="25"/>
    <n v="28"/>
  </r>
  <r>
    <n v="524"/>
    <d v="2011-01-23T00:00:00"/>
    <x v="0"/>
    <x v="0"/>
    <x v="0"/>
    <d v="1900-01-20T19:00:00"/>
    <x v="0"/>
    <x v="1"/>
    <x v="0"/>
    <x v="6"/>
    <x v="7"/>
    <n v="0.38"/>
    <x v="2"/>
    <n v="5"/>
    <n v="23"/>
    <n v="28"/>
  </r>
  <r>
    <n v="580"/>
    <d v="2011-01-26T00:00:00"/>
    <x v="0"/>
    <x v="0"/>
    <x v="0"/>
    <d v="1900-01-23T03:00:00"/>
    <x v="0"/>
    <x v="6"/>
    <x v="2"/>
    <x v="10"/>
    <x v="6"/>
    <n v="0.93"/>
    <x v="7"/>
    <n v="2"/>
    <n v="26"/>
    <n v="28"/>
  </r>
  <r>
    <n v="619"/>
    <d v="2011-01-29T00:00:00"/>
    <x v="0"/>
    <x v="0"/>
    <x v="0"/>
    <d v="1900-01-24T18:00:00"/>
    <x v="0"/>
    <x v="0"/>
    <x v="0"/>
    <x v="10"/>
    <x v="5"/>
    <n v="0.64"/>
    <x v="12"/>
    <n v="2"/>
    <n v="26"/>
    <n v="28"/>
  </r>
  <r>
    <n v="662"/>
    <d v="2011-01-30T00:00:00"/>
    <x v="0"/>
    <x v="0"/>
    <x v="0"/>
    <d v="1900-01-26T13:00:00"/>
    <x v="0"/>
    <x v="1"/>
    <x v="1"/>
    <x v="0"/>
    <x v="19"/>
    <n v="0.7"/>
    <x v="6"/>
    <n v="3"/>
    <n v="25"/>
    <n v="28"/>
  </r>
  <r>
    <n v="764"/>
    <d v="2011-02-04T00:00:00"/>
    <x v="0"/>
    <x v="0"/>
    <x v="1"/>
    <d v="1900-01-30T19:00:00"/>
    <x v="0"/>
    <x v="5"/>
    <x v="1"/>
    <x v="2"/>
    <x v="9"/>
    <n v="0.55000000000000004"/>
    <x v="0"/>
    <n v="2"/>
    <n v="26"/>
    <n v="28"/>
  </r>
  <r>
    <n v="254"/>
    <d v="2011-01-11T00:00:00"/>
    <x v="0"/>
    <x v="0"/>
    <x v="0"/>
    <d v="1900-01-09T13:00:00"/>
    <x v="0"/>
    <x v="3"/>
    <x v="2"/>
    <x v="2"/>
    <x v="15"/>
    <n v="0.93"/>
    <x v="8"/>
    <n v="1"/>
    <n v="28"/>
    <n v="29"/>
  </r>
  <r>
    <n v="607"/>
    <d v="2011-01-28T00:00:00"/>
    <x v="0"/>
    <x v="0"/>
    <x v="0"/>
    <d v="1900-01-24T06:00:00"/>
    <x v="0"/>
    <x v="5"/>
    <x v="2"/>
    <x v="5"/>
    <x v="6"/>
    <n v="0.93"/>
    <x v="8"/>
    <n v="1"/>
    <n v="28"/>
    <n v="29"/>
  </r>
  <r>
    <n v="643"/>
    <d v="2011-01-30T00:00:00"/>
    <x v="0"/>
    <x v="0"/>
    <x v="0"/>
    <d v="1900-01-25T18:00:00"/>
    <x v="0"/>
    <x v="1"/>
    <x v="0"/>
    <x v="3"/>
    <x v="6"/>
    <n v="0.8"/>
    <x v="0"/>
    <n v="7"/>
    <n v="22"/>
    <n v="29"/>
  </r>
  <r>
    <n v="876"/>
    <d v="2011-02-08T00:00:00"/>
    <x v="0"/>
    <x v="0"/>
    <x v="1"/>
    <d v="1900-02-04T11:00:00"/>
    <x v="0"/>
    <x v="3"/>
    <x v="0"/>
    <x v="8"/>
    <x v="20"/>
    <n v="0.33"/>
    <x v="12"/>
    <n v="0"/>
    <n v="29"/>
    <n v="29"/>
  </r>
  <r>
    <n v="43"/>
    <d v="2011-01-02T00:00:00"/>
    <x v="0"/>
    <x v="0"/>
    <x v="0"/>
    <d v="1899-12-31T18:00:00"/>
    <x v="0"/>
    <x v="1"/>
    <x v="0"/>
    <x v="18"/>
    <x v="0"/>
    <n v="0.42"/>
    <x v="16"/>
    <n v="1"/>
    <n v="29"/>
    <n v="30"/>
  </r>
  <r>
    <n v="52"/>
    <d v="2011-01-03T00:00:00"/>
    <x v="0"/>
    <x v="0"/>
    <x v="0"/>
    <d v="1900-01-01T03:00:00"/>
    <x v="0"/>
    <x v="2"/>
    <x v="0"/>
    <x v="3"/>
    <x v="20"/>
    <n v="0.5"/>
    <x v="3"/>
    <n v="0"/>
    <n v="30"/>
    <n v="30"/>
  </r>
  <r>
    <n v="181"/>
    <d v="2011-01-08T00:00:00"/>
    <x v="0"/>
    <x v="0"/>
    <x v="0"/>
    <d v="1900-01-06T12:00:00"/>
    <x v="0"/>
    <x v="0"/>
    <x v="0"/>
    <x v="3"/>
    <x v="8"/>
    <n v="0.36"/>
    <x v="10"/>
    <n v="4"/>
    <n v="26"/>
    <n v="30"/>
  </r>
  <r>
    <n v="221"/>
    <d v="2011-01-10T00:00:00"/>
    <x v="0"/>
    <x v="0"/>
    <x v="0"/>
    <d v="1900-01-08T04:00:00"/>
    <x v="0"/>
    <x v="2"/>
    <x v="1"/>
    <x v="2"/>
    <x v="3"/>
    <n v="0.47"/>
    <x v="7"/>
    <n v="2"/>
    <n v="28"/>
    <n v="30"/>
  </r>
  <r>
    <n v="300"/>
    <d v="2011-01-13T00:00:00"/>
    <x v="0"/>
    <x v="0"/>
    <x v="0"/>
    <d v="1900-01-11T11:00:00"/>
    <x v="0"/>
    <x v="4"/>
    <x v="0"/>
    <x v="3"/>
    <x v="8"/>
    <n v="0.46"/>
    <x v="13"/>
    <n v="0"/>
    <n v="30"/>
    <n v="30"/>
  </r>
  <r>
    <n v="501"/>
    <d v="2011-01-22T00:00:00"/>
    <x v="0"/>
    <x v="0"/>
    <x v="0"/>
    <d v="1900-01-19T20:00:00"/>
    <x v="0"/>
    <x v="0"/>
    <x v="0"/>
    <x v="15"/>
    <x v="4"/>
    <n v="0.49"/>
    <x v="0"/>
    <n v="7"/>
    <n v="23"/>
    <n v="30"/>
  </r>
  <r>
    <n v="577"/>
    <d v="2011-01-26T00:00:00"/>
    <x v="0"/>
    <x v="0"/>
    <x v="0"/>
    <d v="1900-01-23T00:00:00"/>
    <x v="0"/>
    <x v="6"/>
    <x v="2"/>
    <x v="10"/>
    <x v="6"/>
    <n v="0.87"/>
    <x v="9"/>
    <n v="1"/>
    <n v="29"/>
    <n v="30"/>
  </r>
  <r>
    <n v="606"/>
    <d v="2011-01-28T00:00:00"/>
    <x v="0"/>
    <x v="0"/>
    <x v="0"/>
    <d v="1900-01-24T05:00:00"/>
    <x v="0"/>
    <x v="5"/>
    <x v="2"/>
    <x v="5"/>
    <x v="6"/>
    <n v="0.93"/>
    <x v="8"/>
    <n v="0"/>
    <n v="30"/>
    <n v="30"/>
  </r>
  <r>
    <n v="829"/>
    <d v="2011-02-06T00:00:00"/>
    <x v="0"/>
    <x v="0"/>
    <x v="1"/>
    <d v="1900-02-02T12:00:00"/>
    <x v="0"/>
    <x v="1"/>
    <x v="0"/>
    <x v="0"/>
    <x v="0"/>
    <n v="0.65"/>
    <x v="0"/>
    <n v="4"/>
    <n v="26"/>
    <n v="30"/>
  </r>
  <r>
    <n v="836"/>
    <d v="2011-02-07T00:00:00"/>
    <x v="0"/>
    <x v="0"/>
    <x v="1"/>
    <d v="1900-02-02T19:00:00"/>
    <x v="0"/>
    <x v="2"/>
    <x v="0"/>
    <x v="5"/>
    <x v="19"/>
    <n v="0.93"/>
    <x v="0"/>
    <n v="1"/>
    <n v="29"/>
    <n v="30"/>
  </r>
  <r>
    <n v="946"/>
    <d v="2011-02-12T00:00:00"/>
    <x v="0"/>
    <x v="0"/>
    <x v="1"/>
    <d v="1900-02-07T09:00:00"/>
    <x v="0"/>
    <x v="0"/>
    <x v="0"/>
    <x v="2"/>
    <x v="5"/>
    <n v="0.69"/>
    <x v="1"/>
    <n v="3"/>
    <n v="27"/>
    <n v="30"/>
  </r>
  <r>
    <n v="954"/>
    <d v="2011-02-12T00:00:00"/>
    <x v="0"/>
    <x v="0"/>
    <x v="1"/>
    <d v="1900-02-07T17:00:00"/>
    <x v="0"/>
    <x v="0"/>
    <x v="0"/>
    <x v="3"/>
    <x v="4"/>
    <n v="0.86"/>
    <x v="4"/>
    <n v="2"/>
    <n v="28"/>
    <n v="30"/>
  </r>
  <r>
    <n v="992"/>
    <d v="2011-02-13T00:00:00"/>
    <x v="0"/>
    <x v="0"/>
    <x v="1"/>
    <d v="1900-02-09T07:00:00"/>
    <x v="0"/>
    <x v="1"/>
    <x v="0"/>
    <x v="1"/>
    <x v="2"/>
    <n v="0.35"/>
    <x v="12"/>
    <n v="3"/>
    <n v="27"/>
    <n v="30"/>
  </r>
  <r>
    <n v="45"/>
    <d v="2011-01-02T00:00:00"/>
    <x v="0"/>
    <x v="0"/>
    <x v="0"/>
    <d v="1899-12-31T20:00:00"/>
    <x v="0"/>
    <x v="1"/>
    <x v="0"/>
    <x v="9"/>
    <x v="9"/>
    <n v="0.44"/>
    <x v="13"/>
    <n v="11"/>
    <n v="20"/>
    <n v="31"/>
  </r>
  <r>
    <n v="216"/>
    <d v="2011-01-10T00:00:00"/>
    <x v="0"/>
    <x v="0"/>
    <x v="0"/>
    <d v="1900-01-07T23:00:00"/>
    <x v="0"/>
    <x v="2"/>
    <x v="0"/>
    <x v="8"/>
    <x v="8"/>
    <n v="0.5"/>
    <x v="7"/>
    <n v="0"/>
    <n v="31"/>
    <n v="31"/>
  </r>
  <r>
    <n v="220"/>
    <d v="2011-01-10T00:00:00"/>
    <x v="0"/>
    <x v="0"/>
    <x v="0"/>
    <d v="1900-01-08T03:00:00"/>
    <x v="0"/>
    <x v="2"/>
    <x v="1"/>
    <x v="3"/>
    <x v="8"/>
    <n v="0.5"/>
    <x v="9"/>
    <n v="0"/>
    <n v="31"/>
    <n v="31"/>
  </r>
  <r>
    <n v="455"/>
    <d v="2011-01-20T00:00:00"/>
    <x v="0"/>
    <x v="0"/>
    <x v="0"/>
    <d v="1900-01-17T22:00:00"/>
    <x v="0"/>
    <x v="4"/>
    <x v="1"/>
    <x v="0"/>
    <x v="6"/>
    <n v="0.65"/>
    <x v="13"/>
    <n v="3"/>
    <n v="28"/>
    <n v="31"/>
  </r>
  <r>
    <n v="608"/>
    <d v="2011-01-28T00:00:00"/>
    <x v="0"/>
    <x v="0"/>
    <x v="0"/>
    <d v="1900-01-24T07:00:00"/>
    <x v="0"/>
    <x v="5"/>
    <x v="2"/>
    <x v="5"/>
    <x v="6"/>
    <n v="0.93"/>
    <x v="8"/>
    <n v="0"/>
    <n v="31"/>
    <n v="31"/>
  </r>
  <r>
    <n v="781"/>
    <d v="2011-02-04T00:00:00"/>
    <x v="0"/>
    <x v="0"/>
    <x v="1"/>
    <d v="1900-01-31T12:00:00"/>
    <x v="0"/>
    <x v="5"/>
    <x v="1"/>
    <x v="0"/>
    <x v="19"/>
    <n v="0.7"/>
    <x v="4"/>
    <n v="1"/>
    <n v="30"/>
    <n v="31"/>
  </r>
  <r>
    <n v="3"/>
    <d v="2011-01-01T00:00:00"/>
    <x v="0"/>
    <x v="0"/>
    <x v="0"/>
    <d v="1899-12-30T02:00:00"/>
    <x v="0"/>
    <x v="0"/>
    <x v="0"/>
    <x v="10"/>
    <x v="16"/>
    <n v="0.8"/>
    <x v="0"/>
    <n v="5"/>
    <n v="27"/>
    <n v="32"/>
  </r>
  <r>
    <n v="252"/>
    <d v="2011-01-11T00:00:00"/>
    <x v="0"/>
    <x v="0"/>
    <x v="0"/>
    <d v="1900-01-09T11:00:00"/>
    <x v="0"/>
    <x v="3"/>
    <x v="2"/>
    <x v="2"/>
    <x v="4"/>
    <n v="0.93"/>
    <x v="2"/>
    <n v="0"/>
    <n v="32"/>
    <n v="32"/>
  </r>
  <r>
    <n v="358"/>
    <d v="2011-01-16T00:00:00"/>
    <x v="0"/>
    <x v="0"/>
    <x v="0"/>
    <d v="1900-01-13T21:00:00"/>
    <x v="0"/>
    <x v="1"/>
    <x v="0"/>
    <x v="10"/>
    <x v="6"/>
    <n v="0.51"/>
    <x v="10"/>
    <n v="3"/>
    <n v="29"/>
    <n v="32"/>
  </r>
  <r>
    <n v="414"/>
    <d v="2011-01-19T00:00:00"/>
    <x v="0"/>
    <x v="0"/>
    <x v="0"/>
    <d v="1900-01-16T05:00:00"/>
    <x v="0"/>
    <x v="6"/>
    <x v="1"/>
    <x v="10"/>
    <x v="1"/>
    <n v="0.93"/>
    <x v="1"/>
    <n v="0"/>
    <n v="32"/>
    <n v="32"/>
  </r>
  <r>
    <n v="640"/>
    <d v="2011-01-29T00:00:00"/>
    <x v="0"/>
    <x v="0"/>
    <x v="0"/>
    <d v="1900-01-25T15:00:00"/>
    <x v="0"/>
    <x v="0"/>
    <x v="0"/>
    <x v="2"/>
    <x v="5"/>
    <n v="0.8"/>
    <x v="1"/>
    <n v="4"/>
    <n v="28"/>
    <n v="32"/>
  </r>
  <r>
    <n v="735"/>
    <d v="2011-02-02T00:00:00"/>
    <x v="0"/>
    <x v="0"/>
    <x v="1"/>
    <d v="1900-01-29T14:00:00"/>
    <x v="0"/>
    <x v="6"/>
    <x v="0"/>
    <x v="4"/>
    <x v="14"/>
    <n v="0.44"/>
    <x v="16"/>
    <n v="3"/>
    <n v="29"/>
    <n v="32"/>
  </r>
  <r>
    <n v="969"/>
    <d v="2011-02-12T00:00:00"/>
    <x v="0"/>
    <x v="0"/>
    <x v="1"/>
    <d v="1900-02-08T08:00:00"/>
    <x v="0"/>
    <x v="0"/>
    <x v="0"/>
    <x v="10"/>
    <x v="9"/>
    <n v="0.51"/>
    <x v="4"/>
    <n v="1"/>
    <n v="31"/>
    <n v="32"/>
  </r>
  <r>
    <n v="98"/>
    <d v="2011-01-05T00:00:00"/>
    <x v="0"/>
    <x v="0"/>
    <x v="0"/>
    <d v="1900-01-03T01:00:00"/>
    <x v="0"/>
    <x v="6"/>
    <x v="0"/>
    <x v="4"/>
    <x v="5"/>
    <n v="0.47"/>
    <x v="5"/>
    <n v="0"/>
    <n v="33"/>
    <n v="33"/>
  </r>
  <r>
    <n v="276"/>
    <d v="2011-01-12T00:00:00"/>
    <x v="0"/>
    <x v="0"/>
    <x v="0"/>
    <d v="1900-01-10T11:00:00"/>
    <x v="0"/>
    <x v="6"/>
    <x v="0"/>
    <x v="2"/>
    <x v="8"/>
    <n v="0.55000000000000004"/>
    <x v="16"/>
    <n v="1"/>
    <n v="32"/>
    <n v="33"/>
  </r>
  <r>
    <n v="334"/>
    <d v="2011-01-15T00:00:00"/>
    <x v="0"/>
    <x v="0"/>
    <x v="0"/>
    <d v="1900-01-12T21:00:00"/>
    <x v="0"/>
    <x v="0"/>
    <x v="0"/>
    <x v="2"/>
    <x v="15"/>
    <n v="0.64"/>
    <x v="4"/>
    <n v="2"/>
    <n v="31"/>
    <n v="33"/>
  </r>
  <r>
    <n v="381"/>
    <d v="2011-01-17T00:00:00"/>
    <x v="0"/>
    <x v="0"/>
    <x v="0"/>
    <d v="1900-01-14T20:00:00"/>
    <x v="1"/>
    <x v="2"/>
    <x v="1"/>
    <x v="2"/>
    <x v="4"/>
    <n v="0.47"/>
    <x v="5"/>
    <n v="3"/>
    <n v="30"/>
    <n v="33"/>
  </r>
  <r>
    <n v="393"/>
    <d v="2011-01-17T00:00:00"/>
    <x v="0"/>
    <x v="0"/>
    <x v="0"/>
    <d v="1900-01-15T08:00:00"/>
    <x v="1"/>
    <x v="2"/>
    <x v="2"/>
    <x v="2"/>
    <x v="4"/>
    <n v="0.8"/>
    <x v="2"/>
    <n v="4"/>
    <n v="29"/>
    <n v="33"/>
  </r>
  <r>
    <n v="407"/>
    <d v="2011-01-18T00:00:00"/>
    <x v="0"/>
    <x v="0"/>
    <x v="0"/>
    <d v="1900-01-15T22:00:00"/>
    <x v="0"/>
    <x v="3"/>
    <x v="1"/>
    <x v="10"/>
    <x v="1"/>
    <n v="0.93"/>
    <x v="1"/>
    <n v="0"/>
    <n v="33"/>
    <n v="33"/>
  </r>
  <r>
    <n v="502"/>
    <d v="2011-01-22T00:00:00"/>
    <x v="0"/>
    <x v="0"/>
    <x v="0"/>
    <d v="1900-01-19T21:00:00"/>
    <x v="0"/>
    <x v="0"/>
    <x v="0"/>
    <x v="11"/>
    <x v="10"/>
    <n v="0.56999999999999995"/>
    <x v="8"/>
    <n v="2"/>
    <n v="31"/>
    <n v="33"/>
  </r>
  <r>
    <n v="641"/>
    <d v="2011-01-29T00:00:00"/>
    <x v="0"/>
    <x v="0"/>
    <x v="0"/>
    <d v="1900-01-25T16:00:00"/>
    <x v="0"/>
    <x v="0"/>
    <x v="0"/>
    <x v="2"/>
    <x v="5"/>
    <n v="0.8"/>
    <x v="1"/>
    <n v="3"/>
    <n v="30"/>
    <n v="33"/>
  </r>
  <r>
    <n v="642"/>
    <d v="2011-01-30T00:00:00"/>
    <x v="0"/>
    <x v="0"/>
    <x v="0"/>
    <d v="1900-01-25T17:00:00"/>
    <x v="0"/>
    <x v="1"/>
    <x v="0"/>
    <x v="2"/>
    <x v="15"/>
    <n v="0.8"/>
    <x v="8"/>
    <n v="0"/>
    <n v="33"/>
    <n v="33"/>
  </r>
  <r>
    <n v="661"/>
    <d v="2011-01-30T00:00:00"/>
    <x v="0"/>
    <x v="0"/>
    <x v="0"/>
    <d v="1900-01-26T12:00:00"/>
    <x v="0"/>
    <x v="1"/>
    <x v="1"/>
    <x v="9"/>
    <x v="16"/>
    <n v="0.65"/>
    <x v="8"/>
    <n v="3"/>
    <n v="30"/>
    <n v="33"/>
  </r>
  <r>
    <n v="22"/>
    <d v="2011-01-01T00:00:00"/>
    <x v="0"/>
    <x v="0"/>
    <x v="0"/>
    <d v="1899-12-30T21:00:00"/>
    <x v="0"/>
    <x v="0"/>
    <x v="1"/>
    <x v="1"/>
    <x v="2"/>
    <n v="0.87"/>
    <x v="2"/>
    <n v="3"/>
    <n v="31"/>
    <n v="34"/>
  </r>
  <r>
    <n v="144"/>
    <d v="2011-01-07T00:00:00"/>
    <x v="0"/>
    <x v="0"/>
    <x v="0"/>
    <d v="1900-01-04T23:00:00"/>
    <x v="0"/>
    <x v="5"/>
    <x v="1"/>
    <x v="4"/>
    <x v="1"/>
    <n v="0.69"/>
    <x v="0"/>
    <n v="8"/>
    <n v="26"/>
    <n v="34"/>
  </r>
  <r>
    <n v="184"/>
    <d v="2011-01-08T00:00:00"/>
    <x v="0"/>
    <x v="0"/>
    <x v="0"/>
    <d v="1900-01-06T15:00:00"/>
    <x v="0"/>
    <x v="0"/>
    <x v="0"/>
    <x v="8"/>
    <x v="20"/>
    <n v="0.36"/>
    <x v="3"/>
    <n v="1"/>
    <n v="33"/>
    <n v="34"/>
  </r>
  <r>
    <n v="478"/>
    <d v="2011-01-21T00:00:00"/>
    <x v="0"/>
    <x v="0"/>
    <x v="0"/>
    <d v="1900-01-18T21:00:00"/>
    <x v="0"/>
    <x v="5"/>
    <x v="0"/>
    <x v="15"/>
    <x v="12"/>
    <n v="0.41"/>
    <x v="3"/>
    <n v="1"/>
    <n v="33"/>
    <n v="34"/>
  </r>
  <r>
    <n v="626"/>
    <d v="2011-01-29T00:00:00"/>
    <x v="0"/>
    <x v="0"/>
    <x v="0"/>
    <d v="1900-01-25T01:00:00"/>
    <x v="0"/>
    <x v="0"/>
    <x v="0"/>
    <x v="5"/>
    <x v="5"/>
    <n v="0.55000000000000004"/>
    <x v="6"/>
    <n v="3"/>
    <n v="31"/>
    <n v="34"/>
  </r>
  <r>
    <n v="627"/>
    <d v="2011-01-29T00:00:00"/>
    <x v="0"/>
    <x v="0"/>
    <x v="0"/>
    <d v="1900-01-25T02:00:00"/>
    <x v="0"/>
    <x v="0"/>
    <x v="0"/>
    <x v="5"/>
    <x v="6"/>
    <n v="0.59"/>
    <x v="1"/>
    <n v="0"/>
    <n v="34"/>
    <n v="34"/>
  </r>
  <r>
    <n v="687"/>
    <d v="2011-01-31T00:00:00"/>
    <x v="0"/>
    <x v="0"/>
    <x v="0"/>
    <d v="1900-01-27T14:00:00"/>
    <x v="0"/>
    <x v="2"/>
    <x v="1"/>
    <x v="2"/>
    <x v="15"/>
    <n v="0.59"/>
    <x v="8"/>
    <n v="0"/>
    <n v="34"/>
    <n v="34"/>
  </r>
  <r>
    <n v="792"/>
    <d v="2011-02-05T00:00:00"/>
    <x v="0"/>
    <x v="0"/>
    <x v="1"/>
    <d v="1900-01-31T23:00:00"/>
    <x v="0"/>
    <x v="0"/>
    <x v="2"/>
    <x v="4"/>
    <x v="6"/>
    <n v="1"/>
    <x v="4"/>
    <n v="3"/>
    <n v="31"/>
    <n v="34"/>
  </r>
  <r>
    <n v="923"/>
    <d v="2011-02-10T00:00:00"/>
    <x v="0"/>
    <x v="0"/>
    <x v="1"/>
    <d v="1900-02-06T10:00:00"/>
    <x v="0"/>
    <x v="4"/>
    <x v="0"/>
    <x v="8"/>
    <x v="4"/>
    <n v="0.42"/>
    <x v="8"/>
    <n v="1"/>
    <n v="33"/>
    <n v="34"/>
  </r>
  <r>
    <n v="19"/>
    <d v="2011-01-01T00:00:00"/>
    <x v="0"/>
    <x v="0"/>
    <x v="0"/>
    <d v="1899-12-30T18:00:00"/>
    <x v="0"/>
    <x v="0"/>
    <x v="2"/>
    <x v="14"/>
    <x v="17"/>
    <n v="0.88"/>
    <x v="10"/>
    <n v="9"/>
    <n v="26"/>
    <n v="35"/>
  </r>
  <r>
    <n v="91"/>
    <d v="2011-01-04T00:00:00"/>
    <x v="0"/>
    <x v="0"/>
    <x v="0"/>
    <d v="1900-01-02T18:00:00"/>
    <x v="0"/>
    <x v="3"/>
    <x v="0"/>
    <x v="10"/>
    <x v="1"/>
    <n v="0.64"/>
    <x v="1"/>
    <n v="1"/>
    <n v="34"/>
    <n v="35"/>
  </r>
  <r>
    <n v="243"/>
    <d v="2011-01-11T00:00:00"/>
    <x v="0"/>
    <x v="0"/>
    <x v="0"/>
    <d v="1900-01-09T02:00:00"/>
    <x v="0"/>
    <x v="3"/>
    <x v="1"/>
    <x v="4"/>
    <x v="6"/>
    <n v="0.47"/>
    <x v="4"/>
    <n v="4"/>
    <n v="31"/>
    <n v="35"/>
  </r>
  <r>
    <n v="265"/>
    <d v="2011-01-12T00:00:00"/>
    <x v="0"/>
    <x v="0"/>
    <x v="0"/>
    <d v="1900-01-10T00:00:00"/>
    <x v="0"/>
    <x v="6"/>
    <x v="0"/>
    <x v="4"/>
    <x v="15"/>
    <n v="0.51"/>
    <x v="3"/>
    <n v="3"/>
    <n v="32"/>
    <n v="35"/>
  </r>
  <r>
    <n v="400"/>
    <d v="2011-01-18T00:00:00"/>
    <x v="0"/>
    <x v="0"/>
    <x v="0"/>
    <d v="1900-01-15T15:00:00"/>
    <x v="0"/>
    <x v="3"/>
    <x v="1"/>
    <x v="10"/>
    <x v="9"/>
    <n v="0.87"/>
    <x v="6"/>
    <n v="3"/>
    <n v="32"/>
    <n v="35"/>
  </r>
  <r>
    <n v="438"/>
    <d v="2011-01-20T00:00:00"/>
    <x v="0"/>
    <x v="0"/>
    <x v="0"/>
    <d v="1900-01-17T05:00:00"/>
    <x v="0"/>
    <x v="4"/>
    <x v="0"/>
    <x v="10"/>
    <x v="6"/>
    <n v="0.6"/>
    <x v="5"/>
    <n v="0"/>
    <n v="35"/>
    <n v="35"/>
  </r>
  <r>
    <n v="522"/>
    <d v="2011-01-23T00:00:00"/>
    <x v="0"/>
    <x v="0"/>
    <x v="0"/>
    <d v="1900-01-20T17:00:00"/>
    <x v="0"/>
    <x v="1"/>
    <x v="0"/>
    <x v="7"/>
    <x v="20"/>
    <n v="0.36"/>
    <x v="10"/>
    <n v="4"/>
    <n v="31"/>
    <n v="35"/>
  </r>
  <r>
    <n v="547"/>
    <d v="2011-01-24T00:00:00"/>
    <x v="0"/>
    <x v="0"/>
    <x v="0"/>
    <d v="1900-01-21T18:00:00"/>
    <x v="0"/>
    <x v="2"/>
    <x v="1"/>
    <x v="3"/>
    <x v="3"/>
    <n v="0.63"/>
    <x v="5"/>
    <n v="3"/>
    <n v="32"/>
    <n v="35"/>
  </r>
  <r>
    <n v="910"/>
    <d v="2011-02-10T00:00:00"/>
    <x v="0"/>
    <x v="0"/>
    <x v="1"/>
    <d v="1900-02-05T21:00:00"/>
    <x v="0"/>
    <x v="4"/>
    <x v="0"/>
    <x v="8"/>
    <x v="20"/>
    <n v="0.42"/>
    <x v="9"/>
    <n v="1"/>
    <n v="34"/>
    <n v="35"/>
  </r>
  <r>
    <n v="11"/>
    <d v="2011-01-01T00:00:00"/>
    <x v="0"/>
    <x v="0"/>
    <x v="0"/>
    <d v="1899-12-30T10:00:00"/>
    <x v="0"/>
    <x v="0"/>
    <x v="0"/>
    <x v="20"/>
    <x v="26"/>
    <n v="0.76"/>
    <x v="10"/>
    <n v="12"/>
    <n v="24"/>
    <n v="36"/>
  </r>
  <r>
    <n v="21"/>
    <d v="2011-01-01T00:00:00"/>
    <x v="0"/>
    <x v="0"/>
    <x v="0"/>
    <d v="1899-12-30T20:00:00"/>
    <x v="0"/>
    <x v="0"/>
    <x v="1"/>
    <x v="1"/>
    <x v="2"/>
    <n v="0.87"/>
    <x v="10"/>
    <n v="11"/>
    <n v="25"/>
    <n v="36"/>
  </r>
  <r>
    <n v="75"/>
    <d v="2011-01-04T00:00:00"/>
    <x v="0"/>
    <x v="0"/>
    <x v="0"/>
    <d v="1900-01-02T02:00:00"/>
    <x v="0"/>
    <x v="3"/>
    <x v="0"/>
    <x v="8"/>
    <x v="4"/>
    <n v="0.74"/>
    <x v="8"/>
    <n v="0"/>
    <n v="36"/>
    <n v="36"/>
  </r>
  <r>
    <n v="121"/>
    <d v="2011-01-06T00:00:00"/>
    <x v="0"/>
    <x v="0"/>
    <x v="0"/>
    <d v="1900-01-04T00:00:00"/>
    <x v="0"/>
    <x v="4"/>
    <x v="1"/>
    <x v="3"/>
    <x v="14"/>
    <n v="0.63"/>
    <x v="8"/>
    <n v="0"/>
    <n v="36"/>
    <n v="36"/>
  </r>
  <r>
    <n v="160"/>
    <d v="2011-01-07T00:00:00"/>
    <x v="0"/>
    <x v="0"/>
    <x v="0"/>
    <d v="1900-01-05T15:00:00"/>
    <x v="0"/>
    <x v="5"/>
    <x v="1"/>
    <x v="5"/>
    <x v="5"/>
    <n v="0.43"/>
    <x v="6"/>
    <n v="2"/>
    <n v="34"/>
    <n v="36"/>
  </r>
  <r>
    <n v="323"/>
    <d v="2011-01-14T00:00:00"/>
    <x v="0"/>
    <x v="0"/>
    <x v="0"/>
    <d v="1900-01-12T10:00:00"/>
    <x v="0"/>
    <x v="5"/>
    <x v="1"/>
    <x v="2"/>
    <x v="9"/>
    <n v="0.69"/>
    <x v="0"/>
    <n v="2"/>
    <n v="34"/>
    <n v="36"/>
  </r>
  <r>
    <n v="554"/>
    <d v="2011-01-25T00:00:00"/>
    <x v="0"/>
    <x v="0"/>
    <x v="0"/>
    <d v="1900-01-22T01:00:00"/>
    <x v="0"/>
    <x v="3"/>
    <x v="0"/>
    <x v="2"/>
    <x v="15"/>
    <n v="0.74"/>
    <x v="8"/>
    <n v="1"/>
    <n v="35"/>
    <n v="36"/>
  </r>
  <r>
    <n v="584"/>
    <d v="2011-01-26T00:00:00"/>
    <x v="0"/>
    <x v="0"/>
    <x v="0"/>
    <d v="1900-01-23T07:00:00"/>
    <x v="0"/>
    <x v="6"/>
    <x v="2"/>
    <x v="10"/>
    <x v="5"/>
    <n v="0.93"/>
    <x v="12"/>
    <n v="0"/>
    <n v="36"/>
    <n v="36"/>
  </r>
  <r>
    <n v="586"/>
    <d v="2011-01-26T00:00:00"/>
    <x v="0"/>
    <x v="0"/>
    <x v="0"/>
    <d v="1900-01-23T09:00:00"/>
    <x v="0"/>
    <x v="6"/>
    <x v="3"/>
    <x v="10"/>
    <x v="5"/>
    <n v="0.93"/>
    <x v="13"/>
    <n v="1"/>
    <n v="35"/>
    <n v="36"/>
  </r>
  <r>
    <n v="639"/>
    <d v="2011-01-29T00:00:00"/>
    <x v="0"/>
    <x v="0"/>
    <x v="0"/>
    <d v="1900-01-25T14:00:00"/>
    <x v="0"/>
    <x v="0"/>
    <x v="0"/>
    <x v="5"/>
    <x v="6"/>
    <n v="0.74"/>
    <x v="1"/>
    <n v="1"/>
    <n v="35"/>
    <n v="36"/>
  </r>
  <r>
    <n v="710"/>
    <d v="2011-02-01T00:00:00"/>
    <x v="0"/>
    <x v="0"/>
    <x v="1"/>
    <d v="1900-01-28T13:00:00"/>
    <x v="0"/>
    <x v="3"/>
    <x v="1"/>
    <x v="10"/>
    <x v="1"/>
    <n v="0.87"/>
    <x v="1"/>
    <n v="2"/>
    <n v="34"/>
    <n v="36"/>
  </r>
  <r>
    <n v="991"/>
    <d v="2011-02-13T00:00:00"/>
    <x v="0"/>
    <x v="0"/>
    <x v="1"/>
    <d v="1900-02-09T06:00:00"/>
    <x v="0"/>
    <x v="1"/>
    <x v="0"/>
    <x v="1"/>
    <x v="2"/>
    <n v="0.35"/>
    <x v="9"/>
    <n v="5"/>
    <n v="31"/>
    <n v="36"/>
  </r>
  <r>
    <n v="20"/>
    <d v="2011-01-01T00:00:00"/>
    <x v="0"/>
    <x v="0"/>
    <x v="0"/>
    <d v="1899-12-30T19:00:00"/>
    <x v="0"/>
    <x v="0"/>
    <x v="2"/>
    <x v="14"/>
    <x v="17"/>
    <n v="0.88"/>
    <x v="10"/>
    <n v="6"/>
    <n v="31"/>
    <n v="37"/>
  </r>
  <r>
    <n v="183"/>
    <d v="2011-01-08T00:00:00"/>
    <x v="0"/>
    <x v="0"/>
    <x v="0"/>
    <d v="1900-01-06T14:00:00"/>
    <x v="0"/>
    <x v="0"/>
    <x v="0"/>
    <x v="8"/>
    <x v="20"/>
    <n v="0.39"/>
    <x v="12"/>
    <n v="2"/>
    <n v="35"/>
    <n v="37"/>
  </r>
  <r>
    <n v="289"/>
    <d v="2011-01-13T00:00:00"/>
    <x v="0"/>
    <x v="0"/>
    <x v="0"/>
    <d v="1900-01-11T00:00:00"/>
    <x v="0"/>
    <x v="4"/>
    <x v="1"/>
    <x v="4"/>
    <x v="14"/>
    <n v="0.44"/>
    <x v="16"/>
    <n v="4"/>
    <n v="33"/>
    <n v="37"/>
  </r>
  <r>
    <n v="671"/>
    <d v="2011-01-31T00:00:00"/>
    <x v="0"/>
    <x v="0"/>
    <x v="0"/>
    <d v="1900-01-26T22:00:00"/>
    <x v="0"/>
    <x v="2"/>
    <x v="0"/>
    <x v="2"/>
    <x v="3"/>
    <n v="0.69"/>
    <x v="13"/>
    <n v="0"/>
    <n v="37"/>
    <n v="37"/>
  </r>
  <r>
    <n v="852"/>
    <d v="2011-02-07T00:00:00"/>
    <x v="0"/>
    <x v="0"/>
    <x v="1"/>
    <d v="1900-02-03T11:00:00"/>
    <x v="0"/>
    <x v="2"/>
    <x v="0"/>
    <x v="13"/>
    <x v="23"/>
    <n v="0.81"/>
    <x v="1"/>
    <n v="3"/>
    <n v="34"/>
    <n v="37"/>
  </r>
  <r>
    <n v="900"/>
    <d v="2011-02-09T00:00:00"/>
    <x v="0"/>
    <x v="0"/>
    <x v="1"/>
    <d v="1900-02-05T11:00:00"/>
    <x v="0"/>
    <x v="6"/>
    <x v="2"/>
    <x v="2"/>
    <x v="4"/>
    <n v="0.8"/>
    <x v="2"/>
    <n v="0"/>
    <n v="37"/>
    <n v="37"/>
  </r>
  <r>
    <n v="206"/>
    <d v="2011-01-09T00:00:00"/>
    <x v="0"/>
    <x v="0"/>
    <x v="0"/>
    <d v="1900-01-07T13:00:00"/>
    <x v="0"/>
    <x v="1"/>
    <x v="0"/>
    <x v="3"/>
    <x v="8"/>
    <n v="0.46"/>
    <x v="10"/>
    <n v="0"/>
    <n v="38"/>
    <n v="38"/>
  </r>
  <r>
    <n v="231"/>
    <d v="2011-01-10T00:00:00"/>
    <x v="0"/>
    <x v="0"/>
    <x v="0"/>
    <d v="1900-01-08T14:00:00"/>
    <x v="0"/>
    <x v="2"/>
    <x v="0"/>
    <x v="3"/>
    <x v="3"/>
    <n v="0.59"/>
    <x v="2"/>
    <n v="1"/>
    <n v="37"/>
    <n v="38"/>
  </r>
  <r>
    <n v="288"/>
    <d v="2011-01-13T00:00:00"/>
    <x v="0"/>
    <x v="0"/>
    <x v="0"/>
    <d v="1900-01-10T23:00:00"/>
    <x v="0"/>
    <x v="4"/>
    <x v="1"/>
    <x v="2"/>
    <x v="3"/>
    <n v="0.5"/>
    <x v="12"/>
    <n v="2"/>
    <n v="36"/>
    <n v="38"/>
  </r>
  <r>
    <n v="593"/>
    <d v="2011-01-27T00:00:00"/>
    <x v="0"/>
    <x v="0"/>
    <x v="0"/>
    <d v="1900-01-23T16:00:00"/>
    <x v="0"/>
    <x v="4"/>
    <x v="0"/>
    <x v="5"/>
    <x v="6"/>
    <n v="0.74"/>
    <x v="1"/>
    <n v="2"/>
    <n v="36"/>
    <n v="38"/>
  </r>
  <r>
    <n v="609"/>
    <d v="2011-01-28T00:00:00"/>
    <x v="0"/>
    <x v="0"/>
    <x v="0"/>
    <d v="1900-01-24T08:00:00"/>
    <x v="0"/>
    <x v="5"/>
    <x v="2"/>
    <x v="10"/>
    <x v="16"/>
    <n v="0.8"/>
    <x v="0"/>
    <n v="2"/>
    <n v="36"/>
    <n v="38"/>
  </r>
  <r>
    <n v="650"/>
    <d v="2011-01-30T00:00:00"/>
    <x v="0"/>
    <x v="0"/>
    <x v="0"/>
    <d v="1900-01-26T01:00:00"/>
    <x v="0"/>
    <x v="1"/>
    <x v="1"/>
    <x v="2"/>
    <x v="9"/>
    <n v="0.8"/>
    <x v="0"/>
    <n v="4"/>
    <n v="34"/>
    <n v="38"/>
  </r>
  <r>
    <n v="758"/>
    <d v="2011-02-03T00:00:00"/>
    <x v="0"/>
    <x v="0"/>
    <x v="1"/>
    <d v="1900-01-30T13:00:00"/>
    <x v="0"/>
    <x v="4"/>
    <x v="0"/>
    <x v="4"/>
    <x v="9"/>
    <n v="0.47"/>
    <x v="8"/>
    <n v="4"/>
    <n v="34"/>
    <n v="38"/>
  </r>
  <r>
    <n v="24"/>
    <d v="2011-01-01T00:00:00"/>
    <x v="0"/>
    <x v="0"/>
    <x v="0"/>
    <d v="1899-12-30T23:00:00"/>
    <x v="0"/>
    <x v="0"/>
    <x v="1"/>
    <x v="19"/>
    <x v="18"/>
    <n v="0.88"/>
    <x v="9"/>
    <n v="15"/>
    <n v="24"/>
    <n v="39"/>
  </r>
  <r>
    <n v="159"/>
    <d v="2011-01-07T00:00:00"/>
    <x v="0"/>
    <x v="0"/>
    <x v="0"/>
    <d v="1900-01-05T14:00:00"/>
    <x v="0"/>
    <x v="5"/>
    <x v="0"/>
    <x v="5"/>
    <x v="5"/>
    <n v="0.47"/>
    <x v="4"/>
    <n v="0"/>
    <n v="39"/>
    <n v="39"/>
  </r>
  <r>
    <n v="264"/>
    <d v="2011-01-12T00:00:00"/>
    <x v="0"/>
    <x v="0"/>
    <x v="0"/>
    <d v="1900-01-09T23:00:00"/>
    <x v="0"/>
    <x v="6"/>
    <x v="0"/>
    <x v="5"/>
    <x v="15"/>
    <n v="0.55000000000000004"/>
    <x v="5"/>
    <n v="0"/>
    <n v="39"/>
    <n v="39"/>
  </r>
  <r>
    <n v="349"/>
    <d v="2011-01-16T00:00:00"/>
    <x v="0"/>
    <x v="0"/>
    <x v="0"/>
    <d v="1900-01-13T12:00:00"/>
    <x v="0"/>
    <x v="1"/>
    <x v="0"/>
    <x v="9"/>
    <x v="23"/>
    <n v="0.56000000000000005"/>
    <x v="0"/>
    <n v="6"/>
    <n v="33"/>
    <n v="39"/>
  </r>
  <r>
    <n v="500"/>
    <d v="2011-01-22T00:00:00"/>
    <x v="0"/>
    <x v="0"/>
    <x v="0"/>
    <d v="1900-01-19T19:00:00"/>
    <x v="0"/>
    <x v="0"/>
    <x v="0"/>
    <x v="15"/>
    <x v="20"/>
    <n v="0.41"/>
    <x v="1"/>
    <n v="0"/>
    <n v="39"/>
    <n v="39"/>
  </r>
  <r>
    <n v="741"/>
    <d v="2011-02-03T00:00:00"/>
    <x v="0"/>
    <x v="0"/>
    <x v="1"/>
    <d v="1900-01-29T20:00:00"/>
    <x v="0"/>
    <x v="4"/>
    <x v="0"/>
    <x v="2"/>
    <x v="3"/>
    <n v="0.43"/>
    <x v="12"/>
    <n v="0"/>
    <n v="39"/>
    <n v="39"/>
  </r>
  <r>
    <n v="782"/>
    <d v="2011-02-05T00:00:00"/>
    <x v="0"/>
    <x v="0"/>
    <x v="1"/>
    <d v="1900-01-31T13:00:00"/>
    <x v="0"/>
    <x v="0"/>
    <x v="1"/>
    <x v="0"/>
    <x v="19"/>
    <n v="0.7"/>
    <x v="6"/>
    <n v="3"/>
    <n v="36"/>
    <n v="39"/>
  </r>
  <r>
    <n v="806"/>
    <d v="2011-02-06T00:00:00"/>
    <x v="0"/>
    <x v="0"/>
    <x v="1"/>
    <d v="1900-02-01T13:00:00"/>
    <x v="0"/>
    <x v="1"/>
    <x v="0"/>
    <x v="9"/>
    <x v="1"/>
    <n v="0.7"/>
    <x v="2"/>
    <n v="2"/>
    <n v="37"/>
    <n v="39"/>
  </r>
  <r>
    <n v="860"/>
    <d v="2011-02-08T00:00:00"/>
    <x v="0"/>
    <x v="0"/>
    <x v="1"/>
    <d v="1900-02-03T19:00:00"/>
    <x v="0"/>
    <x v="3"/>
    <x v="0"/>
    <x v="9"/>
    <x v="9"/>
    <n v="0.7"/>
    <x v="13"/>
    <n v="0"/>
    <n v="39"/>
    <n v="39"/>
  </r>
  <r>
    <n v="970"/>
    <d v="2011-02-13T00:00:00"/>
    <x v="0"/>
    <x v="0"/>
    <x v="1"/>
    <d v="1900-02-08T09:00:00"/>
    <x v="0"/>
    <x v="1"/>
    <x v="0"/>
    <x v="4"/>
    <x v="9"/>
    <n v="0.64"/>
    <x v="8"/>
    <n v="5"/>
    <n v="34"/>
    <n v="39"/>
  </r>
  <r>
    <n v="2"/>
    <d v="2011-01-01T00:00:00"/>
    <x v="0"/>
    <x v="0"/>
    <x v="1"/>
    <d v="1899-12-30T01:00:00"/>
    <x v="0"/>
    <x v="0"/>
    <x v="0"/>
    <x v="10"/>
    <x v="16"/>
    <n v="0.8"/>
    <x v="0"/>
    <n v="8"/>
    <n v="32"/>
    <n v="40"/>
  </r>
  <r>
    <n v="299"/>
    <d v="2011-01-13T00:00:00"/>
    <x v="0"/>
    <x v="0"/>
    <x v="0"/>
    <d v="1900-01-11T10:00:00"/>
    <x v="0"/>
    <x v="4"/>
    <x v="0"/>
    <x v="3"/>
    <x v="8"/>
    <n v="0.46"/>
    <x v="9"/>
    <n v="0"/>
    <n v="40"/>
    <n v="40"/>
  </r>
  <r>
    <n v="488"/>
    <d v="2011-01-22T00:00:00"/>
    <x v="0"/>
    <x v="0"/>
    <x v="0"/>
    <d v="1900-01-19T07:00:00"/>
    <x v="0"/>
    <x v="0"/>
    <x v="0"/>
    <x v="11"/>
    <x v="12"/>
    <n v="0.41"/>
    <x v="10"/>
    <n v="3"/>
    <n v="37"/>
    <n v="40"/>
  </r>
  <r>
    <n v="535"/>
    <d v="2011-01-24T00:00:00"/>
    <x v="0"/>
    <x v="0"/>
    <x v="0"/>
    <d v="1900-01-21T06:00:00"/>
    <x v="0"/>
    <x v="2"/>
    <x v="0"/>
    <x v="7"/>
    <x v="3"/>
    <n v="0.42"/>
    <x v="0"/>
    <n v="6"/>
    <n v="34"/>
    <n v="40"/>
  </r>
  <r>
    <n v="571"/>
    <d v="2011-01-25T00:00:00"/>
    <x v="0"/>
    <x v="0"/>
    <x v="0"/>
    <d v="1900-01-22T18:00:00"/>
    <x v="0"/>
    <x v="3"/>
    <x v="1"/>
    <x v="10"/>
    <x v="9"/>
    <n v="0.64"/>
    <x v="6"/>
    <n v="3"/>
    <n v="37"/>
    <n v="40"/>
  </r>
  <r>
    <n v="734"/>
    <d v="2011-02-02T00:00:00"/>
    <x v="0"/>
    <x v="0"/>
    <x v="1"/>
    <d v="1900-01-29T13:00:00"/>
    <x v="0"/>
    <x v="6"/>
    <x v="0"/>
    <x v="10"/>
    <x v="6"/>
    <n v="0.44"/>
    <x v="10"/>
    <n v="5"/>
    <n v="35"/>
    <n v="40"/>
  </r>
  <r>
    <n v="966"/>
    <d v="2011-02-12T00:00:00"/>
    <x v="0"/>
    <x v="0"/>
    <x v="1"/>
    <d v="1900-02-08T05:00:00"/>
    <x v="0"/>
    <x v="0"/>
    <x v="0"/>
    <x v="9"/>
    <x v="1"/>
    <n v="0.41"/>
    <x v="5"/>
    <n v="1"/>
    <n v="39"/>
    <n v="40"/>
  </r>
  <r>
    <n v="205"/>
    <d v="2011-01-09T00:00:00"/>
    <x v="0"/>
    <x v="0"/>
    <x v="0"/>
    <d v="1900-01-07T12:00:00"/>
    <x v="0"/>
    <x v="1"/>
    <x v="0"/>
    <x v="2"/>
    <x v="3"/>
    <n v="0.43"/>
    <x v="13"/>
    <n v="1"/>
    <n v="40"/>
    <n v="41"/>
  </r>
  <r>
    <n v="345"/>
    <d v="2011-01-15T00:00:00"/>
    <x v="0"/>
    <x v="0"/>
    <x v="0"/>
    <d v="1900-01-13T08:00:00"/>
    <x v="0"/>
    <x v="0"/>
    <x v="1"/>
    <x v="18"/>
    <x v="23"/>
    <n v="0.39"/>
    <x v="10"/>
    <n v="6"/>
    <n v="35"/>
    <n v="41"/>
  </r>
  <r>
    <n v="406"/>
    <d v="2011-01-18T00:00:00"/>
    <x v="0"/>
    <x v="0"/>
    <x v="0"/>
    <d v="1900-01-15T21:00:00"/>
    <x v="0"/>
    <x v="3"/>
    <x v="1"/>
    <x v="10"/>
    <x v="19"/>
    <n v="0.93"/>
    <x v="8"/>
    <n v="0"/>
    <n v="41"/>
    <n v="41"/>
  </r>
  <r>
    <n v="477"/>
    <d v="2011-01-21T00:00:00"/>
    <x v="0"/>
    <x v="0"/>
    <x v="0"/>
    <d v="1900-01-18T20:00:00"/>
    <x v="0"/>
    <x v="5"/>
    <x v="0"/>
    <x v="6"/>
    <x v="10"/>
    <n v="0.38"/>
    <x v="7"/>
    <n v="0"/>
    <n v="41"/>
    <n v="41"/>
  </r>
  <r>
    <n v="581"/>
    <d v="2011-01-26T00:00:00"/>
    <x v="0"/>
    <x v="0"/>
    <x v="0"/>
    <d v="1900-01-23T04:00:00"/>
    <x v="0"/>
    <x v="6"/>
    <x v="2"/>
    <x v="10"/>
    <x v="5"/>
    <n v="0.93"/>
    <x v="13"/>
    <n v="6"/>
    <n v="35"/>
    <n v="41"/>
  </r>
  <r>
    <n v="610"/>
    <d v="2011-01-28T00:00:00"/>
    <x v="0"/>
    <x v="0"/>
    <x v="0"/>
    <d v="1900-01-24T09:00:00"/>
    <x v="0"/>
    <x v="5"/>
    <x v="1"/>
    <x v="4"/>
    <x v="1"/>
    <n v="0.86"/>
    <x v="0"/>
    <n v="1"/>
    <n v="40"/>
    <n v="41"/>
  </r>
  <r>
    <n v="757"/>
    <d v="2011-02-03T00:00:00"/>
    <x v="0"/>
    <x v="0"/>
    <x v="1"/>
    <d v="1900-01-30T12:00:00"/>
    <x v="0"/>
    <x v="4"/>
    <x v="0"/>
    <x v="5"/>
    <x v="6"/>
    <n v="0.51"/>
    <x v="1"/>
    <n v="2"/>
    <n v="39"/>
    <n v="41"/>
  </r>
  <r>
    <n v="888"/>
    <d v="2011-02-09T00:00:00"/>
    <x v="0"/>
    <x v="0"/>
    <x v="1"/>
    <d v="1900-02-04T23:00:00"/>
    <x v="0"/>
    <x v="6"/>
    <x v="1"/>
    <x v="3"/>
    <x v="4"/>
    <n v="0.43"/>
    <x v="6"/>
    <n v="1"/>
    <n v="40"/>
    <n v="41"/>
  </r>
  <r>
    <n v="965"/>
    <d v="2011-02-12T00:00:00"/>
    <x v="0"/>
    <x v="0"/>
    <x v="1"/>
    <d v="1900-02-08T04:00:00"/>
    <x v="0"/>
    <x v="0"/>
    <x v="0"/>
    <x v="13"/>
    <x v="16"/>
    <n v="0.38"/>
    <x v="6"/>
    <n v="2"/>
    <n v="39"/>
    <n v="41"/>
  </r>
  <r>
    <n v="79"/>
    <d v="2011-01-04T00:00:00"/>
    <x v="0"/>
    <x v="0"/>
    <x v="0"/>
    <d v="1900-01-02T06:00:00"/>
    <x v="0"/>
    <x v="3"/>
    <x v="1"/>
    <x v="2"/>
    <x v="3"/>
    <n v="0.69"/>
    <x v="13"/>
    <n v="5"/>
    <n v="37"/>
    <n v="42"/>
  </r>
  <r>
    <n v="114"/>
    <d v="2011-01-05T00:00:00"/>
    <x v="0"/>
    <x v="0"/>
    <x v="0"/>
    <d v="1900-01-03T17:00:00"/>
    <x v="0"/>
    <x v="6"/>
    <x v="0"/>
    <x v="5"/>
    <x v="5"/>
    <n v="0.55000000000000004"/>
    <x v="4"/>
    <n v="1"/>
    <n v="41"/>
    <n v="42"/>
  </r>
  <r>
    <n v="292"/>
    <d v="2011-01-13T00:00:00"/>
    <x v="0"/>
    <x v="0"/>
    <x v="0"/>
    <d v="1900-01-11T03:00:00"/>
    <x v="0"/>
    <x v="4"/>
    <x v="0"/>
    <x v="10"/>
    <x v="5"/>
    <n v="0.41"/>
    <x v="3"/>
    <n v="3"/>
    <n v="39"/>
    <n v="42"/>
  </r>
  <r>
    <n v="113"/>
    <d v="2011-01-05T00:00:00"/>
    <x v="0"/>
    <x v="0"/>
    <x v="0"/>
    <d v="1900-01-03T16:00:00"/>
    <x v="0"/>
    <x v="6"/>
    <x v="0"/>
    <x v="4"/>
    <x v="5"/>
    <n v="0.51"/>
    <x v="2"/>
    <n v="3"/>
    <n v="40"/>
    <n v="43"/>
  </r>
  <r>
    <n v="585"/>
    <d v="2011-01-26T00:00:00"/>
    <x v="0"/>
    <x v="0"/>
    <x v="0"/>
    <d v="1900-01-23T08:00:00"/>
    <x v="0"/>
    <x v="6"/>
    <x v="2"/>
    <x v="10"/>
    <x v="15"/>
    <n v="0.93"/>
    <x v="15"/>
    <n v="1"/>
    <n v="42"/>
    <n v="43"/>
  </r>
  <r>
    <n v="638"/>
    <d v="2011-01-29T00:00:00"/>
    <x v="0"/>
    <x v="0"/>
    <x v="0"/>
    <d v="1900-01-25T13:00:00"/>
    <x v="0"/>
    <x v="0"/>
    <x v="0"/>
    <x v="5"/>
    <x v="6"/>
    <n v="0.74"/>
    <x v="1"/>
    <n v="1"/>
    <n v="42"/>
    <n v="43"/>
  </r>
  <r>
    <n v="779"/>
    <d v="2011-02-04T00:00:00"/>
    <x v="0"/>
    <x v="0"/>
    <x v="1"/>
    <d v="1900-01-31T10:00:00"/>
    <x v="0"/>
    <x v="5"/>
    <x v="1"/>
    <x v="0"/>
    <x v="19"/>
    <n v="0.7"/>
    <x v="6"/>
    <n v="2"/>
    <n v="41"/>
    <n v="43"/>
  </r>
  <r>
    <n v="883"/>
    <d v="2011-02-09T00:00:00"/>
    <x v="0"/>
    <x v="0"/>
    <x v="1"/>
    <d v="1900-02-04T18:00:00"/>
    <x v="0"/>
    <x v="6"/>
    <x v="0"/>
    <x v="15"/>
    <x v="4"/>
    <n v="0.45"/>
    <x v="0"/>
    <n v="0"/>
    <n v="43"/>
    <n v="43"/>
  </r>
  <r>
    <n v="944"/>
    <d v="2011-02-11T00:00:00"/>
    <x v="0"/>
    <x v="0"/>
    <x v="1"/>
    <d v="1900-02-07T07:00:00"/>
    <x v="0"/>
    <x v="5"/>
    <x v="0"/>
    <x v="4"/>
    <x v="9"/>
    <n v="0.64"/>
    <x v="1"/>
    <n v="2"/>
    <n v="41"/>
    <n v="43"/>
  </r>
  <r>
    <n v="955"/>
    <d v="2011-02-12T00:00:00"/>
    <x v="0"/>
    <x v="0"/>
    <x v="1"/>
    <d v="1900-02-07T18:00:00"/>
    <x v="0"/>
    <x v="0"/>
    <x v="0"/>
    <x v="2"/>
    <x v="15"/>
    <n v="0.64"/>
    <x v="4"/>
    <n v="5"/>
    <n v="38"/>
    <n v="43"/>
  </r>
  <r>
    <n v="56"/>
    <d v="2011-01-03T00:00:00"/>
    <x v="0"/>
    <x v="0"/>
    <x v="0"/>
    <d v="1900-01-01T07:00:00"/>
    <x v="0"/>
    <x v="2"/>
    <x v="0"/>
    <x v="5"/>
    <x v="14"/>
    <n v="0.43"/>
    <x v="10"/>
    <n v="11"/>
    <n v="33"/>
    <n v="44"/>
  </r>
  <r>
    <n v="268"/>
    <d v="2011-01-12T00:00:00"/>
    <x v="0"/>
    <x v="0"/>
    <x v="0"/>
    <d v="1900-01-10T03:00:00"/>
    <x v="0"/>
    <x v="6"/>
    <x v="0"/>
    <x v="4"/>
    <x v="15"/>
    <n v="0.47"/>
    <x v="13"/>
    <n v="0"/>
    <n v="44"/>
    <n v="44"/>
  </r>
  <r>
    <n v="311"/>
    <d v="2011-01-14T00:00:00"/>
    <x v="0"/>
    <x v="0"/>
    <x v="0"/>
    <d v="1900-01-11T22:00:00"/>
    <x v="0"/>
    <x v="5"/>
    <x v="0"/>
    <x v="5"/>
    <x v="15"/>
    <n v="0.55000000000000004"/>
    <x v="2"/>
    <n v="4"/>
    <n v="40"/>
    <n v="44"/>
  </r>
  <r>
    <n v="348"/>
    <d v="2011-01-15T00:00:00"/>
    <x v="0"/>
    <x v="0"/>
    <x v="0"/>
    <d v="1900-01-13T11:00:00"/>
    <x v="0"/>
    <x v="0"/>
    <x v="0"/>
    <x v="22"/>
    <x v="0"/>
    <n v="0.45"/>
    <x v="7"/>
    <n v="5"/>
    <n v="39"/>
    <n v="44"/>
  </r>
  <r>
    <n v="680"/>
    <d v="2011-01-31T00:00:00"/>
    <x v="0"/>
    <x v="0"/>
    <x v="0"/>
    <d v="1900-01-27T07:00:00"/>
    <x v="0"/>
    <x v="2"/>
    <x v="1"/>
    <x v="2"/>
    <x v="15"/>
    <n v="0.59"/>
    <x v="4"/>
    <n v="3"/>
    <n v="41"/>
    <n v="44"/>
  </r>
  <r>
    <n v="807"/>
    <d v="2011-02-06T00:00:00"/>
    <x v="0"/>
    <x v="0"/>
    <x v="1"/>
    <d v="1900-02-01T14:00:00"/>
    <x v="0"/>
    <x v="1"/>
    <x v="0"/>
    <x v="9"/>
    <x v="9"/>
    <n v="0.65"/>
    <x v="11"/>
    <n v="4"/>
    <n v="40"/>
    <n v="44"/>
  </r>
  <r>
    <n v="932"/>
    <d v="2011-02-11T00:00:00"/>
    <x v="0"/>
    <x v="0"/>
    <x v="1"/>
    <d v="1900-02-06T19:00:00"/>
    <x v="0"/>
    <x v="5"/>
    <x v="0"/>
    <x v="3"/>
    <x v="3"/>
    <n v="0.69"/>
    <x v="2"/>
    <n v="5"/>
    <n v="39"/>
    <n v="44"/>
  </r>
  <r>
    <n v="125"/>
    <d v="2011-01-06T00:00:00"/>
    <x v="0"/>
    <x v="0"/>
    <x v="0"/>
    <d v="1900-01-04T04:00:00"/>
    <x v="0"/>
    <x v="4"/>
    <x v="0"/>
    <x v="4"/>
    <x v="1"/>
    <n v="0.47"/>
    <x v="0"/>
    <n v="3"/>
    <n v="42"/>
    <n v="45"/>
  </r>
  <r>
    <n v="225"/>
    <d v="2011-01-10T00:00:00"/>
    <x v="0"/>
    <x v="0"/>
    <x v="0"/>
    <d v="1900-01-08T08:00:00"/>
    <x v="0"/>
    <x v="2"/>
    <x v="1"/>
    <x v="4"/>
    <x v="5"/>
    <n v="0.4"/>
    <x v="5"/>
    <n v="2"/>
    <n v="43"/>
    <n v="45"/>
  </r>
  <r>
    <n v="499"/>
    <d v="2011-01-22T00:00:00"/>
    <x v="0"/>
    <x v="0"/>
    <x v="0"/>
    <d v="1900-01-19T18:00:00"/>
    <x v="0"/>
    <x v="0"/>
    <x v="0"/>
    <x v="15"/>
    <x v="10"/>
    <n v="0.45"/>
    <x v="6"/>
    <n v="1"/>
    <n v="44"/>
    <n v="45"/>
  </r>
  <r>
    <n v="539"/>
    <d v="2011-01-24T00:00:00"/>
    <x v="0"/>
    <x v="0"/>
    <x v="0"/>
    <d v="1900-01-21T10:00:00"/>
    <x v="0"/>
    <x v="2"/>
    <x v="1"/>
    <x v="3"/>
    <x v="3"/>
    <n v="0.46"/>
    <x v="5"/>
    <n v="2"/>
    <n v="43"/>
    <n v="45"/>
  </r>
  <r>
    <n v="569"/>
    <d v="2011-01-25T00:00:00"/>
    <x v="0"/>
    <x v="0"/>
    <x v="0"/>
    <d v="1900-01-22T16:00:00"/>
    <x v="0"/>
    <x v="3"/>
    <x v="0"/>
    <x v="0"/>
    <x v="9"/>
    <n v="0.65"/>
    <x v="2"/>
    <n v="5"/>
    <n v="40"/>
    <n v="45"/>
  </r>
  <r>
    <n v="804"/>
    <d v="2011-02-05T00:00:00"/>
    <x v="0"/>
    <x v="0"/>
    <x v="1"/>
    <d v="1900-02-01T11:00:00"/>
    <x v="0"/>
    <x v="0"/>
    <x v="0"/>
    <x v="9"/>
    <x v="16"/>
    <n v="0.93"/>
    <x v="4"/>
    <n v="2"/>
    <n v="43"/>
    <n v="45"/>
  </r>
  <r>
    <n v="815"/>
    <d v="2011-02-06T00:00:00"/>
    <x v="0"/>
    <x v="0"/>
    <x v="1"/>
    <d v="1900-02-01T22:00:00"/>
    <x v="0"/>
    <x v="1"/>
    <x v="0"/>
    <x v="13"/>
    <x v="0"/>
    <n v="0.56000000000000005"/>
    <x v="8"/>
    <n v="7"/>
    <n v="38"/>
    <n v="45"/>
  </r>
  <r>
    <n v="911"/>
    <d v="2011-02-10T00:00:00"/>
    <x v="0"/>
    <x v="0"/>
    <x v="1"/>
    <d v="1900-02-05T22:00:00"/>
    <x v="0"/>
    <x v="4"/>
    <x v="0"/>
    <x v="3"/>
    <x v="8"/>
    <n v="0.39"/>
    <x v="12"/>
    <n v="1"/>
    <n v="44"/>
    <n v="45"/>
  </r>
  <r>
    <n v="968"/>
    <d v="2011-02-12T00:00:00"/>
    <x v="0"/>
    <x v="0"/>
    <x v="1"/>
    <d v="1900-02-08T07:00:00"/>
    <x v="0"/>
    <x v="0"/>
    <x v="0"/>
    <x v="0"/>
    <x v="1"/>
    <n v="0.44"/>
    <x v="1"/>
    <n v="6"/>
    <n v="39"/>
    <n v="45"/>
  </r>
  <r>
    <n v="103"/>
    <d v="2011-01-05T00:00:00"/>
    <x v="0"/>
    <x v="0"/>
    <x v="0"/>
    <d v="1900-01-03T06:00:00"/>
    <x v="0"/>
    <x v="6"/>
    <x v="0"/>
    <x v="9"/>
    <x v="9"/>
    <n v="0.33"/>
    <x v="13"/>
    <n v="12"/>
    <n v="34"/>
    <n v="46"/>
  </r>
  <r>
    <n v="536"/>
    <d v="2011-01-24T00:00:00"/>
    <x v="0"/>
    <x v="0"/>
    <x v="0"/>
    <d v="1900-01-21T07:00:00"/>
    <x v="0"/>
    <x v="2"/>
    <x v="0"/>
    <x v="7"/>
    <x v="8"/>
    <n v="0.46"/>
    <x v="4"/>
    <n v="3"/>
    <n v="43"/>
    <n v="46"/>
  </r>
  <r>
    <n v="780"/>
    <d v="2011-02-04T00:00:00"/>
    <x v="0"/>
    <x v="0"/>
    <x v="1"/>
    <d v="1900-01-31T11:00:00"/>
    <x v="0"/>
    <x v="5"/>
    <x v="1"/>
    <x v="0"/>
    <x v="19"/>
    <n v="0.65"/>
    <x v="6"/>
    <n v="1"/>
    <n v="45"/>
    <n v="46"/>
  </r>
  <r>
    <n v="899"/>
    <d v="2011-02-09T00:00:00"/>
    <x v="0"/>
    <x v="0"/>
    <x v="1"/>
    <d v="1900-02-05T10:00:00"/>
    <x v="0"/>
    <x v="6"/>
    <x v="2"/>
    <x v="2"/>
    <x v="14"/>
    <n v="0.8"/>
    <x v="6"/>
    <n v="4"/>
    <n v="42"/>
    <n v="46"/>
  </r>
  <r>
    <n v="224"/>
    <d v="2011-01-10T00:00:00"/>
    <x v="0"/>
    <x v="0"/>
    <x v="0"/>
    <d v="1900-01-08T07:00:00"/>
    <x v="0"/>
    <x v="2"/>
    <x v="1"/>
    <x v="4"/>
    <x v="5"/>
    <n v="0.4"/>
    <x v="5"/>
    <n v="0"/>
    <n v="47"/>
    <n v="47"/>
  </r>
  <r>
    <n v="247"/>
    <d v="2011-01-11T00:00:00"/>
    <x v="0"/>
    <x v="0"/>
    <x v="0"/>
    <d v="1900-01-09T06:00:00"/>
    <x v="0"/>
    <x v="3"/>
    <x v="1"/>
    <x v="2"/>
    <x v="5"/>
    <n v="0.8"/>
    <x v="1"/>
    <n v="2"/>
    <n v="45"/>
    <n v="47"/>
  </r>
  <r>
    <n v="382"/>
    <d v="2011-01-17T00:00:00"/>
    <x v="0"/>
    <x v="0"/>
    <x v="0"/>
    <d v="1900-01-14T21:00:00"/>
    <x v="1"/>
    <x v="2"/>
    <x v="1"/>
    <x v="2"/>
    <x v="4"/>
    <n v="0.47"/>
    <x v="5"/>
    <n v="8"/>
    <n v="39"/>
    <n v="47"/>
  </r>
  <r>
    <n v="418"/>
    <d v="2011-01-19T00:00:00"/>
    <x v="0"/>
    <x v="0"/>
    <x v="0"/>
    <d v="1900-01-16T09:00:00"/>
    <x v="0"/>
    <x v="6"/>
    <x v="1"/>
    <x v="9"/>
    <x v="16"/>
    <n v="0.93"/>
    <x v="4"/>
    <n v="1"/>
    <n v="46"/>
    <n v="47"/>
  </r>
  <r>
    <n v="583"/>
    <d v="2011-01-26T00:00:00"/>
    <x v="0"/>
    <x v="0"/>
    <x v="0"/>
    <d v="1900-01-23T06:00:00"/>
    <x v="0"/>
    <x v="6"/>
    <x v="2"/>
    <x v="10"/>
    <x v="5"/>
    <n v="0.93"/>
    <x v="13"/>
    <n v="4"/>
    <n v="43"/>
    <n v="47"/>
  </r>
  <r>
    <n v="698"/>
    <d v="2011-02-01T00:00:00"/>
    <x v="0"/>
    <x v="0"/>
    <x v="1"/>
    <d v="1900-01-28T01:00:00"/>
    <x v="0"/>
    <x v="3"/>
    <x v="1"/>
    <x v="2"/>
    <x v="9"/>
    <n v="0.93"/>
    <x v="0"/>
    <n v="0"/>
    <n v="47"/>
    <n v="47"/>
  </r>
  <r>
    <n v="749"/>
    <d v="2011-02-03T00:00:00"/>
    <x v="0"/>
    <x v="0"/>
    <x v="1"/>
    <d v="1900-01-30T04:00:00"/>
    <x v="0"/>
    <x v="4"/>
    <x v="0"/>
    <x v="10"/>
    <x v="5"/>
    <n v="0.37"/>
    <x v="3"/>
    <n v="4"/>
    <n v="43"/>
    <n v="47"/>
  </r>
  <r>
    <n v="793"/>
    <d v="2011-02-05T00:00:00"/>
    <x v="0"/>
    <x v="0"/>
    <x v="1"/>
    <d v="1900-02-01T00:00:00"/>
    <x v="0"/>
    <x v="0"/>
    <x v="2"/>
    <x v="10"/>
    <x v="9"/>
    <n v="1"/>
    <x v="4"/>
    <n v="1"/>
    <n v="46"/>
    <n v="47"/>
  </r>
  <r>
    <n v="841"/>
    <d v="2011-02-07T00:00:00"/>
    <x v="0"/>
    <x v="0"/>
    <x v="1"/>
    <d v="1900-02-03T00:00:00"/>
    <x v="0"/>
    <x v="2"/>
    <x v="0"/>
    <x v="22"/>
    <x v="22"/>
    <n v="0.65"/>
    <x v="1"/>
    <n v="11"/>
    <n v="36"/>
    <n v="47"/>
  </r>
  <r>
    <n v="943"/>
    <d v="2011-02-11T00:00:00"/>
    <x v="0"/>
    <x v="0"/>
    <x v="1"/>
    <d v="1900-02-07T06:00:00"/>
    <x v="0"/>
    <x v="5"/>
    <x v="0"/>
    <x v="4"/>
    <x v="6"/>
    <n v="0.59"/>
    <x v="4"/>
    <n v="1"/>
    <n v="46"/>
    <n v="47"/>
  </r>
  <r>
    <n v="978"/>
    <d v="2011-02-13T00:00:00"/>
    <x v="0"/>
    <x v="0"/>
    <x v="1"/>
    <d v="1900-02-08T17:00:00"/>
    <x v="0"/>
    <x v="1"/>
    <x v="1"/>
    <x v="0"/>
    <x v="9"/>
    <n v="0.6"/>
    <x v="5"/>
    <n v="12"/>
    <n v="35"/>
    <n v="47"/>
  </r>
  <r>
    <n v="989"/>
    <d v="2011-02-13T00:00:00"/>
    <x v="0"/>
    <x v="0"/>
    <x v="1"/>
    <d v="1900-02-09T04:00:00"/>
    <x v="0"/>
    <x v="1"/>
    <x v="0"/>
    <x v="1"/>
    <x v="2"/>
    <n v="0.35"/>
    <x v="13"/>
    <n v="15"/>
    <n v="32"/>
    <n v="47"/>
  </r>
  <r>
    <n v="90"/>
    <d v="2011-01-04T00:00:00"/>
    <x v="0"/>
    <x v="0"/>
    <x v="0"/>
    <d v="1900-01-02T17:00:00"/>
    <x v="0"/>
    <x v="3"/>
    <x v="0"/>
    <x v="10"/>
    <x v="16"/>
    <n v="0.64"/>
    <x v="0"/>
    <n v="0"/>
    <n v="48"/>
    <n v="48"/>
  </r>
  <r>
    <n v="136"/>
    <d v="2011-01-06T00:00:00"/>
    <x v="0"/>
    <x v="0"/>
    <x v="0"/>
    <d v="1900-01-04T15:00:00"/>
    <x v="0"/>
    <x v="4"/>
    <x v="1"/>
    <x v="10"/>
    <x v="6"/>
    <n v="0.55000000000000004"/>
    <x v="5"/>
    <n v="0"/>
    <n v="48"/>
    <n v="48"/>
  </r>
  <r>
    <n v="204"/>
    <d v="2011-01-09T00:00:00"/>
    <x v="0"/>
    <x v="0"/>
    <x v="0"/>
    <d v="1900-01-07T11:00:00"/>
    <x v="0"/>
    <x v="1"/>
    <x v="0"/>
    <x v="2"/>
    <x v="3"/>
    <n v="0.4"/>
    <x v="13"/>
    <n v="4"/>
    <n v="44"/>
    <n v="48"/>
  </r>
  <r>
    <n v="582"/>
    <d v="2011-01-26T00:00:00"/>
    <x v="0"/>
    <x v="0"/>
    <x v="0"/>
    <d v="1900-01-23T05:00:00"/>
    <x v="0"/>
    <x v="6"/>
    <x v="2"/>
    <x v="10"/>
    <x v="5"/>
    <n v="0.93"/>
    <x v="13"/>
    <n v="7"/>
    <n v="41"/>
    <n v="48"/>
  </r>
  <r>
    <n v="676"/>
    <d v="2011-01-31T00:00:00"/>
    <x v="0"/>
    <x v="0"/>
    <x v="0"/>
    <d v="1900-01-27T03:00:00"/>
    <x v="0"/>
    <x v="2"/>
    <x v="1"/>
    <x v="2"/>
    <x v="4"/>
    <n v="0.59"/>
    <x v="2"/>
    <n v="2"/>
    <n v="46"/>
    <n v="48"/>
  </r>
  <r>
    <n v="864"/>
    <d v="2011-02-08T00:00:00"/>
    <x v="0"/>
    <x v="0"/>
    <x v="1"/>
    <d v="1900-02-03T23:00:00"/>
    <x v="0"/>
    <x v="3"/>
    <x v="0"/>
    <x v="10"/>
    <x v="15"/>
    <n v="0.47"/>
    <x v="17"/>
    <n v="4"/>
    <n v="44"/>
    <n v="48"/>
  </r>
  <r>
    <n v="914"/>
    <d v="2011-02-10T00:00:00"/>
    <x v="0"/>
    <x v="0"/>
    <x v="1"/>
    <d v="1900-02-06T01:00:00"/>
    <x v="0"/>
    <x v="4"/>
    <x v="0"/>
    <x v="4"/>
    <x v="15"/>
    <n v="0.27"/>
    <x v="7"/>
    <n v="6"/>
    <n v="42"/>
    <n v="48"/>
  </r>
  <r>
    <n v="196"/>
    <d v="2011-01-09T00:00:00"/>
    <x v="0"/>
    <x v="0"/>
    <x v="0"/>
    <d v="1900-01-07T03:00:00"/>
    <x v="0"/>
    <x v="1"/>
    <x v="0"/>
    <x v="3"/>
    <x v="20"/>
    <n v="0.43"/>
    <x v="3"/>
    <n v="0"/>
    <n v="49"/>
    <n v="49"/>
  </r>
  <r>
    <n v="197"/>
    <d v="2011-01-09T00:00:00"/>
    <x v="0"/>
    <x v="0"/>
    <x v="0"/>
    <d v="1900-01-07T04:00:00"/>
    <x v="0"/>
    <x v="1"/>
    <x v="0"/>
    <x v="2"/>
    <x v="8"/>
    <n v="0.4"/>
    <x v="14"/>
    <n v="2"/>
    <n v="47"/>
    <n v="49"/>
  </r>
  <r>
    <n v="267"/>
    <d v="2011-01-12T00:00:00"/>
    <x v="0"/>
    <x v="0"/>
    <x v="0"/>
    <d v="1900-01-10T02:00:00"/>
    <x v="0"/>
    <x v="6"/>
    <x v="0"/>
    <x v="10"/>
    <x v="5"/>
    <n v="0.44"/>
    <x v="12"/>
    <n v="0"/>
    <n v="49"/>
    <n v="49"/>
  </r>
  <r>
    <n v="269"/>
    <d v="2011-01-12T00:00:00"/>
    <x v="0"/>
    <x v="0"/>
    <x v="0"/>
    <d v="1900-01-10T04:00:00"/>
    <x v="0"/>
    <x v="6"/>
    <x v="0"/>
    <x v="4"/>
    <x v="14"/>
    <n v="0.47"/>
    <x v="11"/>
    <n v="1"/>
    <n v="48"/>
    <n v="49"/>
  </r>
  <r>
    <n v="520"/>
    <d v="2011-01-23T00:00:00"/>
    <x v="0"/>
    <x v="0"/>
    <x v="0"/>
    <d v="1900-01-20T15:00:00"/>
    <x v="0"/>
    <x v="1"/>
    <x v="0"/>
    <x v="8"/>
    <x v="8"/>
    <n v="0.3"/>
    <x v="10"/>
    <n v="5"/>
    <n v="44"/>
    <n v="49"/>
  </r>
  <r>
    <n v="605"/>
    <d v="2011-01-28T00:00:00"/>
    <x v="0"/>
    <x v="0"/>
    <x v="0"/>
    <d v="1900-01-24T04:00:00"/>
    <x v="0"/>
    <x v="5"/>
    <x v="2"/>
    <x v="5"/>
    <x v="6"/>
    <n v="0.86"/>
    <x v="8"/>
    <n v="0"/>
    <n v="49"/>
    <n v="49"/>
  </r>
  <r>
    <n v="719"/>
    <d v="2011-02-02T00:00:00"/>
    <x v="0"/>
    <x v="0"/>
    <x v="1"/>
    <d v="1900-01-28T22:00:00"/>
    <x v="0"/>
    <x v="6"/>
    <x v="2"/>
    <x v="10"/>
    <x v="6"/>
    <n v="0.93"/>
    <x v="5"/>
    <n v="1"/>
    <n v="48"/>
    <n v="49"/>
  </r>
  <r>
    <n v="152"/>
    <d v="2011-01-07T00:00:00"/>
    <x v="0"/>
    <x v="0"/>
    <x v="0"/>
    <d v="1900-01-05T07:00:00"/>
    <x v="0"/>
    <x v="5"/>
    <x v="1"/>
    <x v="4"/>
    <x v="5"/>
    <n v="0.4"/>
    <x v="10"/>
    <n v="7"/>
    <n v="43"/>
    <n v="50"/>
  </r>
  <r>
    <n v="521"/>
    <d v="2011-01-23T00:00:00"/>
    <x v="0"/>
    <x v="0"/>
    <x v="0"/>
    <d v="1900-01-20T16:00:00"/>
    <x v="0"/>
    <x v="1"/>
    <x v="0"/>
    <x v="8"/>
    <x v="8"/>
    <n v="0.3"/>
    <x v="7"/>
    <n v="5"/>
    <n v="45"/>
    <n v="50"/>
  </r>
  <r>
    <n v="845"/>
    <d v="2011-02-07T00:00:00"/>
    <x v="0"/>
    <x v="0"/>
    <x v="1"/>
    <d v="1900-02-03T04:00:00"/>
    <x v="0"/>
    <x v="2"/>
    <x v="1"/>
    <x v="20"/>
    <x v="26"/>
    <n v="0.54"/>
    <x v="1"/>
    <n v="4"/>
    <n v="46"/>
    <n v="50"/>
  </r>
  <r>
    <n v="865"/>
    <d v="2011-02-08T00:00:00"/>
    <x v="0"/>
    <x v="0"/>
    <x v="1"/>
    <d v="1900-02-04T00:00:00"/>
    <x v="0"/>
    <x v="3"/>
    <x v="0"/>
    <x v="10"/>
    <x v="15"/>
    <n v="0.47"/>
    <x v="15"/>
    <n v="1"/>
    <n v="49"/>
    <n v="50"/>
  </r>
  <r>
    <n v="867"/>
    <d v="2011-02-08T00:00:00"/>
    <x v="0"/>
    <x v="0"/>
    <x v="1"/>
    <d v="1900-02-04T02:00:00"/>
    <x v="0"/>
    <x v="3"/>
    <x v="1"/>
    <x v="0"/>
    <x v="5"/>
    <n v="0.32"/>
    <x v="16"/>
    <n v="2"/>
    <n v="48"/>
    <n v="50"/>
  </r>
  <r>
    <n v="915"/>
    <d v="2011-02-10T00:00:00"/>
    <x v="0"/>
    <x v="0"/>
    <x v="1"/>
    <d v="1900-02-06T02:00:00"/>
    <x v="0"/>
    <x v="4"/>
    <x v="0"/>
    <x v="4"/>
    <x v="5"/>
    <n v="0.25"/>
    <x v="10"/>
    <n v="0"/>
    <n v="50"/>
    <n v="50"/>
  </r>
  <r>
    <n v="57"/>
    <d v="2011-01-03T00:00:00"/>
    <x v="0"/>
    <x v="0"/>
    <x v="0"/>
    <d v="1900-01-01T08:00:00"/>
    <x v="0"/>
    <x v="2"/>
    <x v="0"/>
    <x v="4"/>
    <x v="15"/>
    <n v="0.4"/>
    <x v="13"/>
    <n v="10"/>
    <n v="41"/>
    <n v="51"/>
  </r>
  <r>
    <n v="158"/>
    <d v="2011-01-07T00:00:00"/>
    <x v="0"/>
    <x v="0"/>
    <x v="0"/>
    <d v="1900-01-05T13:00:00"/>
    <x v="0"/>
    <x v="5"/>
    <x v="0"/>
    <x v="5"/>
    <x v="6"/>
    <n v="0.47"/>
    <x v="8"/>
    <n v="1"/>
    <n v="50"/>
    <n v="51"/>
  </r>
  <r>
    <n v="251"/>
    <d v="2011-01-11T00:00:00"/>
    <x v="0"/>
    <x v="0"/>
    <x v="0"/>
    <d v="1900-01-09T10:00:00"/>
    <x v="0"/>
    <x v="3"/>
    <x v="2"/>
    <x v="2"/>
    <x v="9"/>
    <n v="0.93"/>
    <x v="0"/>
    <n v="0"/>
    <n v="51"/>
    <n v="51"/>
  </r>
  <r>
    <n v="699"/>
    <d v="2011-02-01T00:00:00"/>
    <x v="0"/>
    <x v="0"/>
    <x v="1"/>
    <d v="1900-01-28T02:00:00"/>
    <x v="0"/>
    <x v="3"/>
    <x v="1"/>
    <x v="5"/>
    <x v="19"/>
    <n v="0.86"/>
    <x v="0"/>
    <n v="2"/>
    <n v="49"/>
    <n v="51"/>
  </r>
  <r>
    <n v="748"/>
    <d v="2011-02-03T00:00:00"/>
    <x v="0"/>
    <x v="0"/>
    <x v="1"/>
    <d v="1900-01-30T03:00:00"/>
    <x v="0"/>
    <x v="4"/>
    <x v="0"/>
    <x v="4"/>
    <x v="14"/>
    <n v="0.4"/>
    <x v="11"/>
    <n v="4"/>
    <n v="47"/>
    <n v="51"/>
  </r>
  <r>
    <n v="768"/>
    <d v="2011-02-04T00:00:00"/>
    <x v="0"/>
    <x v="0"/>
    <x v="1"/>
    <d v="1900-01-30T23:00:00"/>
    <x v="0"/>
    <x v="5"/>
    <x v="1"/>
    <x v="4"/>
    <x v="6"/>
    <n v="0.51"/>
    <x v="4"/>
    <n v="5"/>
    <n v="46"/>
    <n v="51"/>
  </r>
  <r>
    <n v="869"/>
    <d v="2011-02-08T00:00:00"/>
    <x v="0"/>
    <x v="0"/>
    <x v="1"/>
    <d v="1900-02-04T04:00:00"/>
    <x v="0"/>
    <x v="3"/>
    <x v="0"/>
    <x v="10"/>
    <x v="5"/>
    <n v="0.35"/>
    <x v="3"/>
    <n v="6"/>
    <n v="45"/>
    <n v="51"/>
  </r>
  <r>
    <n v="922"/>
    <d v="2011-02-10T00:00:00"/>
    <x v="0"/>
    <x v="0"/>
    <x v="1"/>
    <d v="1900-02-06T09:00:00"/>
    <x v="0"/>
    <x v="4"/>
    <x v="0"/>
    <x v="8"/>
    <x v="5"/>
    <n v="0.39"/>
    <x v="0"/>
    <n v="4"/>
    <n v="47"/>
    <n v="51"/>
  </r>
  <r>
    <n v="967"/>
    <d v="2011-02-12T00:00:00"/>
    <x v="0"/>
    <x v="0"/>
    <x v="1"/>
    <d v="1900-02-08T06:00:00"/>
    <x v="0"/>
    <x v="0"/>
    <x v="0"/>
    <x v="9"/>
    <x v="23"/>
    <n v="0.41"/>
    <x v="0"/>
    <n v="9"/>
    <n v="42"/>
    <n v="51"/>
  </r>
  <r>
    <n v="990"/>
    <d v="2011-02-13T00:00:00"/>
    <x v="0"/>
    <x v="0"/>
    <x v="1"/>
    <d v="1900-02-09T05:00:00"/>
    <x v="0"/>
    <x v="1"/>
    <x v="0"/>
    <x v="1"/>
    <x v="2"/>
    <n v="0.35"/>
    <x v="12"/>
    <n v="6"/>
    <n v="45"/>
    <n v="51"/>
  </r>
  <r>
    <n v="66"/>
    <d v="2011-01-03T00:00:00"/>
    <x v="0"/>
    <x v="0"/>
    <x v="0"/>
    <d v="1900-01-01T17:00:00"/>
    <x v="0"/>
    <x v="2"/>
    <x v="0"/>
    <x v="4"/>
    <x v="18"/>
    <n v="0.47"/>
    <x v="8"/>
    <n v="3"/>
    <n v="49"/>
    <n v="52"/>
  </r>
  <r>
    <n v="67"/>
    <d v="2011-01-03T00:00:00"/>
    <x v="0"/>
    <x v="0"/>
    <x v="0"/>
    <d v="1900-01-01T18:00:00"/>
    <x v="0"/>
    <x v="2"/>
    <x v="0"/>
    <x v="5"/>
    <x v="5"/>
    <n v="0.64"/>
    <x v="4"/>
    <n v="3"/>
    <n v="49"/>
    <n v="52"/>
  </r>
  <r>
    <n v="137"/>
    <d v="2011-01-06T00:00:00"/>
    <x v="0"/>
    <x v="0"/>
    <x v="0"/>
    <d v="1900-01-04T16:00:00"/>
    <x v="0"/>
    <x v="4"/>
    <x v="1"/>
    <x v="10"/>
    <x v="6"/>
    <n v="0.51"/>
    <x v="7"/>
    <n v="1"/>
    <n v="51"/>
    <n v="52"/>
  </r>
  <r>
    <n v="222"/>
    <d v="2011-01-10T00:00:00"/>
    <x v="0"/>
    <x v="0"/>
    <x v="0"/>
    <d v="1900-01-08T05:00:00"/>
    <x v="0"/>
    <x v="2"/>
    <x v="1"/>
    <x v="4"/>
    <x v="15"/>
    <n v="0.4"/>
    <x v="7"/>
    <n v="5"/>
    <n v="47"/>
    <n v="52"/>
  </r>
  <r>
    <n v="245"/>
    <d v="2011-01-11T00:00:00"/>
    <x v="0"/>
    <x v="0"/>
    <x v="0"/>
    <d v="1900-01-09T04:00:00"/>
    <x v="0"/>
    <x v="3"/>
    <x v="1"/>
    <x v="4"/>
    <x v="9"/>
    <n v="0.59"/>
    <x v="1"/>
    <n v="6"/>
    <n v="46"/>
    <n v="52"/>
  </r>
  <r>
    <n v="290"/>
    <d v="2011-01-13T00:00:00"/>
    <x v="0"/>
    <x v="0"/>
    <x v="0"/>
    <d v="1900-01-11T01:00:00"/>
    <x v="0"/>
    <x v="4"/>
    <x v="0"/>
    <x v="4"/>
    <x v="14"/>
    <n v="0.44"/>
    <x v="11"/>
    <n v="3"/>
    <n v="49"/>
    <n v="52"/>
  </r>
  <r>
    <n v="322"/>
    <d v="2011-01-14T00:00:00"/>
    <x v="0"/>
    <x v="0"/>
    <x v="0"/>
    <d v="1900-01-12T09:00:00"/>
    <x v="0"/>
    <x v="5"/>
    <x v="0"/>
    <x v="2"/>
    <x v="9"/>
    <n v="0.69"/>
    <x v="0"/>
    <n v="4"/>
    <n v="48"/>
    <n v="52"/>
  </r>
  <r>
    <n v="419"/>
    <d v="2011-01-19T00:00:00"/>
    <x v="0"/>
    <x v="0"/>
    <x v="0"/>
    <d v="1900-01-16T10:00:00"/>
    <x v="0"/>
    <x v="6"/>
    <x v="1"/>
    <x v="13"/>
    <x v="23"/>
    <n v="0.87"/>
    <x v="1"/>
    <n v="5"/>
    <n v="47"/>
    <n v="52"/>
  </r>
  <r>
    <n v="695"/>
    <d v="2011-02-01T00:00:00"/>
    <x v="0"/>
    <x v="0"/>
    <x v="1"/>
    <d v="1900-01-27T22:00:00"/>
    <x v="0"/>
    <x v="3"/>
    <x v="2"/>
    <x v="2"/>
    <x v="9"/>
    <n v="0.93"/>
    <x v="0"/>
    <n v="0"/>
    <n v="52"/>
    <n v="52"/>
  </r>
  <r>
    <n v="701"/>
    <d v="2011-02-01T00:00:00"/>
    <x v="0"/>
    <x v="0"/>
    <x v="1"/>
    <d v="1900-01-28T04:00:00"/>
    <x v="0"/>
    <x v="3"/>
    <x v="1"/>
    <x v="4"/>
    <x v="1"/>
    <n v="0.86"/>
    <x v="0"/>
    <n v="3"/>
    <n v="49"/>
    <n v="52"/>
  </r>
  <r>
    <n v="703"/>
    <d v="2011-02-01T00:00:00"/>
    <x v="0"/>
    <x v="0"/>
    <x v="1"/>
    <d v="1900-01-28T06:00:00"/>
    <x v="0"/>
    <x v="3"/>
    <x v="1"/>
    <x v="0"/>
    <x v="0"/>
    <n v="0.75"/>
    <x v="0"/>
    <n v="7"/>
    <n v="45"/>
    <n v="52"/>
  </r>
  <r>
    <n v="723"/>
    <d v="2011-02-02T00:00:00"/>
    <x v="0"/>
    <x v="0"/>
    <x v="1"/>
    <d v="1900-01-29T02:00:00"/>
    <x v="0"/>
    <x v="6"/>
    <x v="1"/>
    <x v="0"/>
    <x v="9"/>
    <n v="0.93"/>
    <x v="2"/>
    <n v="5"/>
    <n v="47"/>
    <n v="52"/>
  </r>
  <r>
    <n v="745"/>
    <d v="2011-02-03T00:00:00"/>
    <x v="0"/>
    <x v="0"/>
    <x v="1"/>
    <d v="1900-01-30T00:00:00"/>
    <x v="0"/>
    <x v="4"/>
    <x v="0"/>
    <x v="5"/>
    <x v="4"/>
    <n v="0.43"/>
    <x v="13"/>
    <n v="2"/>
    <n v="50"/>
    <n v="52"/>
  </r>
  <r>
    <n v="794"/>
    <d v="2011-02-05T00:00:00"/>
    <x v="0"/>
    <x v="0"/>
    <x v="1"/>
    <d v="1900-02-01T01:00:00"/>
    <x v="0"/>
    <x v="0"/>
    <x v="2"/>
    <x v="10"/>
    <x v="9"/>
    <n v="1"/>
    <x v="6"/>
    <n v="10"/>
    <n v="42"/>
    <n v="52"/>
  </r>
  <r>
    <n v="34"/>
    <d v="2011-01-02T00:00:00"/>
    <x v="0"/>
    <x v="0"/>
    <x v="0"/>
    <d v="1899-12-31T09:00:00"/>
    <x v="0"/>
    <x v="1"/>
    <x v="1"/>
    <x v="16"/>
    <x v="27"/>
    <n v="0.81"/>
    <x v="5"/>
    <n v="7"/>
    <n v="46"/>
    <n v="53"/>
  </r>
  <r>
    <n v="42"/>
    <d v="2011-01-02T00:00:00"/>
    <x v="0"/>
    <x v="0"/>
    <x v="0"/>
    <d v="1899-12-31T17:00:00"/>
    <x v="0"/>
    <x v="1"/>
    <x v="1"/>
    <x v="16"/>
    <x v="21"/>
    <n v="0.46"/>
    <x v="13"/>
    <n v="10"/>
    <n v="43"/>
    <n v="53"/>
  </r>
  <r>
    <n v="312"/>
    <d v="2011-01-14T00:00:00"/>
    <x v="0"/>
    <x v="0"/>
    <x v="0"/>
    <d v="1900-01-11T23:00:00"/>
    <x v="0"/>
    <x v="5"/>
    <x v="0"/>
    <x v="5"/>
    <x v="14"/>
    <n v="0.51"/>
    <x v="7"/>
    <n v="6"/>
    <n v="47"/>
    <n v="53"/>
  </r>
  <r>
    <n v="476"/>
    <d v="2011-01-21T00:00:00"/>
    <x v="0"/>
    <x v="0"/>
    <x v="0"/>
    <d v="1900-01-18T19:00:00"/>
    <x v="0"/>
    <x v="5"/>
    <x v="0"/>
    <x v="7"/>
    <x v="10"/>
    <n v="0.33"/>
    <x v="11"/>
    <n v="1"/>
    <n v="52"/>
    <n v="53"/>
  </r>
  <r>
    <n v="489"/>
    <d v="2011-01-22T00:00:00"/>
    <x v="0"/>
    <x v="0"/>
    <x v="0"/>
    <d v="1900-01-19T08:00:00"/>
    <x v="0"/>
    <x v="0"/>
    <x v="1"/>
    <x v="11"/>
    <x v="13"/>
    <n v="0.41"/>
    <x v="6"/>
    <n v="3"/>
    <n v="50"/>
    <n v="53"/>
  </r>
  <r>
    <n v="570"/>
    <d v="2011-01-25T00:00:00"/>
    <x v="0"/>
    <x v="0"/>
    <x v="0"/>
    <d v="1900-01-22T17:00:00"/>
    <x v="0"/>
    <x v="3"/>
    <x v="0"/>
    <x v="10"/>
    <x v="9"/>
    <n v="0.64"/>
    <x v="6"/>
    <n v="4"/>
    <n v="49"/>
    <n v="53"/>
  </r>
  <r>
    <n v="945"/>
    <d v="2011-02-11T00:00:00"/>
    <x v="0"/>
    <x v="0"/>
    <x v="1"/>
    <d v="1900-02-07T08:00:00"/>
    <x v="0"/>
    <x v="5"/>
    <x v="0"/>
    <x v="5"/>
    <x v="19"/>
    <n v="0.69"/>
    <x v="0"/>
    <n v="5"/>
    <n v="48"/>
    <n v="53"/>
  </r>
  <r>
    <n v="89"/>
    <d v="2011-01-04T00:00:00"/>
    <x v="0"/>
    <x v="0"/>
    <x v="0"/>
    <d v="1900-01-02T16:00:00"/>
    <x v="0"/>
    <x v="3"/>
    <x v="0"/>
    <x v="0"/>
    <x v="1"/>
    <n v="0.48"/>
    <x v="8"/>
    <n v="1"/>
    <n v="53"/>
    <n v="54"/>
  </r>
  <r>
    <n v="223"/>
    <d v="2011-01-10T00:00:00"/>
    <x v="0"/>
    <x v="0"/>
    <x v="0"/>
    <d v="1900-01-08T06:00:00"/>
    <x v="0"/>
    <x v="2"/>
    <x v="1"/>
    <x v="4"/>
    <x v="15"/>
    <n v="0.4"/>
    <x v="7"/>
    <n v="4"/>
    <n v="50"/>
    <n v="54"/>
  </r>
  <r>
    <n v="242"/>
    <d v="2011-01-11T00:00:00"/>
    <x v="0"/>
    <x v="0"/>
    <x v="0"/>
    <d v="1900-01-09T01:00:00"/>
    <x v="0"/>
    <x v="3"/>
    <x v="1"/>
    <x v="4"/>
    <x v="6"/>
    <n v="0.51"/>
    <x v="6"/>
    <n v="3"/>
    <n v="51"/>
    <n v="54"/>
  </r>
  <r>
    <n v="261"/>
    <d v="2011-01-12T00:00:00"/>
    <x v="0"/>
    <x v="0"/>
    <x v="0"/>
    <d v="1900-01-09T20:00:00"/>
    <x v="0"/>
    <x v="6"/>
    <x v="0"/>
    <x v="3"/>
    <x v="4"/>
    <n v="0.69"/>
    <x v="4"/>
    <n v="0"/>
    <n v="54"/>
    <n v="54"/>
  </r>
  <r>
    <n v="497"/>
    <d v="2011-01-22T00:00:00"/>
    <x v="0"/>
    <x v="0"/>
    <x v="0"/>
    <d v="1900-01-19T16:00:00"/>
    <x v="0"/>
    <x v="0"/>
    <x v="0"/>
    <x v="6"/>
    <x v="7"/>
    <n v="0.35"/>
    <x v="2"/>
    <n v="0"/>
    <n v="54"/>
    <n v="54"/>
  </r>
  <r>
    <n v="678"/>
    <d v="2011-01-31T00:00:00"/>
    <x v="0"/>
    <x v="0"/>
    <x v="0"/>
    <d v="1900-01-27T05:00:00"/>
    <x v="0"/>
    <x v="2"/>
    <x v="1"/>
    <x v="2"/>
    <x v="9"/>
    <n v="0.59"/>
    <x v="0"/>
    <n v="2"/>
    <n v="52"/>
    <n v="54"/>
  </r>
  <r>
    <n v="702"/>
    <d v="2011-02-01T00:00:00"/>
    <x v="0"/>
    <x v="0"/>
    <x v="1"/>
    <d v="1900-01-28T05:00:00"/>
    <x v="0"/>
    <x v="3"/>
    <x v="1"/>
    <x v="10"/>
    <x v="1"/>
    <n v="0.8"/>
    <x v="1"/>
    <n v="5"/>
    <n v="49"/>
    <n v="54"/>
  </r>
  <r>
    <n v="756"/>
    <d v="2011-02-03T00:00:00"/>
    <x v="0"/>
    <x v="0"/>
    <x v="1"/>
    <d v="1900-01-30T11:00:00"/>
    <x v="0"/>
    <x v="4"/>
    <x v="0"/>
    <x v="5"/>
    <x v="6"/>
    <n v="0.55000000000000004"/>
    <x v="8"/>
    <n v="1"/>
    <n v="53"/>
    <n v="54"/>
  </r>
  <r>
    <n v="875"/>
    <d v="2011-02-08T00:00:00"/>
    <x v="0"/>
    <x v="0"/>
    <x v="1"/>
    <d v="1900-02-04T10:00:00"/>
    <x v="0"/>
    <x v="3"/>
    <x v="0"/>
    <x v="3"/>
    <x v="20"/>
    <n v="0.33"/>
    <x v="15"/>
    <n v="8"/>
    <n v="46"/>
    <n v="54"/>
  </r>
  <r>
    <n v="180"/>
    <d v="2011-01-08T00:00:00"/>
    <x v="0"/>
    <x v="0"/>
    <x v="0"/>
    <d v="1900-01-06T11:00:00"/>
    <x v="0"/>
    <x v="0"/>
    <x v="0"/>
    <x v="3"/>
    <x v="8"/>
    <n v="0.39"/>
    <x v="9"/>
    <n v="3"/>
    <n v="52"/>
    <n v="55"/>
  </r>
  <r>
    <n v="266"/>
    <d v="2011-01-12T00:00:00"/>
    <x v="0"/>
    <x v="0"/>
    <x v="0"/>
    <d v="1900-01-10T01:00:00"/>
    <x v="0"/>
    <x v="6"/>
    <x v="0"/>
    <x v="4"/>
    <x v="4"/>
    <n v="0.47"/>
    <x v="18"/>
    <n v="3"/>
    <n v="52"/>
    <n v="55"/>
  </r>
  <r>
    <n v="519"/>
    <d v="2011-01-23T00:00:00"/>
    <x v="0"/>
    <x v="0"/>
    <x v="0"/>
    <d v="1900-01-20T14:00:00"/>
    <x v="0"/>
    <x v="1"/>
    <x v="0"/>
    <x v="3"/>
    <x v="20"/>
    <n v="0.26"/>
    <x v="3"/>
    <n v="5"/>
    <n v="50"/>
    <n v="55"/>
  </r>
  <r>
    <n v="558"/>
    <d v="2011-01-25T00:00:00"/>
    <x v="0"/>
    <x v="0"/>
    <x v="0"/>
    <d v="1900-01-22T05:00:00"/>
    <x v="0"/>
    <x v="3"/>
    <x v="1"/>
    <x v="10"/>
    <x v="19"/>
    <n v="0.6"/>
    <x v="8"/>
    <n v="6"/>
    <n v="49"/>
    <n v="55"/>
  </r>
  <r>
    <n v="628"/>
    <d v="2011-01-29T00:00:00"/>
    <x v="0"/>
    <x v="0"/>
    <x v="0"/>
    <d v="1900-01-25T03:00:00"/>
    <x v="0"/>
    <x v="0"/>
    <x v="1"/>
    <x v="5"/>
    <x v="6"/>
    <n v="0.64"/>
    <x v="8"/>
    <n v="4"/>
    <n v="51"/>
    <n v="55"/>
  </r>
  <r>
    <n v="660"/>
    <d v="2011-01-30T00:00:00"/>
    <x v="0"/>
    <x v="0"/>
    <x v="0"/>
    <d v="1900-01-26T11:00:00"/>
    <x v="0"/>
    <x v="1"/>
    <x v="0"/>
    <x v="9"/>
    <x v="1"/>
    <n v="0.65"/>
    <x v="2"/>
    <n v="9"/>
    <n v="46"/>
    <n v="55"/>
  </r>
  <r>
    <n v="700"/>
    <d v="2011-02-01T00:00:00"/>
    <x v="0"/>
    <x v="0"/>
    <x v="1"/>
    <d v="1900-01-28T03:00:00"/>
    <x v="0"/>
    <x v="3"/>
    <x v="1"/>
    <x v="4"/>
    <x v="1"/>
    <n v="0.86"/>
    <x v="0"/>
    <n v="2"/>
    <n v="53"/>
    <n v="55"/>
  </r>
  <r>
    <n v="796"/>
    <d v="2011-02-05T00:00:00"/>
    <x v="0"/>
    <x v="0"/>
    <x v="1"/>
    <d v="1900-02-01T03:00:00"/>
    <x v="0"/>
    <x v="0"/>
    <x v="2"/>
    <x v="10"/>
    <x v="16"/>
    <n v="1"/>
    <x v="0"/>
    <n v="5"/>
    <n v="50"/>
    <n v="55"/>
  </r>
  <r>
    <n v="840"/>
    <d v="2011-02-07T00:00:00"/>
    <x v="0"/>
    <x v="0"/>
    <x v="1"/>
    <d v="1900-02-02T23:00:00"/>
    <x v="0"/>
    <x v="2"/>
    <x v="0"/>
    <x v="0"/>
    <x v="1"/>
    <n v="0.75"/>
    <x v="8"/>
    <n v="6"/>
    <n v="49"/>
    <n v="55"/>
  </r>
  <r>
    <n v="12"/>
    <d v="2011-01-01T00:00:00"/>
    <x v="0"/>
    <x v="0"/>
    <x v="0"/>
    <d v="1899-12-30T11:00:00"/>
    <x v="0"/>
    <x v="0"/>
    <x v="0"/>
    <x v="16"/>
    <x v="21"/>
    <n v="0.81"/>
    <x v="7"/>
    <n v="26"/>
    <n v="30"/>
    <n v="56"/>
  </r>
  <r>
    <n v="274"/>
    <d v="2011-01-12T00:00:00"/>
    <x v="0"/>
    <x v="0"/>
    <x v="0"/>
    <d v="1900-01-10T09:00:00"/>
    <x v="0"/>
    <x v="6"/>
    <x v="0"/>
    <x v="2"/>
    <x v="3"/>
    <n v="0.5"/>
    <x v="13"/>
    <n v="2"/>
    <n v="54"/>
    <n v="56"/>
  </r>
  <r>
    <n v="454"/>
    <d v="2011-01-20T00:00:00"/>
    <x v="0"/>
    <x v="0"/>
    <x v="0"/>
    <d v="1900-01-17T21:00:00"/>
    <x v="0"/>
    <x v="4"/>
    <x v="1"/>
    <x v="0"/>
    <x v="6"/>
    <n v="0.65"/>
    <x v="7"/>
    <n v="0"/>
    <n v="56"/>
    <n v="56"/>
  </r>
  <r>
    <n v="686"/>
    <d v="2011-01-31T00:00:00"/>
    <x v="0"/>
    <x v="0"/>
    <x v="0"/>
    <d v="1900-01-27T13:00:00"/>
    <x v="0"/>
    <x v="2"/>
    <x v="2"/>
    <x v="2"/>
    <x v="5"/>
    <n v="0.59"/>
    <x v="1"/>
    <n v="3"/>
    <n v="53"/>
    <n v="56"/>
  </r>
  <r>
    <n v="803"/>
    <d v="2011-02-05T00:00:00"/>
    <x v="0"/>
    <x v="0"/>
    <x v="1"/>
    <d v="1900-02-01T10:00:00"/>
    <x v="0"/>
    <x v="0"/>
    <x v="0"/>
    <x v="9"/>
    <x v="1"/>
    <n v="1"/>
    <x v="2"/>
    <n v="3"/>
    <n v="53"/>
    <n v="56"/>
  </r>
  <r>
    <n v="874"/>
    <d v="2011-02-08T00:00:00"/>
    <x v="0"/>
    <x v="0"/>
    <x v="1"/>
    <d v="1900-02-04T09:00:00"/>
    <x v="0"/>
    <x v="3"/>
    <x v="0"/>
    <x v="2"/>
    <x v="3"/>
    <n v="0.4"/>
    <x v="13"/>
    <n v="3"/>
    <n v="53"/>
    <n v="56"/>
  </r>
  <r>
    <n v="80"/>
    <d v="2011-01-04T00:00:00"/>
    <x v="0"/>
    <x v="0"/>
    <x v="0"/>
    <d v="1900-01-02T07:00:00"/>
    <x v="0"/>
    <x v="3"/>
    <x v="0"/>
    <x v="10"/>
    <x v="6"/>
    <n v="0.51"/>
    <x v="9"/>
    <n v="7"/>
    <n v="50"/>
    <n v="57"/>
  </r>
  <r>
    <n v="102"/>
    <d v="2011-01-05T00:00:00"/>
    <x v="0"/>
    <x v="0"/>
    <x v="0"/>
    <d v="1900-01-03T05:00:00"/>
    <x v="0"/>
    <x v="6"/>
    <x v="0"/>
    <x v="10"/>
    <x v="5"/>
    <n v="0.37"/>
    <x v="13"/>
    <n v="4"/>
    <n v="53"/>
    <n v="57"/>
  </r>
  <r>
    <n v="244"/>
    <d v="2011-01-11T00:00:00"/>
    <x v="0"/>
    <x v="0"/>
    <x v="0"/>
    <d v="1900-01-09T03:00:00"/>
    <x v="0"/>
    <x v="3"/>
    <x v="1"/>
    <x v="4"/>
    <x v="9"/>
    <n v="0.51"/>
    <x v="8"/>
    <n v="2"/>
    <n v="55"/>
    <n v="57"/>
  </r>
  <r>
    <n v="275"/>
    <d v="2011-01-12T00:00:00"/>
    <x v="0"/>
    <x v="0"/>
    <x v="0"/>
    <d v="1900-01-10T10:00:00"/>
    <x v="0"/>
    <x v="6"/>
    <x v="0"/>
    <x v="2"/>
    <x v="3"/>
    <n v="0.55000000000000004"/>
    <x v="13"/>
    <n v="0"/>
    <n v="57"/>
    <n v="57"/>
  </r>
  <r>
    <n v="346"/>
    <d v="2011-01-15T00:00:00"/>
    <x v="0"/>
    <x v="0"/>
    <x v="0"/>
    <d v="1900-01-13T09:00:00"/>
    <x v="0"/>
    <x v="0"/>
    <x v="1"/>
    <x v="18"/>
    <x v="23"/>
    <n v="0.39"/>
    <x v="5"/>
    <n v="6"/>
    <n v="51"/>
    <n v="57"/>
  </r>
  <r>
    <n v="369"/>
    <d v="2011-01-16T00:00:00"/>
    <x v="0"/>
    <x v="0"/>
    <x v="0"/>
    <d v="1900-01-14T08:00:00"/>
    <x v="0"/>
    <x v="1"/>
    <x v="0"/>
    <x v="5"/>
    <x v="5"/>
    <n v="0.47"/>
    <x v="6"/>
    <n v="7"/>
    <n v="50"/>
    <n v="57"/>
  </r>
  <r>
    <n v="383"/>
    <d v="2011-01-17T00:00:00"/>
    <x v="0"/>
    <x v="0"/>
    <x v="0"/>
    <d v="1900-01-14T22:00:00"/>
    <x v="1"/>
    <x v="2"/>
    <x v="1"/>
    <x v="2"/>
    <x v="4"/>
    <n v="0.5"/>
    <x v="10"/>
    <n v="7"/>
    <n v="50"/>
    <n v="57"/>
  </r>
  <r>
    <n v="442"/>
    <d v="2011-01-20T00:00:00"/>
    <x v="0"/>
    <x v="0"/>
    <x v="0"/>
    <d v="1900-01-17T09:00:00"/>
    <x v="0"/>
    <x v="4"/>
    <x v="0"/>
    <x v="9"/>
    <x v="9"/>
    <n v="0.48"/>
    <x v="9"/>
    <n v="1"/>
    <n v="56"/>
    <n v="57"/>
  </r>
  <r>
    <n v="453"/>
    <d v="2011-01-20T00:00:00"/>
    <x v="0"/>
    <x v="0"/>
    <x v="0"/>
    <d v="1900-01-17T20:00:00"/>
    <x v="0"/>
    <x v="4"/>
    <x v="1"/>
    <x v="0"/>
    <x v="9"/>
    <n v="0.6"/>
    <x v="10"/>
    <n v="3"/>
    <n v="54"/>
    <n v="57"/>
  </r>
  <r>
    <n v="540"/>
    <d v="2011-01-24T00:00:00"/>
    <x v="0"/>
    <x v="0"/>
    <x v="0"/>
    <d v="1900-01-21T11:00:00"/>
    <x v="0"/>
    <x v="2"/>
    <x v="0"/>
    <x v="2"/>
    <x v="14"/>
    <n v="0.4"/>
    <x v="6"/>
    <n v="7"/>
    <n v="50"/>
    <n v="57"/>
  </r>
  <r>
    <n v="512"/>
    <d v="2011-01-23T00:00:00"/>
    <x v="0"/>
    <x v="0"/>
    <x v="0"/>
    <d v="1900-01-20T07:00:00"/>
    <x v="0"/>
    <x v="1"/>
    <x v="0"/>
    <x v="3"/>
    <x v="20"/>
    <n v="0.46"/>
    <x v="3"/>
    <n v="7"/>
    <n v="51"/>
    <n v="58"/>
  </r>
  <r>
    <n v="579"/>
    <d v="2011-01-26T00:00:00"/>
    <x v="0"/>
    <x v="0"/>
    <x v="0"/>
    <d v="1900-01-23T02:00:00"/>
    <x v="0"/>
    <x v="6"/>
    <x v="2"/>
    <x v="10"/>
    <x v="6"/>
    <n v="0.87"/>
    <x v="9"/>
    <n v="3"/>
    <n v="55"/>
    <n v="58"/>
  </r>
  <r>
    <n v="616"/>
    <d v="2011-01-28T00:00:00"/>
    <x v="0"/>
    <x v="0"/>
    <x v="0"/>
    <d v="1900-01-24T15:00:00"/>
    <x v="0"/>
    <x v="5"/>
    <x v="1"/>
    <x v="10"/>
    <x v="9"/>
    <n v="0.75"/>
    <x v="4"/>
    <n v="1"/>
    <n v="57"/>
    <n v="58"/>
  </r>
  <r>
    <n v="637"/>
    <d v="2011-01-29T00:00:00"/>
    <x v="0"/>
    <x v="0"/>
    <x v="0"/>
    <d v="1900-01-25T12:00:00"/>
    <x v="0"/>
    <x v="0"/>
    <x v="1"/>
    <x v="10"/>
    <x v="6"/>
    <n v="0.69"/>
    <x v="10"/>
    <n v="6"/>
    <n v="52"/>
    <n v="58"/>
  </r>
  <r>
    <n v="891"/>
    <d v="2011-02-09T00:00:00"/>
    <x v="0"/>
    <x v="0"/>
    <x v="1"/>
    <d v="1900-02-05T02:00:00"/>
    <x v="0"/>
    <x v="6"/>
    <x v="0"/>
    <x v="4"/>
    <x v="15"/>
    <n v="0.34"/>
    <x v="9"/>
    <n v="2"/>
    <n v="56"/>
    <n v="58"/>
  </r>
  <r>
    <n v="38"/>
    <d v="2011-01-02T00:00:00"/>
    <x v="0"/>
    <x v="0"/>
    <x v="0"/>
    <d v="1899-12-31T13:00:00"/>
    <x v="0"/>
    <x v="1"/>
    <x v="2"/>
    <x v="16"/>
    <x v="18"/>
    <n v="0.76"/>
    <x v="2"/>
    <n v="4"/>
    <n v="55"/>
    <n v="59"/>
  </r>
  <r>
    <n v="126"/>
    <d v="2011-01-06T00:00:00"/>
    <x v="0"/>
    <x v="0"/>
    <x v="0"/>
    <d v="1900-01-04T05:00:00"/>
    <x v="0"/>
    <x v="4"/>
    <x v="0"/>
    <x v="10"/>
    <x v="1"/>
    <n v="0.44"/>
    <x v="1"/>
    <n v="2"/>
    <n v="57"/>
    <n v="59"/>
  </r>
  <r>
    <n v="150"/>
    <d v="2011-01-07T00:00:00"/>
    <x v="0"/>
    <x v="0"/>
    <x v="0"/>
    <d v="1900-01-05T05:00:00"/>
    <x v="0"/>
    <x v="5"/>
    <x v="1"/>
    <x v="4"/>
    <x v="5"/>
    <n v="0.37"/>
    <x v="10"/>
    <n v="9"/>
    <n v="50"/>
    <n v="59"/>
  </r>
  <r>
    <n v="335"/>
    <d v="2011-01-15T00:00:00"/>
    <x v="0"/>
    <x v="0"/>
    <x v="0"/>
    <d v="1900-01-12T22:00:00"/>
    <x v="0"/>
    <x v="0"/>
    <x v="0"/>
    <x v="5"/>
    <x v="5"/>
    <n v="0.59"/>
    <x v="6"/>
    <n v="2"/>
    <n v="57"/>
    <n v="59"/>
  </r>
  <r>
    <n v="429"/>
    <d v="2011-01-19T00:00:00"/>
    <x v="0"/>
    <x v="0"/>
    <x v="0"/>
    <d v="1900-01-16T20:00:00"/>
    <x v="0"/>
    <x v="6"/>
    <x v="0"/>
    <x v="18"/>
    <x v="0"/>
    <n v="0.49"/>
    <x v="11"/>
    <n v="4"/>
    <n v="55"/>
    <n v="59"/>
  </r>
  <r>
    <n v="430"/>
    <d v="2011-01-19T00:00:00"/>
    <x v="0"/>
    <x v="0"/>
    <x v="0"/>
    <d v="1900-01-16T21:00:00"/>
    <x v="0"/>
    <x v="6"/>
    <x v="0"/>
    <x v="22"/>
    <x v="23"/>
    <n v="0.52"/>
    <x v="6"/>
    <n v="6"/>
    <n v="53"/>
    <n v="59"/>
  </r>
  <r>
    <n v="467"/>
    <d v="2011-01-21T00:00:00"/>
    <x v="0"/>
    <x v="0"/>
    <x v="0"/>
    <d v="1900-01-18T10:00:00"/>
    <x v="0"/>
    <x v="5"/>
    <x v="0"/>
    <x v="10"/>
    <x v="15"/>
    <n v="0.41"/>
    <x v="15"/>
    <n v="6"/>
    <n v="53"/>
    <n v="59"/>
  </r>
  <r>
    <n v="498"/>
    <d v="2011-01-22T00:00:00"/>
    <x v="0"/>
    <x v="0"/>
    <x v="0"/>
    <d v="1900-01-19T17:00:00"/>
    <x v="0"/>
    <x v="0"/>
    <x v="0"/>
    <x v="6"/>
    <x v="20"/>
    <n v="0.35"/>
    <x v="4"/>
    <n v="6"/>
    <n v="53"/>
    <n v="59"/>
  </r>
  <r>
    <n v="546"/>
    <d v="2011-01-24T00:00:00"/>
    <x v="0"/>
    <x v="0"/>
    <x v="0"/>
    <d v="1900-01-21T17:00:00"/>
    <x v="0"/>
    <x v="2"/>
    <x v="0"/>
    <x v="3"/>
    <x v="4"/>
    <n v="0.63"/>
    <x v="6"/>
    <n v="6"/>
    <n v="53"/>
    <n v="59"/>
  </r>
  <r>
    <n v="592"/>
    <d v="2011-01-27T00:00:00"/>
    <x v="0"/>
    <x v="0"/>
    <x v="0"/>
    <d v="1900-01-23T15:00:00"/>
    <x v="0"/>
    <x v="4"/>
    <x v="0"/>
    <x v="5"/>
    <x v="6"/>
    <n v="0.74"/>
    <x v="1"/>
    <n v="4"/>
    <n v="55"/>
    <n v="59"/>
  </r>
  <r>
    <n v="652"/>
    <d v="2011-01-30T00:00:00"/>
    <x v="0"/>
    <x v="0"/>
    <x v="0"/>
    <d v="1900-01-26T03:00:00"/>
    <x v="0"/>
    <x v="1"/>
    <x v="0"/>
    <x v="10"/>
    <x v="16"/>
    <n v="0.75"/>
    <x v="0"/>
    <n v="9"/>
    <n v="50"/>
    <n v="59"/>
  </r>
  <r>
    <n v="805"/>
    <d v="2011-02-05T00:00:00"/>
    <x v="0"/>
    <x v="0"/>
    <x v="1"/>
    <d v="1900-02-01T12:00:00"/>
    <x v="0"/>
    <x v="0"/>
    <x v="0"/>
    <x v="9"/>
    <x v="1"/>
    <n v="0.93"/>
    <x v="5"/>
    <n v="7"/>
    <n v="52"/>
    <n v="59"/>
  </r>
  <r>
    <n v="887"/>
    <d v="2011-02-09T00:00:00"/>
    <x v="0"/>
    <x v="0"/>
    <x v="1"/>
    <d v="1900-02-04T22:00:00"/>
    <x v="0"/>
    <x v="6"/>
    <x v="0"/>
    <x v="3"/>
    <x v="15"/>
    <n v="0.36"/>
    <x v="0"/>
    <n v="8"/>
    <n v="51"/>
    <n v="59"/>
  </r>
  <r>
    <n v="293"/>
    <d v="2011-01-13T00:00:00"/>
    <x v="0"/>
    <x v="0"/>
    <x v="0"/>
    <d v="1900-01-11T04:00:00"/>
    <x v="0"/>
    <x v="4"/>
    <x v="0"/>
    <x v="0"/>
    <x v="6"/>
    <n v="0.38"/>
    <x v="9"/>
    <n v="5"/>
    <n v="55"/>
    <n v="60"/>
  </r>
  <r>
    <n v="392"/>
    <d v="2011-01-17T00:00:00"/>
    <x v="0"/>
    <x v="0"/>
    <x v="0"/>
    <d v="1900-01-15T07:00:00"/>
    <x v="1"/>
    <x v="2"/>
    <x v="2"/>
    <x v="5"/>
    <x v="15"/>
    <n v="0.59"/>
    <x v="2"/>
    <n v="2"/>
    <n v="58"/>
    <n v="60"/>
  </r>
  <r>
    <n v="538"/>
    <d v="2011-01-24T00:00:00"/>
    <x v="0"/>
    <x v="0"/>
    <x v="0"/>
    <d v="1900-01-21T09:00:00"/>
    <x v="0"/>
    <x v="2"/>
    <x v="1"/>
    <x v="3"/>
    <x v="3"/>
    <n v="0.43"/>
    <x v="5"/>
    <n v="6"/>
    <n v="54"/>
    <n v="60"/>
  </r>
  <r>
    <n v="602"/>
    <d v="2011-01-28T00:00:00"/>
    <x v="0"/>
    <x v="0"/>
    <x v="0"/>
    <d v="1900-01-24T01:00:00"/>
    <x v="0"/>
    <x v="5"/>
    <x v="1"/>
    <x v="2"/>
    <x v="5"/>
    <n v="0.86"/>
    <x v="1"/>
    <n v="2"/>
    <n v="58"/>
    <n v="60"/>
  </r>
  <r>
    <n v="750"/>
    <d v="2011-02-03T00:00:00"/>
    <x v="0"/>
    <x v="0"/>
    <x v="1"/>
    <d v="1900-01-30T05:00:00"/>
    <x v="0"/>
    <x v="4"/>
    <x v="0"/>
    <x v="10"/>
    <x v="5"/>
    <n v="0.37"/>
    <x v="13"/>
    <n v="4"/>
    <n v="56"/>
    <n v="60"/>
  </r>
  <r>
    <n v="797"/>
    <d v="2011-02-05T00:00:00"/>
    <x v="0"/>
    <x v="0"/>
    <x v="1"/>
    <d v="1900-02-01T04:00:00"/>
    <x v="0"/>
    <x v="0"/>
    <x v="2"/>
    <x v="10"/>
    <x v="16"/>
    <n v="1"/>
    <x v="0"/>
    <n v="11"/>
    <n v="49"/>
    <n v="60"/>
  </r>
  <r>
    <n v="844"/>
    <d v="2011-02-07T00:00:00"/>
    <x v="0"/>
    <x v="0"/>
    <x v="1"/>
    <d v="1900-02-03T03:00:00"/>
    <x v="0"/>
    <x v="2"/>
    <x v="1"/>
    <x v="16"/>
    <x v="29"/>
    <n v="0.56999999999999995"/>
    <x v="1"/>
    <n v="8"/>
    <n v="52"/>
    <n v="60"/>
  </r>
  <r>
    <n v="58"/>
    <d v="2011-01-03T00:00:00"/>
    <x v="0"/>
    <x v="0"/>
    <x v="0"/>
    <d v="1900-01-01T09:00:00"/>
    <x v="0"/>
    <x v="2"/>
    <x v="0"/>
    <x v="10"/>
    <x v="6"/>
    <n v="0.35"/>
    <x v="9"/>
    <n v="13"/>
    <n v="48"/>
    <n v="61"/>
  </r>
  <r>
    <n v="59"/>
    <d v="2011-01-03T00:00:00"/>
    <x v="0"/>
    <x v="0"/>
    <x v="0"/>
    <d v="1900-01-01T10:00:00"/>
    <x v="0"/>
    <x v="2"/>
    <x v="0"/>
    <x v="0"/>
    <x v="18"/>
    <n v="0.35"/>
    <x v="7"/>
    <n v="8"/>
    <n v="53"/>
    <n v="61"/>
  </r>
  <r>
    <n v="172"/>
    <d v="2011-01-08T00:00:00"/>
    <x v="0"/>
    <x v="0"/>
    <x v="0"/>
    <d v="1900-01-06T03:00:00"/>
    <x v="0"/>
    <x v="0"/>
    <x v="1"/>
    <x v="5"/>
    <x v="5"/>
    <n v="0.8"/>
    <x v="6"/>
    <n v="5"/>
    <n v="56"/>
    <n v="61"/>
  </r>
  <r>
    <n v="313"/>
    <d v="2011-01-14T00:00:00"/>
    <x v="0"/>
    <x v="0"/>
    <x v="0"/>
    <d v="1900-01-12T00:00:00"/>
    <x v="0"/>
    <x v="5"/>
    <x v="0"/>
    <x v="4"/>
    <x v="5"/>
    <n v="0.44"/>
    <x v="10"/>
    <n v="2"/>
    <n v="59"/>
    <n v="61"/>
  </r>
  <r>
    <n v="368"/>
    <d v="2011-01-16T00:00:00"/>
    <x v="0"/>
    <x v="0"/>
    <x v="0"/>
    <d v="1900-01-14T07:00:00"/>
    <x v="0"/>
    <x v="1"/>
    <x v="0"/>
    <x v="5"/>
    <x v="5"/>
    <n v="0.47"/>
    <x v="4"/>
    <n v="14"/>
    <n v="47"/>
    <n v="61"/>
  </r>
  <r>
    <n v="401"/>
    <d v="2011-01-18T00:00:00"/>
    <x v="0"/>
    <x v="0"/>
    <x v="0"/>
    <d v="1900-01-15T16:00:00"/>
    <x v="0"/>
    <x v="3"/>
    <x v="1"/>
    <x v="10"/>
    <x v="9"/>
    <n v="0.87"/>
    <x v="2"/>
    <n v="0"/>
    <n v="61"/>
    <n v="61"/>
  </r>
  <r>
    <n v="559"/>
    <d v="2011-01-25T00:00:00"/>
    <x v="0"/>
    <x v="0"/>
    <x v="0"/>
    <d v="1900-01-22T06:00:00"/>
    <x v="0"/>
    <x v="3"/>
    <x v="1"/>
    <x v="0"/>
    <x v="19"/>
    <n v="0.6"/>
    <x v="4"/>
    <n v="6"/>
    <n v="55"/>
    <n v="61"/>
  </r>
  <r>
    <n v="722"/>
    <d v="2011-02-02T00:00:00"/>
    <x v="0"/>
    <x v="0"/>
    <x v="1"/>
    <d v="1900-01-29T01:00:00"/>
    <x v="0"/>
    <x v="6"/>
    <x v="1"/>
    <x v="10"/>
    <x v="16"/>
    <n v="1"/>
    <x v="0"/>
    <n v="2"/>
    <n v="59"/>
    <n v="61"/>
  </r>
  <r>
    <n v="889"/>
    <d v="2011-02-09T00:00:00"/>
    <x v="0"/>
    <x v="0"/>
    <x v="1"/>
    <d v="1900-02-05T00:00:00"/>
    <x v="0"/>
    <x v="6"/>
    <x v="1"/>
    <x v="5"/>
    <x v="15"/>
    <n v="0.4"/>
    <x v="5"/>
    <n v="4"/>
    <n v="57"/>
    <n v="61"/>
  </r>
  <r>
    <n v="988"/>
    <d v="2011-02-13T00:00:00"/>
    <x v="0"/>
    <x v="0"/>
    <x v="1"/>
    <d v="1900-02-09T03:00:00"/>
    <x v="0"/>
    <x v="1"/>
    <x v="0"/>
    <x v="1"/>
    <x v="2"/>
    <n v="0.35"/>
    <x v="7"/>
    <n v="11"/>
    <n v="50"/>
    <n v="61"/>
  </r>
  <r>
    <n v="106"/>
    <d v="2011-01-05T00:00:00"/>
    <x v="0"/>
    <x v="0"/>
    <x v="0"/>
    <d v="1900-01-03T09:00:00"/>
    <x v="0"/>
    <x v="6"/>
    <x v="0"/>
    <x v="22"/>
    <x v="0"/>
    <n v="0.28000000000000003"/>
    <x v="2"/>
    <n v="10"/>
    <n v="52"/>
    <n v="62"/>
  </r>
  <r>
    <n v="107"/>
    <d v="2011-01-05T00:00:00"/>
    <x v="0"/>
    <x v="0"/>
    <x v="0"/>
    <d v="1900-01-03T10:00:00"/>
    <x v="0"/>
    <x v="6"/>
    <x v="0"/>
    <x v="22"/>
    <x v="0"/>
    <n v="0.28000000000000003"/>
    <x v="2"/>
    <n v="7"/>
    <n v="55"/>
    <n v="62"/>
  </r>
  <r>
    <n v="130"/>
    <d v="2011-01-06T00:00:00"/>
    <x v="0"/>
    <x v="0"/>
    <x v="0"/>
    <d v="1900-01-04T09:00:00"/>
    <x v="0"/>
    <x v="4"/>
    <x v="0"/>
    <x v="13"/>
    <x v="16"/>
    <n v="0.36"/>
    <x v="0"/>
    <n v="8"/>
    <n v="54"/>
    <n v="62"/>
  </r>
  <r>
    <n v="173"/>
    <d v="2011-01-08T00:00:00"/>
    <x v="0"/>
    <x v="0"/>
    <x v="0"/>
    <d v="1900-01-06T04:00:00"/>
    <x v="0"/>
    <x v="0"/>
    <x v="1"/>
    <x v="4"/>
    <x v="15"/>
    <n v="0.69"/>
    <x v="3"/>
    <n v="2"/>
    <n v="60"/>
    <n v="62"/>
  </r>
  <r>
    <n v="203"/>
    <d v="2011-01-09T00:00:00"/>
    <x v="0"/>
    <x v="0"/>
    <x v="0"/>
    <d v="1900-01-07T10:00:00"/>
    <x v="0"/>
    <x v="1"/>
    <x v="0"/>
    <x v="5"/>
    <x v="4"/>
    <n v="0.37"/>
    <x v="3"/>
    <n v="3"/>
    <n v="59"/>
    <n v="62"/>
  </r>
  <r>
    <n v="470"/>
    <d v="2011-01-21T00:00:00"/>
    <x v="0"/>
    <x v="0"/>
    <x v="0"/>
    <d v="1900-01-18T13:00:00"/>
    <x v="0"/>
    <x v="5"/>
    <x v="0"/>
    <x v="4"/>
    <x v="4"/>
    <n v="0.25"/>
    <x v="14"/>
    <n v="6"/>
    <n v="56"/>
    <n v="62"/>
  </r>
  <r>
    <n v="615"/>
    <d v="2011-01-28T00:00:00"/>
    <x v="0"/>
    <x v="0"/>
    <x v="0"/>
    <d v="1900-01-24T14:00:00"/>
    <x v="0"/>
    <x v="5"/>
    <x v="1"/>
    <x v="0"/>
    <x v="9"/>
    <n v="0.7"/>
    <x v="2"/>
    <n v="1"/>
    <n v="61"/>
    <n v="62"/>
  </r>
  <r>
    <n v="828"/>
    <d v="2011-02-06T00:00:00"/>
    <x v="0"/>
    <x v="0"/>
    <x v="1"/>
    <d v="1900-02-02T11:00:00"/>
    <x v="0"/>
    <x v="1"/>
    <x v="0"/>
    <x v="9"/>
    <x v="23"/>
    <n v="0.6"/>
    <x v="0"/>
    <n v="5"/>
    <n v="57"/>
    <n v="62"/>
  </r>
  <r>
    <n v="913"/>
    <d v="2011-02-10T00:00:00"/>
    <x v="0"/>
    <x v="0"/>
    <x v="1"/>
    <d v="1900-02-06T00:00:00"/>
    <x v="0"/>
    <x v="4"/>
    <x v="0"/>
    <x v="5"/>
    <x v="14"/>
    <n v="0.28999999999999998"/>
    <x v="9"/>
    <n v="3"/>
    <n v="59"/>
    <n v="62"/>
  </r>
  <r>
    <n v="83"/>
    <d v="2011-01-04T00:00:00"/>
    <x v="0"/>
    <x v="0"/>
    <x v="0"/>
    <d v="1900-01-02T10:00:00"/>
    <x v="0"/>
    <x v="3"/>
    <x v="0"/>
    <x v="9"/>
    <x v="1"/>
    <n v="0.52"/>
    <x v="5"/>
    <n v="9"/>
    <n v="54"/>
    <n v="63"/>
  </r>
  <r>
    <n v="148"/>
    <d v="2011-01-07T00:00:00"/>
    <x v="0"/>
    <x v="0"/>
    <x v="0"/>
    <d v="1900-01-05T03:00:00"/>
    <x v="0"/>
    <x v="5"/>
    <x v="0"/>
    <x v="10"/>
    <x v="5"/>
    <n v="0.37"/>
    <x v="13"/>
    <n v="16"/>
    <n v="47"/>
    <n v="63"/>
  </r>
  <r>
    <n v="246"/>
    <d v="2011-01-11T00:00:00"/>
    <x v="0"/>
    <x v="0"/>
    <x v="0"/>
    <d v="1900-01-09T05:00:00"/>
    <x v="0"/>
    <x v="3"/>
    <x v="1"/>
    <x v="4"/>
    <x v="9"/>
    <n v="0.59"/>
    <x v="1"/>
    <n v="3"/>
    <n v="60"/>
    <n v="63"/>
  </r>
  <r>
    <n v="466"/>
    <d v="2011-01-21T00:00:00"/>
    <x v="0"/>
    <x v="0"/>
    <x v="0"/>
    <d v="1900-01-18T09:00:00"/>
    <x v="0"/>
    <x v="5"/>
    <x v="0"/>
    <x v="4"/>
    <x v="14"/>
    <n v="0.47"/>
    <x v="15"/>
    <n v="6"/>
    <n v="57"/>
    <n v="63"/>
  </r>
  <r>
    <n v="490"/>
    <d v="2011-01-22T00:00:00"/>
    <x v="0"/>
    <x v="0"/>
    <x v="0"/>
    <d v="1900-01-19T09:00:00"/>
    <x v="0"/>
    <x v="0"/>
    <x v="1"/>
    <x v="15"/>
    <x v="10"/>
    <n v="0.38"/>
    <x v="4"/>
    <n v="4"/>
    <n v="59"/>
    <n v="63"/>
  </r>
  <r>
    <n v="537"/>
    <d v="2011-01-24T00:00:00"/>
    <x v="0"/>
    <x v="0"/>
    <x v="0"/>
    <d v="1900-01-21T08:00:00"/>
    <x v="0"/>
    <x v="2"/>
    <x v="1"/>
    <x v="8"/>
    <x v="3"/>
    <n v="0.42"/>
    <x v="2"/>
    <n v="11"/>
    <n v="52"/>
    <n v="63"/>
  </r>
  <r>
    <n v="726"/>
    <d v="2011-02-02T00:00:00"/>
    <x v="0"/>
    <x v="0"/>
    <x v="1"/>
    <d v="1900-01-29T05:00:00"/>
    <x v="0"/>
    <x v="6"/>
    <x v="0"/>
    <x v="20"/>
    <x v="26"/>
    <n v="0.82"/>
    <x v="3"/>
    <n v="2"/>
    <n v="61"/>
    <n v="63"/>
  </r>
  <r>
    <n v="733"/>
    <d v="2011-02-02T00:00:00"/>
    <x v="0"/>
    <x v="0"/>
    <x v="1"/>
    <d v="1900-01-29T12:00:00"/>
    <x v="0"/>
    <x v="6"/>
    <x v="0"/>
    <x v="10"/>
    <x v="5"/>
    <n v="0.47"/>
    <x v="13"/>
    <n v="1"/>
    <n v="62"/>
    <n v="63"/>
  </r>
  <r>
    <n v="942"/>
    <d v="2011-02-11T00:00:00"/>
    <x v="0"/>
    <x v="0"/>
    <x v="1"/>
    <d v="1900-02-07T05:00:00"/>
    <x v="0"/>
    <x v="5"/>
    <x v="0"/>
    <x v="10"/>
    <x v="9"/>
    <n v="0.55000000000000004"/>
    <x v="4"/>
    <n v="2"/>
    <n v="61"/>
    <n v="63"/>
  </r>
  <r>
    <n v="53"/>
    <d v="2011-01-03T00:00:00"/>
    <x v="0"/>
    <x v="0"/>
    <x v="0"/>
    <d v="1900-01-01T04:00:00"/>
    <x v="0"/>
    <x v="2"/>
    <x v="0"/>
    <x v="3"/>
    <x v="3"/>
    <n v="0.5"/>
    <x v="2"/>
    <n v="1"/>
    <n v="63"/>
    <n v="64"/>
  </r>
  <r>
    <n v="298"/>
    <d v="2011-01-13T00:00:00"/>
    <x v="0"/>
    <x v="0"/>
    <x v="0"/>
    <d v="1900-01-11T09:00:00"/>
    <x v="0"/>
    <x v="4"/>
    <x v="0"/>
    <x v="2"/>
    <x v="4"/>
    <n v="0.47"/>
    <x v="5"/>
    <n v="0"/>
    <n v="64"/>
    <n v="64"/>
  </r>
  <r>
    <n v="315"/>
    <d v="2011-01-14T00:00:00"/>
    <x v="0"/>
    <x v="0"/>
    <x v="0"/>
    <d v="1900-01-12T02:00:00"/>
    <x v="0"/>
    <x v="5"/>
    <x v="0"/>
    <x v="10"/>
    <x v="6"/>
    <n v="0.41"/>
    <x v="7"/>
    <n v="5"/>
    <n v="59"/>
    <n v="64"/>
  </r>
  <r>
    <n v="384"/>
    <d v="2011-01-17T00:00:00"/>
    <x v="0"/>
    <x v="0"/>
    <x v="0"/>
    <d v="1900-01-14T23:00:00"/>
    <x v="1"/>
    <x v="2"/>
    <x v="1"/>
    <x v="2"/>
    <x v="4"/>
    <n v="0.55000000000000004"/>
    <x v="2"/>
    <n v="9"/>
    <n v="55"/>
    <n v="64"/>
  </r>
  <r>
    <n v="629"/>
    <d v="2011-01-29T00:00:00"/>
    <x v="0"/>
    <x v="0"/>
    <x v="0"/>
    <d v="1900-01-25T04:00:00"/>
    <x v="0"/>
    <x v="0"/>
    <x v="1"/>
    <x v="5"/>
    <x v="5"/>
    <n v="0.64"/>
    <x v="4"/>
    <n v="4"/>
    <n v="60"/>
    <n v="64"/>
  </r>
  <r>
    <n v="651"/>
    <d v="2011-01-30T00:00:00"/>
    <x v="0"/>
    <x v="0"/>
    <x v="0"/>
    <d v="1900-01-26T02:00:00"/>
    <x v="0"/>
    <x v="1"/>
    <x v="1"/>
    <x v="5"/>
    <x v="19"/>
    <n v="0.8"/>
    <x v="0"/>
    <n v="7"/>
    <n v="57"/>
    <n v="64"/>
  </r>
  <r>
    <n v="704"/>
    <d v="2011-02-01T00:00:00"/>
    <x v="0"/>
    <x v="0"/>
    <x v="1"/>
    <d v="1900-01-28T07:00:00"/>
    <x v="0"/>
    <x v="3"/>
    <x v="1"/>
    <x v="0"/>
    <x v="19"/>
    <n v="0.75"/>
    <x v="4"/>
    <n v="3"/>
    <n v="61"/>
    <n v="64"/>
  </r>
  <r>
    <n v="709"/>
    <d v="2011-02-01T00:00:00"/>
    <x v="0"/>
    <x v="0"/>
    <x v="1"/>
    <d v="1900-01-28T12:00:00"/>
    <x v="0"/>
    <x v="3"/>
    <x v="1"/>
    <x v="10"/>
    <x v="9"/>
    <n v="0.87"/>
    <x v="4"/>
    <n v="0"/>
    <n v="64"/>
    <n v="64"/>
  </r>
  <r>
    <n v="724"/>
    <d v="2011-02-02T00:00:00"/>
    <x v="0"/>
    <x v="0"/>
    <x v="1"/>
    <d v="1900-01-29T03:00:00"/>
    <x v="0"/>
    <x v="6"/>
    <x v="1"/>
    <x v="0"/>
    <x v="9"/>
    <n v="0.93"/>
    <x v="5"/>
    <n v="3"/>
    <n v="61"/>
    <n v="64"/>
  </r>
  <r>
    <n v="746"/>
    <d v="2011-02-03T00:00:00"/>
    <x v="0"/>
    <x v="0"/>
    <x v="1"/>
    <d v="1900-01-30T01:00:00"/>
    <x v="0"/>
    <x v="4"/>
    <x v="0"/>
    <x v="5"/>
    <x v="3"/>
    <n v="0.43"/>
    <x v="16"/>
    <n v="9"/>
    <n v="55"/>
    <n v="64"/>
  </r>
  <r>
    <n v="769"/>
    <d v="2011-02-04T00:00:00"/>
    <x v="0"/>
    <x v="0"/>
    <x v="1"/>
    <d v="1900-01-31T00:00:00"/>
    <x v="0"/>
    <x v="5"/>
    <x v="0"/>
    <x v="10"/>
    <x v="9"/>
    <n v="0.51"/>
    <x v="6"/>
    <n v="3"/>
    <n v="61"/>
    <n v="64"/>
  </r>
  <r>
    <n v="843"/>
    <d v="2011-02-07T00:00:00"/>
    <x v="0"/>
    <x v="0"/>
    <x v="1"/>
    <d v="1900-02-03T02:00:00"/>
    <x v="0"/>
    <x v="2"/>
    <x v="1"/>
    <x v="16"/>
    <x v="29"/>
    <n v="0.56999999999999995"/>
    <x v="1"/>
    <n v="10"/>
    <n v="54"/>
    <n v="64"/>
  </r>
  <r>
    <n v="868"/>
    <d v="2011-02-08T00:00:00"/>
    <x v="0"/>
    <x v="0"/>
    <x v="1"/>
    <d v="1900-02-04T03:00:00"/>
    <x v="0"/>
    <x v="3"/>
    <x v="0"/>
    <x v="10"/>
    <x v="5"/>
    <n v="0.37"/>
    <x v="11"/>
    <n v="3"/>
    <n v="61"/>
    <n v="64"/>
  </r>
  <r>
    <n v="892"/>
    <d v="2011-02-09T00:00:00"/>
    <x v="0"/>
    <x v="0"/>
    <x v="1"/>
    <d v="1900-02-05T03:00:00"/>
    <x v="0"/>
    <x v="6"/>
    <x v="1"/>
    <x v="4"/>
    <x v="15"/>
    <n v="0.34"/>
    <x v="7"/>
    <n v="3"/>
    <n v="61"/>
    <n v="64"/>
  </r>
  <r>
    <n v="933"/>
    <d v="2011-02-11T00:00:00"/>
    <x v="0"/>
    <x v="0"/>
    <x v="1"/>
    <d v="1900-02-06T20:00:00"/>
    <x v="0"/>
    <x v="5"/>
    <x v="0"/>
    <x v="10"/>
    <x v="9"/>
    <n v="0.47"/>
    <x v="4"/>
    <n v="12"/>
    <n v="52"/>
    <n v="64"/>
  </r>
  <r>
    <n v="964"/>
    <d v="2011-02-12T00:00:00"/>
    <x v="0"/>
    <x v="0"/>
    <x v="1"/>
    <d v="1900-02-08T03:00:00"/>
    <x v="0"/>
    <x v="0"/>
    <x v="0"/>
    <x v="13"/>
    <x v="1"/>
    <n v="0.38"/>
    <x v="13"/>
    <n v="4"/>
    <n v="60"/>
    <n v="64"/>
  </r>
  <r>
    <n v="41"/>
    <d v="2011-01-02T00:00:00"/>
    <x v="0"/>
    <x v="0"/>
    <x v="0"/>
    <d v="1899-12-31T16:00:00"/>
    <x v="0"/>
    <x v="1"/>
    <x v="0"/>
    <x v="17"/>
    <x v="21"/>
    <n v="0.56999999999999995"/>
    <x v="2"/>
    <n v="7"/>
    <n v="58"/>
    <n v="65"/>
  </r>
  <r>
    <n v="84"/>
    <d v="2011-01-04T00:00:00"/>
    <x v="0"/>
    <x v="0"/>
    <x v="0"/>
    <d v="1900-01-02T11:00:00"/>
    <x v="0"/>
    <x v="3"/>
    <x v="0"/>
    <x v="13"/>
    <x v="16"/>
    <n v="0.52"/>
    <x v="10"/>
    <n v="17"/>
    <n v="48"/>
    <n v="65"/>
  </r>
  <r>
    <n v="471"/>
    <d v="2011-01-21T00:00:00"/>
    <x v="0"/>
    <x v="0"/>
    <x v="0"/>
    <d v="1900-01-18T14:00:00"/>
    <x v="0"/>
    <x v="5"/>
    <x v="0"/>
    <x v="2"/>
    <x v="8"/>
    <n v="0.26"/>
    <x v="16"/>
    <n v="4"/>
    <n v="61"/>
    <n v="65"/>
  </r>
  <r>
    <n v="518"/>
    <d v="2011-01-23T00:00:00"/>
    <x v="0"/>
    <x v="0"/>
    <x v="0"/>
    <d v="1900-01-20T13:00:00"/>
    <x v="0"/>
    <x v="1"/>
    <x v="0"/>
    <x v="2"/>
    <x v="3"/>
    <n v="0.26"/>
    <x v="13"/>
    <n v="9"/>
    <n v="56"/>
    <n v="65"/>
  </r>
  <r>
    <n v="631"/>
    <d v="2011-01-29T00:00:00"/>
    <x v="0"/>
    <x v="0"/>
    <x v="0"/>
    <d v="1900-01-25T06:00:00"/>
    <x v="0"/>
    <x v="0"/>
    <x v="1"/>
    <x v="10"/>
    <x v="9"/>
    <n v="0.55000000000000004"/>
    <x v="6"/>
    <n v="9"/>
    <n v="56"/>
    <n v="65"/>
  </r>
  <r>
    <n v="659"/>
    <d v="2011-01-30T00:00:00"/>
    <x v="0"/>
    <x v="0"/>
    <x v="0"/>
    <d v="1900-01-26T10:00:00"/>
    <x v="0"/>
    <x v="1"/>
    <x v="0"/>
    <x v="9"/>
    <x v="1"/>
    <n v="0.65"/>
    <x v="6"/>
    <n v="8"/>
    <n v="57"/>
    <n v="65"/>
  </r>
  <r>
    <n v="866"/>
    <d v="2011-02-08T00:00:00"/>
    <x v="0"/>
    <x v="0"/>
    <x v="1"/>
    <d v="1900-02-04T01:00:00"/>
    <x v="0"/>
    <x v="3"/>
    <x v="0"/>
    <x v="0"/>
    <x v="5"/>
    <n v="0.38"/>
    <x v="19"/>
    <n v="2"/>
    <n v="63"/>
    <n v="65"/>
  </r>
  <r>
    <n v="842"/>
    <d v="2011-02-07T00:00:00"/>
    <x v="0"/>
    <x v="0"/>
    <x v="1"/>
    <d v="1900-02-03T01:00:00"/>
    <x v="0"/>
    <x v="2"/>
    <x v="1"/>
    <x v="18"/>
    <x v="27"/>
    <n v="0.62"/>
    <x v="0"/>
    <n v="7"/>
    <n v="59"/>
    <n v="66"/>
  </r>
  <r>
    <n v="18"/>
    <d v="2011-01-01T00:00:00"/>
    <x v="0"/>
    <x v="0"/>
    <x v="0"/>
    <d v="1899-12-30T17:00:00"/>
    <x v="0"/>
    <x v="0"/>
    <x v="1"/>
    <x v="21"/>
    <x v="18"/>
    <n v="0.82"/>
    <x v="7"/>
    <n v="15"/>
    <n v="52"/>
    <n v="67"/>
  </r>
  <r>
    <n v="128"/>
    <d v="2011-01-06T00:00:00"/>
    <x v="0"/>
    <x v="0"/>
    <x v="0"/>
    <d v="1900-01-04T07:00:00"/>
    <x v="0"/>
    <x v="4"/>
    <x v="0"/>
    <x v="9"/>
    <x v="16"/>
    <n v="0.35"/>
    <x v="8"/>
    <n v="12"/>
    <n v="55"/>
    <n v="67"/>
  </r>
  <r>
    <n v="149"/>
    <d v="2011-01-07T00:00:00"/>
    <x v="0"/>
    <x v="0"/>
    <x v="0"/>
    <d v="1900-01-05T04:00:00"/>
    <x v="0"/>
    <x v="5"/>
    <x v="1"/>
    <x v="4"/>
    <x v="5"/>
    <n v="0.4"/>
    <x v="5"/>
    <n v="19"/>
    <n v="48"/>
    <n v="67"/>
  </r>
  <r>
    <n v="367"/>
    <d v="2011-01-16T00:00:00"/>
    <x v="0"/>
    <x v="0"/>
    <x v="0"/>
    <d v="1900-01-14T06:00:00"/>
    <x v="0"/>
    <x v="1"/>
    <x v="0"/>
    <x v="4"/>
    <x v="6"/>
    <n v="0.4"/>
    <x v="6"/>
    <n v="11"/>
    <n v="56"/>
    <n v="67"/>
  </r>
  <r>
    <n v="496"/>
    <d v="2011-01-22T00:00:00"/>
    <x v="0"/>
    <x v="0"/>
    <x v="0"/>
    <d v="1900-01-19T15:00:00"/>
    <x v="0"/>
    <x v="0"/>
    <x v="0"/>
    <x v="8"/>
    <x v="5"/>
    <n v="0.28000000000000003"/>
    <x v="0"/>
    <n v="8"/>
    <n v="59"/>
    <n v="67"/>
  </r>
  <r>
    <n v="270"/>
    <d v="2011-01-12T00:00:00"/>
    <x v="0"/>
    <x v="0"/>
    <x v="0"/>
    <d v="1900-01-10T05:00:00"/>
    <x v="0"/>
    <x v="6"/>
    <x v="0"/>
    <x v="10"/>
    <x v="5"/>
    <n v="0.44"/>
    <x v="13"/>
    <n v="5"/>
    <n v="63"/>
    <n v="68"/>
  </r>
  <r>
    <n v="316"/>
    <d v="2011-01-14T00:00:00"/>
    <x v="0"/>
    <x v="0"/>
    <x v="0"/>
    <d v="1900-01-12T03:00:00"/>
    <x v="0"/>
    <x v="5"/>
    <x v="0"/>
    <x v="0"/>
    <x v="19"/>
    <n v="0.38"/>
    <x v="6"/>
    <n v="9"/>
    <n v="59"/>
    <n v="68"/>
  </r>
  <r>
    <n v="321"/>
    <d v="2011-01-14T00:00:00"/>
    <x v="0"/>
    <x v="0"/>
    <x v="0"/>
    <d v="1900-01-12T08:00:00"/>
    <x v="0"/>
    <x v="5"/>
    <x v="0"/>
    <x v="5"/>
    <x v="19"/>
    <n v="0.59"/>
    <x v="0"/>
    <n v="0"/>
    <n v="68"/>
    <n v="68"/>
  </r>
  <r>
    <n v="443"/>
    <d v="2011-01-20T00:00:00"/>
    <x v="0"/>
    <x v="0"/>
    <x v="0"/>
    <d v="1900-01-17T10:00:00"/>
    <x v="0"/>
    <x v="4"/>
    <x v="1"/>
    <x v="13"/>
    <x v="16"/>
    <n v="0.45"/>
    <x v="6"/>
    <n v="5"/>
    <n v="63"/>
    <n v="68"/>
  </r>
  <r>
    <n v="463"/>
    <d v="2011-01-21T00:00:00"/>
    <x v="0"/>
    <x v="0"/>
    <x v="0"/>
    <d v="1900-01-18T06:00:00"/>
    <x v="0"/>
    <x v="5"/>
    <x v="0"/>
    <x v="4"/>
    <x v="15"/>
    <n v="0.51"/>
    <x v="7"/>
    <n v="2"/>
    <n v="66"/>
    <n v="68"/>
  </r>
  <r>
    <n v="562"/>
    <d v="2011-01-25T00:00:00"/>
    <x v="0"/>
    <x v="0"/>
    <x v="0"/>
    <d v="1900-01-22T09:00:00"/>
    <x v="0"/>
    <x v="3"/>
    <x v="1"/>
    <x v="22"/>
    <x v="21"/>
    <n v="0.45"/>
    <x v="0"/>
    <n v="11"/>
    <n v="57"/>
    <n v="68"/>
  </r>
  <r>
    <n v="636"/>
    <d v="2011-01-29T00:00:00"/>
    <x v="0"/>
    <x v="0"/>
    <x v="0"/>
    <d v="1900-01-25T11:00:00"/>
    <x v="0"/>
    <x v="0"/>
    <x v="0"/>
    <x v="10"/>
    <x v="9"/>
    <n v="0.69"/>
    <x v="4"/>
    <n v="9"/>
    <n v="59"/>
    <n v="68"/>
  </r>
  <r>
    <n v="677"/>
    <d v="2011-01-31T00:00:00"/>
    <x v="0"/>
    <x v="0"/>
    <x v="0"/>
    <d v="1900-01-27T04:00:00"/>
    <x v="0"/>
    <x v="2"/>
    <x v="1"/>
    <x v="5"/>
    <x v="6"/>
    <n v="0.55000000000000004"/>
    <x v="8"/>
    <n v="6"/>
    <n v="62"/>
    <n v="68"/>
  </r>
  <r>
    <n v="135"/>
    <d v="2011-01-06T00:00:00"/>
    <x v="0"/>
    <x v="0"/>
    <x v="0"/>
    <d v="1900-01-04T14:00:00"/>
    <x v="0"/>
    <x v="4"/>
    <x v="0"/>
    <x v="4"/>
    <x v="6"/>
    <n v="0.51"/>
    <x v="6"/>
    <n v="3"/>
    <n v="66"/>
    <n v="69"/>
  </r>
  <r>
    <n v="179"/>
    <d v="2011-01-08T00:00:00"/>
    <x v="0"/>
    <x v="0"/>
    <x v="0"/>
    <d v="1900-01-06T10:00:00"/>
    <x v="0"/>
    <x v="0"/>
    <x v="0"/>
    <x v="2"/>
    <x v="8"/>
    <n v="0.37"/>
    <x v="17"/>
    <n v="5"/>
    <n v="64"/>
    <n v="69"/>
  </r>
  <r>
    <n v="675"/>
    <d v="2011-01-31T00:00:00"/>
    <x v="0"/>
    <x v="0"/>
    <x v="0"/>
    <d v="1900-01-27T02:00:00"/>
    <x v="0"/>
    <x v="2"/>
    <x v="1"/>
    <x v="2"/>
    <x v="4"/>
    <n v="0.59"/>
    <x v="2"/>
    <n v="1"/>
    <n v="68"/>
    <n v="69"/>
  </r>
  <r>
    <n v="747"/>
    <d v="2011-02-03T00:00:00"/>
    <x v="0"/>
    <x v="0"/>
    <x v="1"/>
    <d v="1900-01-30T02:00:00"/>
    <x v="0"/>
    <x v="4"/>
    <x v="0"/>
    <x v="4"/>
    <x v="15"/>
    <n v="0.4"/>
    <x v="12"/>
    <n v="2"/>
    <n v="67"/>
    <n v="69"/>
  </r>
  <r>
    <n v="802"/>
    <d v="2011-02-05T00:00:00"/>
    <x v="0"/>
    <x v="0"/>
    <x v="1"/>
    <d v="1900-02-01T09:00:00"/>
    <x v="0"/>
    <x v="0"/>
    <x v="0"/>
    <x v="22"/>
    <x v="0"/>
    <n v="0.87"/>
    <x v="10"/>
    <n v="5"/>
    <n v="64"/>
    <n v="69"/>
  </r>
  <r>
    <n v="890"/>
    <d v="2011-02-09T00:00:00"/>
    <x v="0"/>
    <x v="0"/>
    <x v="1"/>
    <d v="1900-02-05T01:00:00"/>
    <x v="0"/>
    <x v="6"/>
    <x v="0"/>
    <x v="5"/>
    <x v="14"/>
    <n v="0.4"/>
    <x v="10"/>
    <n v="2"/>
    <n v="67"/>
    <n v="69"/>
  </r>
  <r>
    <n v="912"/>
    <d v="2011-02-10T00:00:00"/>
    <x v="0"/>
    <x v="0"/>
    <x v="1"/>
    <d v="1900-02-05T23:00:00"/>
    <x v="0"/>
    <x v="4"/>
    <x v="0"/>
    <x v="2"/>
    <x v="3"/>
    <n v="0.34"/>
    <x v="3"/>
    <n v="4"/>
    <n v="65"/>
    <n v="69"/>
  </r>
  <r>
    <n v="35"/>
    <d v="2011-01-02T00:00:00"/>
    <x v="0"/>
    <x v="0"/>
    <x v="0"/>
    <d v="1899-12-31T10:00:00"/>
    <x v="0"/>
    <x v="1"/>
    <x v="1"/>
    <x v="16"/>
    <x v="21"/>
    <n v="0.71"/>
    <x v="10"/>
    <n v="16"/>
    <n v="54"/>
    <n v="70"/>
  </r>
  <r>
    <n v="129"/>
    <d v="2011-01-06T00:00:00"/>
    <x v="0"/>
    <x v="0"/>
    <x v="0"/>
    <d v="1900-01-04T08:00:00"/>
    <x v="0"/>
    <x v="4"/>
    <x v="0"/>
    <x v="13"/>
    <x v="16"/>
    <n v="0.36"/>
    <x v="6"/>
    <n v="11"/>
    <n v="59"/>
    <n v="70"/>
  </r>
  <r>
    <n v="308"/>
    <d v="2011-01-14T00:00:00"/>
    <x v="0"/>
    <x v="0"/>
    <x v="0"/>
    <d v="1900-01-11T19:00:00"/>
    <x v="0"/>
    <x v="5"/>
    <x v="0"/>
    <x v="7"/>
    <x v="8"/>
    <n v="0.74"/>
    <x v="6"/>
    <n v="0"/>
    <n v="70"/>
    <n v="70"/>
  </r>
  <r>
    <n v="420"/>
    <d v="2011-01-19T00:00:00"/>
    <x v="0"/>
    <x v="0"/>
    <x v="0"/>
    <d v="1900-01-16T11:00:00"/>
    <x v="0"/>
    <x v="6"/>
    <x v="1"/>
    <x v="22"/>
    <x v="22"/>
    <n v="0.81"/>
    <x v="1"/>
    <n v="5"/>
    <n v="65"/>
    <n v="70"/>
  </r>
  <r>
    <n v="447"/>
    <d v="2011-01-20T00:00:00"/>
    <x v="0"/>
    <x v="0"/>
    <x v="0"/>
    <d v="1900-01-17T14:00:00"/>
    <x v="0"/>
    <x v="4"/>
    <x v="1"/>
    <x v="18"/>
    <x v="22"/>
    <n v="0.45"/>
    <x v="2"/>
    <n v="8"/>
    <n v="62"/>
    <n v="70"/>
  </r>
  <r>
    <n v="491"/>
    <d v="2011-01-22T00:00:00"/>
    <x v="0"/>
    <x v="0"/>
    <x v="0"/>
    <d v="1900-01-19T10:00:00"/>
    <x v="0"/>
    <x v="0"/>
    <x v="1"/>
    <x v="15"/>
    <x v="20"/>
    <n v="0.38"/>
    <x v="8"/>
    <n v="10"/>
    <n v="60"/>
    <n v="70"/>
  </r>
  <r>
    <n v="541"/>
    <d v="2011-01-24T00:00:00"/>
    <x v="0"/>
    <x v="0"/>
    <x v="0"/>
    <d v="1900-01-21T12:00:00"/>
    <x v="0"/>
    <x v="2"/>
    <x v="0"/>
    <x v="2"/>
    <x v="4"/>
    <n v="0.47"/>
    <x v="10"/>
    <n v="4"/>
    <n v="66"/>
    <n v="70"/>
  </r>
  <r>
    <n v="105"/>
    <d v="2011-01-05T00:00:00"/>
    <x v="0"/>
    <x v="0"/>
    <x v="0"/>
    <d v="1900-01-03T08:00:00"/>
    <x v="0"/>
    <x v="6"/>
    <x v="0"/>
    <x v="13"/>
    <x v="1"/>
    <n v="0.3"/>
    <x v="9"/>
    <n v="6"/>
    <n v="65"/>
    <n v="71"/>
  </r>
  <r>
    <n v="390"/>
    <d v="2011-01-17T00:00:00"/>
    <x v="0"/>
    <x v="0"/>
    <x v="0"/>
    <d v="1900-01-15T05:00:00"/>
    <x v="1"/>
    <x v="2"/>
    <x v="0"/>
    <x v="4"/>
    <x v="5"/>
    <n v="0.51"/>
    <x v="2"/>
    <n v="4"/>
    <n v="67"/>
    <n v="71"/>
  </r>
  <r>
    <n v="778"/>
    <d v="2011-02-04T00:00:00"/>
    <x v="0"/>
    <x v="0"/>
    <x v="1"/>
    <d v="1900-01-31T09:00:00"/>
    <x v="0"/>
    <x v="5"/>
    <x v="1"/>
    <x v="0"/>
    <x v="19"/>
    <n v="0.65"/>
    <x v="6"/>
    <n v="2"/>
    <n v="69"/>
    <n v="71"/>
  </r>
  <r>
    <n v="798"/>
    <d v="2011-02-05T00:00:00"/>
    <x v="0"/>
    <x v="0"/>
    <x v="1"/>
    <d v="1900-02-01T05:00:00"/>
    <x v="0"/>
    <x v="0"/>
    <x v="2"/>
    <x v="10"/>
    <x v="9"/>
    <n v="1"/>
    <x v="4"/>
    <n v="8"/>
    <n v="63"/>
    <n v="71"/>
  </r>
  <r>
    <n v="934"/>
    <d v="2011-02-11T00:00:00"/>
    <x v="0"/>
    <x v="0"/>
    <x v="1"/>
    <d v="1900-02-06T21:00:00"/>
    <x v="0"/>
    <x v="5"/>
    <x v="0"/>
    <x v="10"/>
    <x v="9"/>
    <n v="0.47"/>
    <x v="4"/>
    <n v="7"/>
    <n v="64"/>
    <n v="71"/>
  </r>
  <r>
    <n v="61"/>
    <d v="2011-01-03T00:00:00"/>
    <x v="0"/>
    <x v="0"/>
    <x v="0"/>
    <d v="1900-01-01T12:00:00"/>
    <x v="0"/>
    <x v="2"/>
    <x v="0"/>
    <x v="9"/>
    <x v="19"/>
    <n v="0.3"/>
    <x v="10"/>
    <n v="14"/>
    <n v="58"/>
    <n v="72"/>
  </r>
  <r>
    <n v="153"/>
    <d v="2011-01-07T00:00:00"/>
    <x v="0"/>
    <x v="0"/>
    <x v="0"/>
    <d v="1900-01-05T08:00:00"/>
    <x v="0"/>
    <x v="5"/>
    <x v="1"/>
    <x v="4"/>
    <x v="6"/>
    <n v="0.37"/>
    <x v="6"/>
    <n v="9"/>
    <n v="63"/>
    <n v="72"/>
  </r>
  <r>
    <n v="200"/>
    <d v="2011-01-09T00:00:00"/>
    <x v="0"/>
    <x v="0"/>
    <x v="0"/>
    <d v="1900-01-07T07:00:00"/>
    <x v="0"/>
    <x v="1"/>
    <x v="0"/>
    <x v="10"/>
    <x v="15"/>
    <n v="0.32"/>
    <x v="15"/>
    <n v="8"/>
    <n v="64"/>
    <n v="72"/>
  </r>
  <r>
    <n v="285"/>
    <d v="2011-01-13T00:00:00"/>
    <x v="0"/>
    <x v="0"/>
    <x v="0"/>
    <d v="1900-01-10T20:00:00"/>
    <x v="0"/>
    <x v="4"/>
    <x v="0"/>
    <x v="8"/>
    <x v="4"/>
    <n v="0.54"/>
    <x v="4"/>
    <n v="0"/>
    <n v="72"/>
    <n v="72"/>
  </r>
  <r>
    <n v="336"/>
    <d v="2011-01-15T00:00:00"/>
    <x v="0"/>
    <x v="0"/>
    <x v="0"/>
    <d v="1900-01-12T23:00:00"/>
    <x v="0"/>
    <x v="0"/>
    <x v="0"/>
    <x v="4"/>
    <x v="5"/>
    <n v="0.55000000000000004"/>
    <x v="5"/>
    <n v="18"/>
    <n v="54"/>
    <n v="72"/>
  </r>
  <r>
    <n v="578"/>
    <d v="2011-01-26T00:00:00"/>
    <x v="0"/>
    <x v="0"/>
    <x v="0"/>
    <d v="1900-01-23T01:00:00"/>
    <x v="0"/>
    <x v="6"/>
    <x v="2"/>
    <x v="10"/>
    <x v="6"/>
    <n v="0.87"/>
    <x v="9"/>
    <n v="3"/>
    <n v="69"/>
    <n v="72"/>
  </r>
  <r>
    <n v="672"/>
    <d v="2011-01-31T00:00:00"/>
    <x v="0"/>
    <x v="0"/>
    <x v="0"/>
    <d v="1900-01-26T23:00:00"/>
    <x v="0"/>
    <x v="2"/>
    <x v="1"/>
    <x v="2"/>
    <x v="3"/>
    <n v="0.64"/>
    <x v="7"/>
    <n v="1"/>
    <n v="71"/>
    <n v="72"/>
  </r>
  <r>
    <n v="795"/>
    <d v="2011-02-05T00:00:00"/>
    <x v="0"/>
    <x v="0"/>
    <x v="1"/>
    <d v="1900-02-01T02:00:00"/>
    <x v="0"/>
    <x v="0"/>
    <x v="2"/>
    <x v="10"/>
    <x v="9"/>
    <n v="1"/>
    <x v="6"/>
    <n v="10"/>
    <n v="62"/>
    <n v="72"/>
  </r>
  <r>
    <n v="921"/>
    <d v="2011-02-10T00:00:00"/>
    <x v="0"/>
    <x v="0"/>
    <x v="1"/>
    <d v="1900-02-06T08:00:00"/>
    <x v="0"/>
    <x v="4"/>
    <x v="0"/>
    <x v="3"/>
    <x v="6"/>
    <n v="0.39"/>
    <x v="0"/>
    <n v="2"/>
    <n v="70"/>
    <n v="72"/>
  </r>
  <r>
    <n v="151"/>
    <d v="2011-01-07T00:00:00"/>
    <x v="0"/>
    <x v="0"/>
    <x v="0"/>
    <d v="1900-01-05T06:00:00"/>
    <x v="0"/>
    <x v="5"/>
    <x v="1"/>
    <x v="4"/>
    <x v="15"/>
    <n v="0.37"/>
    <x v="7"/>
    <n v="9"/>
    <n v="64"/>
    <n v="73"/>
  </r>
  <r>
    <n v="469"/>
    <d v="2011-01-21T00:00:00"/>
    <x v="0"/>
    <x v="0"/>
    <x v="0"/>
    <d v="1900-01-18T12:00:00"/>
    <x v="0"/>
    <x v="5"/>
    <x v="0"/>
    <x v="4"/>
    <x v="4"/>
    <n v="0.21"/>
    <x v="18"/>
    <n v="8"/>
    <n v="65"/>
    <n v="73"/>
  </r>
  <r>
    <n v="39"/>
    <d v="2011-01-02T00:00:00"/>
    <x v="0"/>
    <x v="0"/>
    <x v="0"/>
    <d v="1899-12-31T14:00:00"/>
    <x v="0"/>
    <x v="1"/>
    <x v="2"/>
    <x v="17"/>
    <x v="21"/>
    <n v="0.81"/>
    <x v="6"/>
    <n v="19"/>
    <n v="55"/>
    <n v="74"/>
  </r>
  <r>
    <n v="177"/>
    <d v="2011-01-08T00:00:00"/>
    <x v="0"/>
    <x v="0"/>
    <x v="0"/>
    <d v="1900-01-06T08:00:00"/>
    <x v="0"/>
    <x v="0"/>
    <x v="0"/>
    <x v="4"/>
    <x v="14"/>
    <n v="0.32"/>
    <x v="16"/>
    <n v="5"/>
    <n v="69"/>
    <n v="74"/>
  </r>
  <r>
    <n v="226"/>
    <d v="2011-01-10T00:00:00"/>
    <x v="0"/>
    <x v="0"/>
    <x v="0"/>
    <d v="1900-01-08T09:00:00"/>
    <x v="0"/>
    <x v="2"/>
    <x v="0"/>
    <x v="4"/>
    <x v="6"/>
    <n v="0.4"/>
    <x v="4"/>
    <n v="4"/>
    <n v="70"/>
    <n v="74"/>
  </r>
  <r>
    <n v="230"/>
    <d v="2011-01-10T00:00:00"/>
    <x v="0"/>
    <x v="0"/>
    <x v="0"/>
    <d v="1900-01-08T13:00:00"/>
    <x v="0"/>
    <x v="2"/>
    <x v="0"/>
    <x v="2"/>
    <x v="14"/>
    <n v="0.5"/>
    <x v="6"/>
    <n v="1"/>
    <n v="73"/>
    <n v="74"/>
  </r>
  <r>
    <n v="344"/>
    <d v="2011-01-15T00:00:00"/>
    <x v="0"/>
    <x v="0"/>
    <x v="0"/>
    <d v="1900-01-13T07:00:00"/>
    <x v="0"/>
    <x v="0"/>
    <x v="1"/>
    <x v="18"/>
    <x v="23"/>
    <n v="0.39"/>
    <x v="10"/>
    <n v="14"/>
    <n v="60"/>
    <n v="74"/>
  </r>
  <r>
    <n v="708"/>
    <d v="2011-02-01T00:00:00"/>
    <x v="0"/>
    <x v="0"/>
    <x v="1"/>
    <d v="1900-01-28T11:00:00"/>
    <x v="0"/>
    <x v="3"/>
    <x v="1"/>
    <x v="10"/>
    <x v="9"/>
    <n v="0.87"/>
    <x v="4"/>
    <n v="5"/>
    <n v="69"/>
    <n v="74"/>
  </r>
  <r>
    <n v="929"/>
    <d v="2011-02-11T00:00:00"/>
    <x v="0"/>
    <x v="0"/>
    <x v="1"/>
    <d v="1900-02-06T16:00:00"/>
    <x v="0"/>
    <x v="5"/>
    <x v="0"/>
    <x v="6"/>
    <x v="14"/>
    <n v="0.73"/>
    <x v="0"/>
    <n v="1"/>
    <n v="73"/>
    <n v="74"/>
  </r>
  <r>
    <n v="937"/>
    <d v="2011-02-11T00:00:00"/>
    <x v="0"/>
    <x v="0"/>
    <x v="1"/>
    <d v="1900-02-07T00:00:00"/>
    <x v="0"/>
    <x v="5"/>
    <x v="0"/>
    <x v="18"/>
    <x v="22"/>
    <n v="0.21"/>
    <x v="6"/>
    <n v="12"/>
    <n v="62"/>
    <n v="74"/>
  </r>
  <r>
    <n v="37"/>
    <d v="2011-01-02T00:00:00"/>
    <x v="0"/>
    <x v="0"/>
    <x v="0"/>
    <d v="1899-12-31T12:00:00"/>
    <x v="0"/>
    <x v="1"/>
    <x v="1"/>
    <x v="16"/>
    <x v="27"/>
    <n v="0.66"/>
    <x v="4"/>
    <n v="11"/>
    <n v="64"/>
    <n v="75"/>
  </r>
  <r>
    <n v="199"/>
    <d v="2011-01-09T00:00:00"/>
    <x v="0"/>
    <x v="0"/>
    <x v="0"/>
    <d v="1900-01-07T06:00:00"/>
    <x v="0"/>
    <x v="1"/>
    <x v="0"/>
    <x v="4"/>
    <x v="14"/>
    <n v="0.34"/>
    <x v="16"/>
    <n v="6"/>
    <n v="69"/>
    <n v="75"/>
  </r>
  <r>
    <n v="422"/>
    <d v="2011-01-19T00:00:00"/>
    <x v="0"/>
    <x v="0"/>
    <x v="0"/>
    <d v="1900-01-16T13:00:00"/>
    <x v="0"/>
    <x v="6"/>
    <x v="0"/>
    <x v="1"/>
    <x v="2"/>
    <n v="0.57999999999999996"/>
    <x v="10"/>
    <n v="7"/>
    <n v="68"/>
    <n v="75"/>
  </r>
  <r>
    <n v="493"/>
    <d v="2011-01-22T00:00:00"/>
    <x v="0"/>
    <x v="0"/>
    <x v="0"/>
    <d v="1900-01-19T12:00:00"/>
    <x v="0"/>
    <x v="0"/>
    <x v="0"/>
    <x v="7"/>
    <x v="3"/>
    <n v="0.33"/>
    <x v="8"/>
    <n v="11"/>
    <n v="64"/>
    <n v="75"/>
  </r>
  <r>
    <n v="725"/>
    <d v="2011-02-02T00:00:00"/>
    <x v="0"/>
    <x v="0"/>
    <x v="1"/>
    <d v="1900-01-29T04:00:00"/>
    <x v="0"/>
    <x v="6"/>
    <x v="0"/>
    <x v="17"/>
    <x v="21"/>
    <n v="0.93"/>
    <x v="6"/>
    <n v="1"/>
    <n v="74"/>
    <n v="75"/>
  </r>
  <r>
    <n v="732"/>
    <d v="2011-02-02T00:00:00"/>
    <x v="0"/>
    <x v="0"/>
    <x v="1"/>
    <d v="1900-01-29T11:00:00"/>
    <x v="0"/>
    <x v="6"/>
    <x v="0"/>
    <x v="0"/>
    <x v="5"/>
    <n v="0.48"/>
    <x v="17"/>
    <n v="4"/>
    <n v="71"/>
    <n v="75"/>
  </r>
  <r>
    <n v="40"/>
    <d v="2011-01-02T00:00:00"/>
    <x v="0"/>
    <x v="0"/>
    <x v="0"/>
    <d v="1899-12-31T15:00:00"/>
    <x v="0"/>
    <x v="1"/>
    <x v="2"/>
    <x v="17"/>
    <x v="21"/>
    <n v="0.71"/>
    <x v="6"/>
    <n v="9"/>
    <n v="67"/>
    <n v="76"/>
  </r>
  <r>
    <n v="62"/>
    <d v="2011-01-03T00:00:00"/>
    <x v="0"/>
    <x v="0"/>
    <x v="0"/>
    <d v="1900-01-01T13:00:00"/>
    <x v="0"/>
    <x v="2"/>
    <x v="0"/>
    <x v="9"/>
    <x v="19"/>
    <n v="0.3"/>
    <x v="10"/>
    <n v="9"/>
    <n v="67"/>
    <n v="76"/>
  </r>
  <r>
    <n v="178"/>
    <d v="2011-01-08T00:00:00"/>
    <x v="0"/>
    <x v="0"/>
    <x v="0"/>
    <d v="1900-01-06T09:00:00"/>
    <x v="0"/>
    <x v="0"/>
    <x v="0"/>
    <x v="5"/>
    <x v="3"/>
    <n v="0.28999999999999998"/>
    <x v="16"/>
    <n v="8"/>
    <n v="68"/>
    <n v="76"/>
  </r>
  <r>
    <n v="248"/>
    <d v="2011-01-11T00:00:00"/>
    <x v="0"/>
    <x v="0"/>
    <x v="0"/>
    <d v="1900-01-09T07:00:00"/>
    <x v="0"/>
    <x v="3"/>
    <x v="1"/>
    <x v="2"/>
    <x v="4"/>
    <n v="0.86"/>
    <x v="5"/>
    <n v="4"/>
    <n v="72"/>
    <n v="76"/>
  </r>
  <r>
    <n v="428"/>
    <d v="2011-01-19T00:00:00"/>
    <x v="0"/>
    <x v="0"/>
    <x v="0"/>
    <d v="1900-01-16T19:00:00"/>
    <x v="0"/>
    <x v="6"/>
    <x v="0"/>
    <x v="18"/>
    <x v="23"/>
    <n v="0.49"/>
    <x v="9"/>
    <n v="2"/>
    <n v="74"/>
    <n v="76"/>
  </r>
  <r>
    <n v="727"/>
    <d v="2011-02-02T00:00:00"/>
    <x v="0"/>
    <x v="0"/>
    <x v="1"/>
    <d v="1900-01-29T06:00:00"/>
    <x v="0"/>
    <x v="6"/>
    <x v="0"/>
    <x v="20"/>
    <x v="26"/>
    <n v="0.76"/>
    <x v="13"/>
    <n v="10"/>
    <n v="66"/>
    <n v="76"/>
  </r>
  <r>
    <n v="60"/>
    <d v="2011-01-03T00:00:00"/>
    <x v="0"/>
    <x v="0"/>
    <x v="0"/>
    <d v="1900-01-01T11:00:00"/>
    <x v="0"/>
    <x v="2"/>
    <x v="0"/>
    <x v="9"/>
    <x v="19"/>
    <n v="0.3"/>
    <x v="7"/>
    <n v="11"/>
    <n v="66"/>
    <n v="77"/>
  </r>
  <r>
    <n v="217"/>
    <d v="2011-01-10T00:00:00"/>
    <x v="0"/>
    <x v="0"/>
    <x v="0"/>
    <d v="1900-01-08T00:00:00"/>
    <x v="0"/>
    <x v="2"/>
    <x v="0"/>
    <x v="8"/>
    <x v="8"/>
    <n v="0.5"/>
    <x v="5"/>
    <n v="2"/>
    <n v="75"/>
    <n v="77"/>
  </r>
  <r>
    <n v="314"/>
    <d v="2011-01-14T00:00:00"/>
    <x v="0"/>
    <x v="0"/>
    <x v="0"/>
    <d v="1900-01-12T01:00:00"/>
    <x v="0"/>
    <x v="5"/>
    <x v="0"/>
    <x v="10"/>
    <x v="5"/>
    <n v="0.37"/>
    <x v="3"/>
    <n v="4"/>
    <n v="73"/>
    <n v="77"/>
  </r>
  <r>
    <n v="517"/>
    <d v="2011-01-23T00:00:00"/>
    <x v="0"/>
    <x v="0"/>
    <x v="0"/>
    <d v="1900-01-20T12:00:00"/>
    <x v="0"/>
    <x v="1"/>
    <x v="0"/>
    <x v="2"/>
    <x v="3"/>
    <n v="0.28000000000000003"/>
    <x v="12"/>
    <n v="13"/>
    <n v="64"/>
    <n v="77"/>
  </r>
  <r>
    <n v="658"/>
    <d v="2011-01-30T00:00:00"/>
    <x v="0"/>
    <x v="0"/>
    <x v="0"/>
    <d v="1900-01-26T09:00:00"/>
    <x v="0"/>
    <x v="1"/>
    <x v="0"/>
    <x v="22"/>
    <x v="0"/>
    <n v="0.56000000000000005"/>
    <x v="2"/>
    <n v="6"/>
    <n v="71"/>
    <n v="77"/>
  </r>
  <r>
    <n v="81"/>
    <d v="2011-01-04T00:00:00"/>
    <x v="0"/>
    <x v="0"/>
    <x v="0"/>
    <d v="1900-01-02T08:00:00"/>
    <x v="0"/>
    <x v="3"/>
    <x v="0"/>
    <x v="10"/>
    <x v="9"/>
    <n v="0.51"/>
    <x v="6"/>
    <n v="12"/>
    <n v="66"/>
    <n v="78"/>
  </r>
  <r>
    <n v="294"/>
    <d v="2011-01-13T00:00:00"/>
    <x v="0"/>
    <x v="0"/>
    <x v="0"/>
    <d v="1900-01-11T05:00:00"/>
    <x v="0"/>
    <x v="4"/>
    <x v="0"/>
    <x v="0"/>
    <x v="6"/>
    <n v="0.38"/>
    <x v="12"/>
    <n v="2"/>
    <n v="76"/>
    <n v="78"/>
  </r>
  <r>
    <n v="421"/>
    <d v="2011-01-19T00:00:00"/>
    <x v="0"/>
    <x v="0"/>
    <x v="0"/>
    <d v="1900-01-16T12:00:00"/>
    <x v="0"/>
    <x v="6"/>
    <x v="0"/>
    <x v="1"/>
    <x v="2"/>
    <n v="0.62"/>
    <x v="7"/>
    <n v="11"/>
    <n v="67"/>
    <n v="78"/>
  </r>
  <r>
    <n v="468"/>
    <d v="2011-01-21T00:00:00"/>
    <x v="0"/>
    <x v="0"/>
    <x v="0"/>
    <d v="1900-01-18T11:00:00"/>
    <x v="0"/>
    <x v="5"/>
    <x v="0"/>
    <x v="10"/>
    <x v="15"/>
    <n v="0.27"/>
    <x v="18"/>
    <n v="11"/>
    <n v="67"/>
    <n v="78"/>
  </r>
  <r>
    <n v="630"/>
    <d v="2011-01-29T00:00:00"/>
    <x v="0"/>
    <x v="0"/>
    <x v="0"/>
    <d v="1900-01-25T05:00:00"/>
    <x v="0"/>
    <x v="0"/>
    <x v="1"/>
    <x v="4"/>
    <x v="5"/>
    <n v="0.59"/>
    <x v="2"/>
    <n v="12"/>
    <n v="66"/>
    <n v="78"/>
  </r>
  <r>
    <n v="685"/>
    <d v="2011-01-31T00:00:00"/>
    <x v="0"/>
    <x v="0"/>
    <x v="0"/>
    <d v="1900-01-27T12:00:00"/>
    <x v="0"/>
    <x v="2"/>
    <x v="2"/>
    <x v="2"/>
    <x v="14"/>
    <n v="0.59"/>
    <x v="6"/>
    <n v="0"/>
    <n v="78"/>
    <n v="78"/>
  </r>
  <r>
    <n v="751"/>
    <d v="2011-02-03T00:00:00"/>
    <x v="0"/>
    <x v="0"/>
    <x v="1"/>
    <d v="1900-01-30T06:00:00"/>
    <x v="0"/>
    <x v="4"/>
    <x v="0"/>
    <x v="10"/>
    <x v="6"/>
    <n v="0.37"/>
    <x v="10"/>
    <n v="5"/>
    <n v="73"/>
    <n v="78"/>
  </r>
  <r>
    <n v="799"/>
    <d v="2011-02-05T00:00:00"/>
    <x v="0"/>
    <x v="0"/>
    <x v="1"/>
    <d v="1900-02-01T06:00:00"/>
    <x v="0"/>
    <x v="0"/>
    <x v="1"/>
    <x v="0"/>
    <x v="6"/>
    <n v="1"/>
    <x v="7"/>
    <n v="14"/>
    <n v="64"/>
    <n v="78"/>
  </r>
  <r>
    <n v="824"/>
    <d v="2011-02-06T00:00:00"/>
    <x v="0"/>
    <x v="0"/>
    <x v="1"/>
    <d v="1900-02-02T07:00:00"/>
    <x v="0"/>
    <x v="1"/>
    <x v="0"/>
    <x v="22"/>
    <x v="23"/>
    <n v="0.56000000000000005"/>
    <x v="6"/>
    <n v="13"/>
    <n v="65"/>
    <n v="78"/>
  </r>
  <r>
    <n v="851"/>
    <d v="2011-02-07T00:00:00"/>
    <x v="0"/>
    <x v="0"/>
    <x v="1"/>
    <d v="1900-02-03T10:00:00"/>
    <x v="0"/>
    <x v="2"/>
    <x v="0"/>
    <x v="18"/>
    <x v="27"/>
    <n v="0.7"/>
    <x v="0"/>
    <n v="3"/>
    <n v="75"/>
    <n v="78"/>
  </r>
  <r>
    <n v="104"/>
    <d v="2011-01-05T00:00:00"/>
    <x v="0"/>
    <x v="0"/>
    <x v="0"/>
    <d v="1900-01-03T07:00:00"/>
    <x v="0"/>
    <x v="6"/>
    <x v="0"/>
    <x v="9"/>
    <x v="9"/>
    <n v="0.33"/>
    <x v="13"/>
    <n v="5"/>
    <n v="74"/>
    <n v="79"/>
  </r>
  <r>
    <n v="359"/>
    <d v="2011-01-16T00:00:00"/>
    <x v="0"/>
    <x v="0"/>
    <x v="0"/>
    <d v="1900-01-13T22:00:00"/>
    <x v="0"/>
    <x v="1"/>
    <x v="0"/>
    <x v="10"/>
    <x v="6"/>
    <n v="0.51"/>
    <x v="7"/>
    <n v="8"/>
    <n v="71"/>
    <n v="79"/>
  </r>
  <r>
    <n v="591"/>
    <d v="2011-01-27T00:00:00"/>
    <x v="0"/>
    <x v="0"/>
    <x v="0"/>
    <d v="1900-01-23T14:00:00"/>
    <x v="0"/>
    <x v="4"/>
    <x v="0"/>
    <x v="4"/>
    <x v="9"/>
    <n v="0.69"/>
    <x v="1"/>
    <n v="3"/>
    <n v="76"/>
    <n v="79"/>
  </r>
  <r>
    <n v="893"/>
    <d v="2011-02-09T00:00:00"/>
    <x v="0"/>
    <x v="0"/>
    <x v="1"/>
    <d v="1900-02-05T04:00:00"/>
    <x v="0"/>
    <x v="6"/>
    <x v="1"/>
    <x v="4"/>
    <x v="5"/>
    <n v="0.37"/>
    <x v="10"/>
    <n v="7"/>
    <n v="72"/>
    <n v="79"/>
  </r>
  <r>
    <n v="385"/>
    <d v="2011-01-17T00:00:00"/>
    <x v="0"/>
    <x v="0"/>
    <x v="0"/>
    <d v="1900-01-15T00:00:00"/>
    <x v="1"/>
    <x v="2"/>
    <x v="1"/>
    <x v="5"/>
    <x v="5"/>
    <n v="0.47"/>
    <x v="4"/>
    <n v="10"/>
    <n v="70"/>
    <n v="80"/>
  </r>
  <r>
    <n v="611"/>
    <d v="2011-01-28T00:00:00"/>
    <x v="0"/>
    <x v="0"/>
    <x v="0"/>
    <d v="1900-01-24T10:00:00"/>
    <x v="0"/>
    <x v="5"/>
    <x v="0"/>
    <x v="10"/>
    <x v="16"/>
    <n v="0.8"/>
    <x v="0"/>
    <n v="10"/>
    <n v="70"/>
    <n v="80"/>
  </r>
  <r>
    <n v="916"/>
    <d v="2011-02-10T00:00:00"/>
    <x v="0"/>
    <x v="0"/>
    <x v="1"/>
    <d v="1900-02-06T03:00:00"/>
    <x v="0"/>
    <x v="4"/>
    <x v="0"/>
    <x v="4"/>
    <x v="15"/>
    <n v="0.27"/>
    <x v="9"/>
    <n v="4"/>
    <n v="76"/>
    <n v="80"/>
  </r>
  <r>
    <n v="263"/>
    <d v="2011-01-12T00:00:00"/>
    <x v="0"/>
    <x v="0"/>
    <x v="0"/>
    <d v="1900-01-09T22:00:00"/>
    <x v="0"/>
    <x v="6"/>
    <x v="0"/>
    <x v="2"/>
    <x v="3"/>
    <n v="0.59"/>
    <x v="13"/>
    <n v="3"/>
    <n v="78"/>
    <n v="81"/>
  </r>
  <r>
    <n v="446"/>
    <d v="2011-01-20T00:00:00"/>
    <x v="0"/>
    <x v="0"/>
    <x v="0"/>
    <d v="1900-01-17T13:00:00"/>
    <x v="0"/>
    <x v="4"/>
    <x v="1"/>
    <x v="22"/>
    <x v="23"/>
    <n v="0.45"/>
    <x v="4"/>
    <n v="6"/>
    <n v="75"/>
    <n v="81"/>
  </r>
  <r>
    <n v="545"/>
    <d v="2011-01-24T00:00:00"/>
    <x v="0"/>
    <x v="0"/>
    <x v="0"/>
    <d v="1900-01-21T16:00:00"/>
    <x v="0"/>
    <x v="2"/>
    <x v="0"/>
    <x v="3"/>
    <x v="3"/>
    <n v="0.59"/>
    <x v="2"/>
    <n v="1"/>
    <n v="80"/>
    <n v="81"/>
  </r>
  <r>
    <n v="201"/>
    <d v="2011-01-09T00:00:00"/>
    <x v="0"/>
    <x v="0"/>
    <x v="0"/>
    <d v="1900-01-07T08:00:00"/>
    <x v="0"/>
    <x v="1"/>
    <x v="0"/>
    <x v="10"/>
    <x v="5"/>
    <n v="0.35"/>
    <x v="12"/>
    <n v="5"/>
    <n v="77"/>
    <n v="82"/>
  </r>
  <r>
    <n v="389"/>
    <d v="2011-01-17T00:00:00"/>
    <x v="0"/>
    <x v="0"/>
    <x v="0"/>
    <d v="1900-01-15T04:00:00"/>
    <x v="1"/>
    <x v="2"/>
    <x v="1"/>
    <x v="4"/>
    <x v="6"/>
    <n v="0.47"/>
    <x v="6"/>
    <n v="6"/>
    <n v="76"/>
    <n v="82"/>
  </r>
  <r>
    <n v="423"/>
    <d v="2011-01-19T00:00:00"/>
    <x v="0"/>
    <x v="0"/>
    <x v="0"/>
    <d v="1900-01-16T14:00:00"/>
    <x v="0"/>
    <x v="6"/>
    <x v="0"/>
    <x v="1"/>
    <x v="2"/>
    <n v="0.54"/>
    <x v="7"/>
    <n v="4"/>
    <n v="78"/>
    <n v="82"/>
  </r>
  <r>
    <n v="771"/>
    <d v="2011-02-04T00:00:00"/>
    <x v="0"/>
    <x v="0"/>
    <x v="1"/>
    <d v="1900-01-31T02:00:00"/>
    <x v="0"/>
    <x v="5"/>
    <x v="1"/>
    <x v="9"/>
    <x v="1"/>
    <n v="0.5"/>
    <x v="5"/>
    <n v="9"/>
    <n v="73"/>
    <n v="82"/>
  </r>
  <r>
    <n v="85"/>
    <d v="2011-01-04T00:00:00"/>
    <x v="0"/>
    <x v="0"/>
    <x v="0"/>
    <d v="1900-01-02T12:00:00"/>
    <x v="0"/>
    <x v="3"/>
    <x v="0"/>
    <x v="22"/>
    <x v="0"/>
    <n v="0.49"/>
    <x v="10"/>
    <n v="15"/>
    <n v="68"/>
    <n v="83"/>
  </r>
  <r>
    <n v="198"/>
    <d v="2011-01-09T00:00:00"/>
    <x v="0"/>
    <x v="0"/>
    <x v="0"/>
    <d v="1900-01-07T05:00:00"/>
    <x v="0"/>
    <x v="1"/>
    <x v="0"/>
    <x v="5"/>
    <x v="3"/>
    <n v="0.37"/>
    <x v="16"/>
    <n v="4"/>
    <n v="79"/>
    <n v="83"/>
  </r>
  <r>
    <n v="273"/>
    <d v="2011-01-12T00:00:00"/>
    <x v="0"/>
    <x v="0"/>
    <x v="0"/>
    <d v="1900-01-10T08:00:00"/>
    <x v="0"/>
    <x v="6"/>
    <x v="0"/>
    <x v="5"/>
    <x v="4"/>
    <n v="0.47"/>
    <x v="11"/>
    <n v="1"/>
    <n v="82"/>
    <n v="83"/>
  </r>
  <r>
    <n v="291"/>
    <d v="2011-01-13T00:00:00"/>
    <x v="0"/>
    <x v="0"/>
    <x v="0"/>
    <d v="1900-01-11T02:00:00"/>
    <x v="0"/>
    <x v="4"/>
    <x v="0"/>
    <x v="10"/>
    <x v="5"/>
    <n v="0.41"/>
    <x v="16"/>
    <n v="2"/>
    <n v="81"/>
    <n v="83"/>
  </r>
  <r>
    <n v="342"/>
    <d v="2011-01-15T00:00:00"/>
    <x v="0"/>
    <x v="0"/>
    <x v="0"/>
    <d v="1900-01-13T05:00:00"/>
    <x v="0"/>
    <x v="0"/>
    <x v="1"/>
    <x v="18"/>
    <x v="23"/>
    <n v="0.36"/>
    <x v="7"/>
    <n v="29"/>
    <n v="54"/>
    <n v="83"/>
  </r>
  <r>
    <n v="405"/>
    <d v="2011-01-18T00:00:00"/>
    <x v="0"/>
    <x v="0"/>
    <x v="0"/>
    <d v="1900-01-15T20:00:00"/>
    <x v="0"/>
    <x v="3"/>
    <x v="1"/>
    <x v="10"/>
    <x v="16"/>
    <n v="0.87"/>
    <x v="0"/>
    <n v="0"/>
    <n v="83"/>
    <n v="83"/>
  </r>
  <r>
    <n v="495"/>
    <d v="2011-01-22T00:00:00"/>
    <x v="0"/>
    <x v="0"/>
    <x v="0"/>
    <d v="1900-01-19T14:00:00"/>
    <x v="0"/>
    <x v="0"/>
    <x v="0"/>
    <x v="8"/>
    <x v="3"/>
    <n v="0.28000000000000003"/>
    <x v="2"/>
    <n v="11"/>
    <n v="72"/>
    <n v="83"/>
  </r>
  <r>
    <n v="800"/>
    <d v="2011-02-05T00:00:00"/>
    <x v="0"/>
    <x v="0"/>
    <x v="1"/>
    <d v="1900-02-01T07:00:00"/>
    <x v="0"/>
    <x v="0"/>
    <x v="1"/>
    <x v="13"/>
    <x v="19"/>
    <n v="0.93"/>
    <x v="16"/>
    <n v="2"/>
    <n v="81"/>
    <n v="83"/>
  </r>
  <r>
    <n v="870"/>
    <d v="2011-02-08T00:00:00"/>
    <x v="0"/>
    <x v="0"/>
    <x v="1"/>
    <d v="1900-02-04T05:00:00"/>
    <x v="0"/>
    <x v="3"/>
    <x v="0"/>
    <x v="10"/>
    <x v="15"/>
    <n v="0.35"/>
    <x v="14"/>
    <n v="4"/>
    <n v="79"/>
    <n v="83"/>
  </r>
  <r>
    <n v="898"/>
    <d v="2011-02-09T00:00:00"/>
    <x v="0"/>
    <x v="0"/>
    <x v="1"/>
    <d v="1900-02-05T09:00:00"/>
    <x v="0"/>
    <x v="6"/>
    <x v="1"/>
    <x v="3"/>
    <x v="4"/>
    <n v="0.86"/>
    <x v="6"/>
    <n v="0"/>
    <n v="83"/>
    <n v="83"/>
  </r>
  <r>
    <n v="13"/>
    <d v="2011-01-01T00:00:00"/>
    <x v="0"/>
    <x v="0"/>
    <x v="0"/>
    <d v="1899-12-30T12:00:00"/>
    <x v="0"/>
    <x v="0"/>
    <x v="0"/>
    <x v="14"/>
    <x v="17"/>
    <n v="0.77"/>
    <x v="7"/>
    <n v="29"/>
    <n v="55"/>
    <n v="84"/>
  </r>
  <r>
    <n v="127"/>
    <d v="2011-01-06T00:00:00"/>
    <x v="0"/>
    <x v="0"/>
    <x v="0"/>
    <d v="1900-01-04T06:00:00"/>
    <x v="0"/>
    <x v="4"/>
    <x v="0"/>
    <x v="9"/>
    <x v="0"/>
    <n v="0.35"/>
    <x v="0"/>
    <n v="6"/>
    <n v="78"/>
    <n v="84"/>
  </r>
  <r>
    <n v="145"/>
    <d v="2011-01-07T00:00:00"/>
    <x v="0"/>
    <x v="0"/>
    <x v="0"/>
    <d v="1900-01-05T00:00:00"/>
    <x v="0"/>
    <x v="5"/>
    <x v="0"/>
    <x v="4"/>
    <x v="6"/>
    <n v="0.69"/>
    <x v="4"/>
    <n v="8"/>
    <n v="76"/>
    <n v="84"/>
  </r>
  <r>
    <n v="343"/>
    <d v="2011-01-15T00:00:00"/>
    <x v="0"/>
    <x v="0"/>
    <x v="0"/>
    <d v="1900-01-13T06:00:00"/>
    <x v="0"/>
    <x v="0"/>
    <x v="1"/>
    <x v="22"/>
    <x v="0"/>
    <n v="0.45"/>
    <x v="10"/>
    <n v="15"/>
    <n v="69"/>
    <n v="84"/>
  </r>
  <r>
    <n v="444"/>
    <d v="2011-01-20T00:00:00"/>
    <x v="0"/>
    <x v="0"/>
    <x v="0"/>
    <d v="1900-01-17T11:00:00"/>
    <x v="0"/>
    <x v="4"/>
    <x v="1"/>
    <x v="22"/>
    <x v="21"/>
    <n v="0.42"/>
    <x v="0"/>
    <n v="7"/>
    <n v="77"/>
    <n v="84"/>
  </r>
  <r>
    <n v="492"/>
    <d v="2011-01-22T00:00:00"/>
    <x v="0"/>
    <x v="0"/>
    <x v="0"/>
    <d v="1900-01-19T11:00:00"/>
    <x v="0"/>
    <x v="0"/>
    <x v="0"/>
    <x v="6"/>
    <x v="14"/>
    <n v="0.35"/>
    <x v="0"/>
    <n v="12"/>
    <n v="72"/>
    <n v="84"/>
  </r>
  <r>
    <n v="532"/>
    <d v="2011-01-24T00:00:00"/>
    <x v="0"/>
    <x v="0"/>
    <x v="0"/>
    <d v="1900-01-21T03:00:00"/>
    <x v="0"/>
    <x v="2"/>
    <x v="0"/>
    <x v="12"/>
    <x v="8"/>
    <n v="0.48"/>
    <x v="0"/>
    <n v="5"/>
    <n v="79"/>
    <n v="84"/>
  </r>
  <r>
    <n v="563"/>
    <d v="2011-01-25T00:00:00"/>
    <x v="0"/>
    <x v="0"/>
    <x v="0"/>
    <d v="1900-01-22T10:00:00"/>
    <x v="0"/>
    <x v="3"/>
    <x v="1"/>
    <x v="18"/>
    <x v="27"/>
    <n v="0.42"/>
    <x v="0"/>
    <n v="21"/>
    <n v="63"/>
    <n v="84"/>
  </r>
  <r>
    <n v="589"/>
    <d v="2011-01-27T00:00:00"/>
    <x v="0"/>
    <x v="0"/>
    <x v="0"/>
    <d v="1900-01-23T12:00:00"/>
    <x v="0"/>
    <x v="4"/>
    <x v="0"/>
    <x v="10"/>
    <x v="19"/>
    <n v="0.55000000000000004"/>
    <x v="8"/>
    <n v="2"/>
    <n v="82"/>
    <n v="84"/>
  </r>
  <r>
    <n v="654"/>
    <d v="2011-01-30T00:00:00"/>
    <x v="0"/>
    <x v="0"/>
    <x v="0"/>
    <d v="1900-01-26T05:00:00"/>
    <x v="0"/>
    <x v="1"/>
    <x v="0"/>
    <x v="13"/>
    <x v="0"/>
    <n v="0.61"/>
    <x v="8"/>
    <n v="13"/>
    <n v="71"/>
    <n v="84"/>
  </r>
  <r>
    <n v="801"/>
    <d v="2011-02-05T00:00:00"/>
    <x v="0"/>
    <x v="0"/>
    <x v="1"/>
    <d v="1900-02-01T08:00:00"/>
    <x v="0"/>
    <x v="0"/>
    <x v="1"/>
    <x v="13"/>
    <x v="19"/>
    <n v="0.93"/>
    <x v="16"/>
    <n v="6"/>
    <n v="78"/>
    <n v="84"/>
  </r>
  <r>
    <n v="897"/>
    <d v="2011-02-09T00:00:00"/>
    <x v="0"/>
    <x v="0"/>
    <x v="1"/>
    <d v="1900-02-05T08:00:00"/>
    <x v="0"/>
    <x v="6"/>
    <x v="2"/>
    <x v="3"/>
    <x v="4"/>
    <n v="0.86"/>
    <x v="6"/>
    <n v="0"/>
    <n v="84"/>
    <n v="84"/>
  </r>
  <r>
    <n v="936"/>
    <d v="2011-02-11T00:00:00"/>
    <x v="0"/>
    <x v="0"/>
    <x v="1"/>
    <d v="1900-02-06T23:00:00"/>
    <x v="0"/>
    <x v="5"/>
    <x v="0"/>
    <x v="22"/>
    <x v="0"/>
    <n v="0.26"/>
    <x v="10"/>
    <n v="17"/>
    <n v="67"/>
    <n v="84"/>
  </r>
  <r>
    <n v="956"/>
    <d v="2011-02-12T00:00:00"/>
    <x v="0"/>
    <x v="0"/>
    <x v="1"/>
    <d v="1900-02-07T19:00:00"/>
    <x v="0"/>
    <x v="0"/>
    <x v="0"/>
    <x v="10"/>
    <x v="6"/>
    <n v="0.41"/>
    <x v="10"/>
    <n v="13"/>
    <n v="71"/>
    <n v="84"/>
  </r>
  <r>
    <n v="131"/>
    <d v="2011-01-06T00:00:00"/>
    <x v="0"/>
    <x v="0"/>
    <x v="0"/>
    <d v="1900-01-04T10:00:00"/>
    <x v="0"/>
    <x v="4"/>
    <x v="0"/>
    <x v="9"/>
    <x v="1"/>
    <n v="0.38"/>
    <x v="6"/>
    <n v="12"/>
    <n v="74"/>
    <n v="86"/>
  </r>
  <r>
    <n v="387"/>
    <d v="2011-01-17T00:00:00"/>
    <x v="0"/>
    <x v="0"/>
    <x v="0"/>
    <d v="1900-01-15T02:00:00"/>
    <x v="1"/>
    <x v="2"/>
    <x v="1"/>
    <x v="5"/>
    <x v="6"/>
    <n v="0.43"/>
    <x v="8"/>
    <n v="12"/>
    <n v="74"/>
    <n v="86"/>
  </r>
  <r>
    <n v="679"/>
    <d v="2011-01-31T00:00:00"/>
    <x v="0"/>
    <x v="0"/>
    <x v="0"/>
    <d v="1900-01-27T06:00:00"/>
    <x v="0"/>
    <x v="2"/>
    <x v="1"/>
    <x v="5"/>
    <x v="5"/>
    <n v="0.55000000000000004"/>
    <x v="4"/>
    <n v="1"/>
    <n v="85"/>
    <n v="86"/>
  </r>
  <r>
    <n v="681"/>
    <d v="2011-01-31T00:00:00"/>
    <x v="0"/>
    <x v="0"/>
    <x v="0"/>
    <d v="1900-01-27T08:00:00"/>
    <x v="0"/>
    <x v="2"/>
    <x v="1"/>
    <x v="2"/>
    <x v="15"/>
    <n v="0.56000000000000005"/>
    <x v="2"/>
    <n v="3"/>
    <n v="83"/>
    <n v="86"/>
  </r>
  <r>
    <n v="770"/>
    <d v="2011-02-04T00:00:00"/>
    <x v="0"/>
    <x v="0"/>
    <x v="1"/>
    <d v="1900-01-31T01:00:00"/>
    <x v="0"/>
    <x v="5"/>
    <x v="1"/>
    <x v="0"/>
    <x v="19"/>
    <n v="0.48"/>
    <x v="6"/>
    <n v="8"/>
    <n v="78"/>
    <n v="86"/>
  </r>
  <r>
    <n v="154"/>
    <d v="2011-01-07T00:00:00"/>
    <x v="0"/>
    <x v="0"/>
    <x v="0"/>
    <d v="1900-01-05T09:00:00"/>
    <x v="0"/>
    <x v="5"/>
    <x v="1"/>
    <x v="4"/>
    <x v="6"/>
    <n v="0.37"/>
    <x v="6"/>
    <n v="5"/>
    <n v="82"/>
    <n v="87"/>
  </r>
  <r>
    <n v="515"/>
    <d v="2011-01-23T00:00:00"/>
    <x v="0"/>
    <x v="0"/>
    <x v="0"/>
    <d v="1900-01-20T10:00:00"/>
    <x v="0"/>
    <x v="1"/>
    <x v="0"/>
    <x v="3"/>
    <x v="20"/>
    <n v="0.33"/>
    <x v="3"/>
    <n v="12"/>
    <n v="75"/>
    <n v="87"/>
  </r>
  <r>
    <n v="742"/>
    <d v="2011-02-03T00:00:00"/>
    <x v="0"/>
    <x v="0"/>
    <x v="1"/>
    <d v="1900-01-29T21:00:00"/>
    <x v="0"/>
    <x v="4"/>
    <x v="0"/>
    <x v="3"/>
    <x v="8"/>
    <n v="0.5"/>
    <x v="13"/>
    <n v="1"/>
    <n v="86"/>
    <n v="87"/>
  </r>
  <r>
    <n v="765"/>
    <d v="2011-02-04T00:00:00"/>
    <x v="0"/>
    <x v="0"/>
    <x v="1"/>
    <d v="1900-01-30T20:00:00"/>
    <x v="0"/>
    <x v="5"/>
    <x v="0"/>
    <x v="3"/>
    <x v="6"/>
    <n v="0.59"/>
    <x v="0"/>
    <n v="0"/>
    <n v="87"/>
    <n v="87"/>
  </r>
  <r>
    <n v="55"/>
    <d v="2011-01-03T00:00:00"/>
    <x v="0"/>
    <x v="0"/>
    <x v="0"/>
    <d v="1900-01-01T06:00:00"/>
    <x v="0"/>
    <x v="2"/>
    <x v="0"/>
    <x v="2"/>
    <x v="3"/>
    <n v="0.43"/>
    <x v="3"/>
    <n v="7"/>
    <n v="81"/>
    <n v="88"/>
  </r>
  <r>
    <n v="99"/>
    <d v="2011-01-05T00:00:00"/>
    <x v="0"/>
    <x v="0"/>
    <x v="0"/>
    <d v="1900-01-03T02:00:00"/>
    <x v="0"/>
    <x v="6"/>
    <x v="0"/>
    <x v="5"/>
    <x v="15"/>
    <n v="0.43"/>
    <x v="2"/>
    <n v="1"/>
    <n v="87"/>
    <n v="88"/>
  </r>
  <r>
    <n v="850"/>
    <d v="2011-02-07T00:00:00"/>
    <x v="0"/>
    <x v="0"/>
    <x v="1"/>
    <d v="1900-02-03T09:00:00"/>
    <x v="0"/>
    <x v="2"/>
    <x v="1"/>
    <x v="18"/>
    <x v="21"/>
    <n v="0.7"/>
    <x v="8"/>
    <n v="6"/>
    <n v="82"/>
    <n v="88"/>
  </r>
  <r>
    <n v="896"/>
    <d v="2011-02-09T00:00:00"/>
    <x v="0"/>
    <x v="0"/>
    <x v="1"/>
    <d v="1900-02-05T07:00:00"/>
    <x v="0"/>
    <x v="6"/>
    <x v="2"/>
    <x v="3"/>
    <x v="8"/>
    <n v="0.86"/>
    <x v="10"/>
    <n v="1"/>
    <n v="87"/>
    <n v="88"/>
  </r>
  <r>
    <n v="108"/>
    <d v="2011-01-05T00:00:00"/>
    <x v="0"/>
    <x v="0"/>
    <x v="0"/>
    <d v="1900-01-03T11:00:00"/>
    <x v="0"/>
    <x v="6"/>
    <x v="0"/>
    <x v="22"/>
    <x v="22"/>
    <n v="0.28000000000000003"/>
    <x v="1"/>
    <n v="4"/>
    <n v="85"/>
    <n v="89"/>
  </r>
  <r>
    <n v="112"/>
    <d v="2011-01-05T00:00:00"/>
    <x v="0"/>
    <x v="0"/>
    <x v="0"/>
    <d v="1900-01-03T15:00:00"/>
    <x v="0"/>
    <x v="6"/>
    <x v="0"/>
    <x v="10"/>
    <x v="9"/>
    <n v="0.47"/>
    <x v="6"/>
    <n v="7"/>
    <n v="82"/>
    <n v="89"/>
  </r>
  <r>
    <n v="337"/>
    <d v="2011-01-15T00:00:00"/>
    <x v="0"/>
    <x v="0"/>
    <x v="0"/>
    <d v="1900-01-13T00:00:00"/>
    <x v="0"/>
    <x v="0"/>
    <x v="0"/>
    <x v="0"/>
    <x v="9"/>
    <n v="0.48"/>
    <x v="5"/>
    <n v="15"/>
    <n v="74"/>
    <n v="89"/>
  </r>
  <r>
    <n v="614"/>
    <d v="2011-01-28T00:00:00"/>
    <x v="0"/>
    <x v="0"/>
    <x v="0"/>
    <d v="1900-01-24T13:00:00"/>
    <x v="0"/>
    <x v="5"/>
    <x v="1"/>
    <x v="0"/>
    <x v="19"/>
    <n v="0.75"/>
    <x v="4"/>
    <n v="5"/>
    <n v="84"/>
    <n v="89"/>
  </r>
  <r>
    <n v="816"/>
    <d v="2011-02-06T00:00:00"/>
    <x v="0"/>
    <x v="0"/>
    <x v="1"/>
    <d v="1900-02-01T23:00:00"/>
    <x v="0"/>
    <x v="1"/>
    <x v="0"/>
    <x v="22"/>
    <x v="0"/>
    <n v="0.52"/>
    <x v="10"/>
    <n v="15"/>
    <n v="74"/>
    <n v="89"/>
  </r>
  <r>
    <n v="317"/>
    <d v="2011-01-14T00:00:00"/>
    <x v="0"/>
    <x v="0"/>
    <x v="0"/>
    <d v="1900-01-12T04:00:00"/>
    <x v="0"/>
    <x v="5"/>
    <x v="0"/>
    <x v="10"/>
    <x v="19"/>
    <n v="0.41"/>
    <x v="8"/>
    <n v="3"/>
    <n v="87"/>
    <n v="90"/>
  </r>
  <r>
    <n v="415"/>
    <d v="2011-01-19T00:00:00"/>
    <x v="0"/>
    <x v="0"/>
    <x v="0"/>
    <d v="1900-01-16T06:00:00"/>
    <x v="0"/>
    <x v="6"/>
    <x v="1"/>
    <x v="0"/>
    <x v="1"/>
    <n v="0.92"/>
    <x v="8"/>
    <n v="1"/>
    <n v="89"/>
    <n v="90"/>
  </r>
  <r>
    <n v="773"/>
    <d v="2011-02-04T00:00:00"/>
    <x v="0"/>
    <x v="0"/>
    <x v="1"/>
    <d v="1900-01-31T04:00:00"/>
    <x v="0"/>
    <x v="5"/>
    <x v="1"/>
    <x v="13"/>
    <x v="16"/>
    <n v="0.48"/>
    <x v="10"/>
    <n v="9"/>
    <n v="81"/>
    <n v="90"/>
  </r>
  <r>
    <n v="363"/>
    <d v="2011-01-16T00:00:00"/>
    <x v="0"/>
    <x v="0"/>
    <x v="0"/>
    <d v="1900-01-14T02:00:00"/>
    <x v="0"/>
    <x v="1"/>
    <x v="0"/>
    <x v="13"/>
    <x v="16"/>
    <n v="0.36"/>
    <x v="10"/>
    <n v="22"/>
    <n v="69"/>
    <n v="91"/>
  </r>
  <r>
    <n v="448"/>
    <d v="2011-01-20T00:00:00"/>
    <x v="0"/>
    <x v="0"/>
    <x v="0"/>
    <d v="1900-01-17T15:00:00"/>
    <x v="0"/>
    <x v="4"/>
    <x v="1"/>
    <x v="22"/>
    <x v="23"/>
    <n v="0.49"/>
    <x v="4"/>
    <n v="8"/>
    <n v="83"/>
    <n v="91"/>
  </r>
  <r>
    <n v="635"/>
    <d v="2011-01-29T00:00:00"/>
    <x v="0"/>
    <x v="0"/>
    <x v="0"/>
    <d v="1900-01-25T10:00:00"/>
    <x v="0"/>
    <x v="0"/>
    <x v="0"/>
    <x v="0"/>
    <x v="0"/>
    <n v="0.6"/>
    <x v="0"/>
    <n v="9"/>
    <n v="82"/>
    <n v="91"/>
  </r>
  <r>
    <n v="731"/>
    <d v="2011-02-02T00:00:00"/>
    <x v="0"/>
    <x v="0"/>
    <x v="1"/>
    <d v="1900-01-29T10:00:00"/>
    <x v="0"/>
    <x v="6"/>
    <x v="0"/>
    <x v="13"/>
    <x v="19"/>
    <n v="0.45"/>
    <x v="19"/>
    <n v="3"/>
    <n v="88"/>
    <n v="91"/>
  </r>
  <r>
    <n v="772"/>
    <d v="2011-02-04T00:00:00"/>
    <x v="0"/>
    <x v="0"/>
    <x v="1"/>
    <d v="1900-01-31T03:00:00"/>
    <x v="0"/>
    <x v="5"/>
    <x v="1"/>
    <x v="13"/>
    <x v="16"/>
    <n v="0.45"/>
    <x v="6"/>
    <n v="15"/>
    <n v="76"/>
    <n v="91"/>
  </r>
  <r>
    <n v="202"/>
    <d v="2011-01-09T00:00:00"/>
    <x v="0"/>
    <x v="0"/>
    <x v="0"/>
    <d v="1900-01-07T09:00:00"/>
    <x v="0"/>
    <x v="1"/>
    <x v="0"/>
    <x v="4"/>
    <x v="14"/>
    <n v="0.34"/>
    <x v="16"/>
    <n v="13"/>
    <n v="79"/>
    <n v="92"/>
  </r>
  <r>
    <n v="320"/>
    <d v="2011-01-14T00:00:00"/>
    <x v="0"/>
    <x v="0"/>
    <x v="0"/>
    <d v="1900-01-12T07:00:00"/>
    <x v="0"/>
    <x v="5"/>
    <x v="0"/>
    <x v="2"/>
    <x v="5"/>
    <n v="0.59"/>
    <x v="1"/>
    <n v="3"/>
    <n v="89"/>
    <n v="92"/>
  </r>
  <r>
    <n v="391"/>
    <d v="2011-01-17T00:00:00"/>
    <x v="0"/>
    <x v="0"/>
    <x v="0"/>
    <d v="1900-01-15T06:00:00"/>
    <x v="1"/>
    <x v="2"/>
    <x v="1"/>
    <x v="5"/>
    <x v="14"/>
    <n v="0.55000000000000004"/>
    <x v="10"/>
    <n v="7"/>
    <n v="85"/>
    <n v="92"/>
  </r>
  <r>
    <n v="17"/>
    <d v="2011-01-01T00:00:00"/>
    <x v="0"/>
    <x v="0"/>
    <x v="0"/>
    <d v="1899-12-30T16:00:00"/>
    <x v="0"/>
    <x v="0"/>
    <x v="1"/>
    <x v="14"/>
    <x v="17"/>
    <n v="0.82"/>
    <x v="9"/>
    <n v="41"/>
    <n v="52"/>
    <n v="93"/>
  </r>
  <r>
    <n v="36"/>
    <d v="2011-01-02T00:00:00"/>
    <x v="0"/>
    <x v="0"/>
    <x v="0"/>
    <d v="1899-12-31T11:00:00"/>
    <x v="0"/>
    <x v="1"/>
    <x v="1"/>
    <x v="16"/>
    <x v="21"/>
    <n v="0.66"/>
    <x v="9"/>
    <n v="20"/>
    <n v="73"/>
    <n v="93"/>
  </r>
  <r>
    <n v="360"/>
    <d v="2011-01-16T00:00:00"/>
    <x v="0"/>
    <x v="0"/>
    <x v="0"/>
    <d v="1900-01-13T23:00:00"/>
    <x v="0"/>
    <x v="1"/>
    <x v="0"/>
    <x v="0"/>
    <x v="9"/>
    <n v="0.44"/>
    <x v="10"/>
    <n v="23"/>
    <n v="70"/>
    <n v="93"/>
  </r>
  <r>
    <n v="386"/>
    <d v="2011-01-17T00:00:00"/>
    <x v="0"/>
    <x v="0"/>
    <x v="0"/>
    <d v="1900-01-15T01:00:00"/>
    <x v="1"/>
    <x v="2"/>
    <x v="1"/>
    <x v="5"/>
    <x v="5"/>
    <n v="0.47"/>
    <x v="4"/>
    <n v="13"/>
    <n v="80"/>
    <n v="93"/>
  </r>
  <r>
    <n v="388"/>
    <d v="2011-01-17T00:00:00"/>
    <x v="0"/>
    <x v="0"/>
    <x v="0"/>
    <d v="1900-01-15T03:00:00"/>
    <x v="1"/>
    <x v="2"/>
    <x v="1"/>
    <x v="4"/>
    <x v="6"/>
    <n v="0.47"/>
    <x v="6"/>
    <n v="21"/>
    <n v="72"/>
    <n v="93"/>
  </r>
  <r>
    <n v="561"/>
    <d v="2011-01-25T00:00:00"/>
    <x v="0"/>
    <x v="0"/>
    <x v="0"/>
    <d v="1900-01-22T08:00:00"/>
    <x v="0"/>
    <x v="3"/>
    <x v="1"/>
    <x v="9"/>
    <x v="16"/>
    <n v="0.56000000000000005"/>
    <x v="4"/>
    <n v="21"/>
    <n v="72"/>
    <n v="93"/>
  </r>
  <r>
    <n v="14"/>
    <d v="2011-01-01T00:00:00"/>
    <x v="0"/>
    <x v="0"/>
    <x v="0"/>
    <d v="1899-12-30T13:00:00"/>
    <x v="0"/>
    <x v="0"/>
    <x v="1"/>
    <x v="19"/>
    <x v="25"/>
    <n v="0.72"/>
    <x v="9"/>
    <n v="47"/>
    <n v="47"/>
    <n v="94"/>
  </r>
  <r>
    <n v="76"/>
    <d v="2011-01-04T00:00:00"/>
    <x v="0"/>
    <x v="0"/>
    <x v="0"/>
    <d v="1900-01-02T03:00:00"/>
    <x v="0"/>
    <x v="3"/>
    <x v="0"/>
    <x v="8"/>
    <x v="4"/>
    <n v="0.74"/>
    <x v="4"/>
    <n v="2"/>
    <n v="92"/>
    <n v="94"/>
  </r>
  <r>
    <n v="219"/>
    <d v="2011-01-10T00:00:00"/>
    <x v="0"/>
    <x v="0"/>
    <x v="0"/>
    <d v="1900-01-08T02:00:00"/>
    <x v="0"/>
    <x v="2"/>
    <x v="1"/>
    <x v="3"/>
    <x v="8"/>
    <n v="0.5"/>
    <x v="10"/>
    <n v="2"/>
    <n v="92"/>
    <n v="94"/>
  </r>
  <r>
    <n v="122"/>
    <d v="2011-01-06T00:00:00"/>
    <x v="0"/>
    <x v="0"/>
    <x v="0"/>
    <d v="1900-01-04T01:00:00"/>
    <x v="0"/>
    <x v="4"/>
    <x v="1"/>
    <x v="2"/>
    <x v="9"/>
    <n v="0.59"/>
    <x v="0"/>
    <n v="0"/>
    <n v="95"/>
    <n v="95"/>
  </r>
  <r>
    <n v="157"/>
    <d v="2011-01-07T00:00:00"/>
    <x v="0"/>
    <x v="0"/>
    <x v="0"/>
    <d v="1900-01-05T12:00:00"/>
    <x v="0"/>
    <x v="5"/>
    <x v="0"/>
    <x v="2"/>
    <x v="5"/>
    <n v="0.55000000000000004"/>
    <x v="1"/>
    <n v="3"/>
    <n v="92"/>
    <n v="95"/>
  </r>
  <r>
    <n v="176"/>
    <d v="2011-01-08T00:00:00"/>
    <x v="0"/>
    <x v="0"/>
    <x v="0"/>
    <d v="1900-01-06T07:00:00"/>
    <x v="0"/>
    <x v="0"/>
    <x v="0"/>
    <x v="4"/>
    <x v="14"/>
    <n v="0.32"/>
    <x v="19"/>
    <n v="12"/>
    <n v="83"/>
    <n v="95"/>
  </r>
  <r>
    <n v="229"/>
    <d v="2011-01-10T00:00:00"/>
    <x v="0"/>
    <x v="0"/>
    <x v="0"/>
    <d v="1900-01-08T12:00:00"/>
    <x v="0"/>
    <x v="2"/>
    <x v="0"/>
    <x v="2"/>
    <x v="14"/>
    <n v="0.47"/>
    <x v="6"/>
    <n v="3"/>
    <n v="92"/>
    <n v="95"/>
  </r>
  <r>
    <n v="250"/>
    <d v="2011-01-11T00:00:00"/>
    <x v="0"/>
    <x v="0"/>
    <x v="0"/>
    <d v="1900-01-09T09:00:00"/>
    <x v="0"/>
    <x v="3"/>
    <x v="2"/>
    <x v="2"/>
    <x v="15"/>
    <n v="0.93"/>
    <x v="8"/>
    <n v="1"/>
    <n v="94"/>
    <n v="95"/>
  </r>
  <r>
    <n v="837"/>
    <d v="2011-02-07T00:00:00"/>
    <x v="0"/>
    <x v="0"/>
    <x v="1"/>
    <d v="1900-02-02T20:00:00"/>
    <x v="0"/>
    <x v="2"/>
    <x v="0"/>
    <x v="5"/>
    <x v="19"/>
    <n v="0.86"/>
    <x v="0"/>
    <n v="6"/>
    <n v="89"/>
    <n v="95"/>
  </r>
  <r>
    <n v="987"/>
    <d v="2011-02-13T00:00:00"/>
    <x v="0"/>
    <x v="0"/>
    <x v="1"/>
    <d v="1900-02-09T02:00:00"/>
    <x v="0"/>
    <x v="1"/>
    <x v="0"/>
    <x v="1"/>
    <x v="2"/>
    <n v="0.32"/>
    <x v="9"/>
    <n v="17"/>
    <n v="78"/>
    <n v="95"/>
  </r>
  <r>
    <n v="475"/>
    <d v="2011-01-21T00:00:00"/>
    <x v="0"/>
    <x v="0"/>
    <x v="0"/>
    <d v="1900-01-18T18:00:00"/>
    <x v="0"/>
    <x v="5"/>
    <x v="0"/>
    <x v="8"/>
    <x v="20"/>
    <n v="0.3"/>
    <x v="13"/>
    <n v="3"/>
    <n v="93"/>
    <n v="96"/>
  </r>
  <r>
    <n v="754"/>
    <d v="2011-02-03T00:00:00"/>
    <x v="0"/>
    <x v="0"/>
    <x v="1"/>
    <d v="1900-01-30T09:00:00"/>
    <x v="0"/>
    <x v="4"/>
    <x v="0"/>
    <x v="4"/>
    <x v="1"/>
    <n v="0.4"/>
    <x v="0"/>
    <n v="4"/>
    <n v="92"/>
    <n v="96"/>
  </r>
  <r>
    <n v="82"/>
    <d v="2011-01-04T00:00:00"/>
    <x v="0"/>
    <x v="0"/>
    <x v="0"/>
    <d v="1900-01-02T09:00:00"/>
    <x v="0"/>
    <x v="3"/>
    <x v="0"/>
    <x v="0"/>
    <x v="9"/>
    <n v="0.56000000000000005"/>
    <x v="2"/>
    <n v="18"/>
    <n v="79"/>
    <n v="97"/>
  </r>
  <r>
    <n v="472"/>
    <d v="2011-01-21T00:00:00"/>
    <x v="0"/>
    <x v="0"/>
    <x v="0"/>
    <d v="1900-01-18T15:00:00"/>
    <x v="0"/>
    <x v="5"/>
    <x v="0"/>
    <x v="2"/>
    <x v="3"/>
    <n v="0.26"/>
    <x v="12"/>
    <n v="0"/>
    <n v="97"/>
    <n v="97"/>
  </r>
  <r>
    <n v="653"/>
    <d v="2011-01-30T00:00:00"/>
    <x v="0"/>
    <x v="0"/>
    <x v="0"/>
    <d v="1900-01-26T04:00:00"/>
    <x v="0"/>
    <x v="1"/>
    <x v="0"/>
    <x v="22"/>
    <x v="22"/>
    <n v="0.52"/>
    <x v="8"/>
    <n v="10"/>
    <n v="87"/>
    <n v="97"/>
  </r>
  <r>
    <n v="920"/>
    <d v="2011-02-10T00:00:00"/>
    <x v="0"/>
    <x v="0"/>
    <x v="1"/>
    <d v="1900-02-06T07:00:00"/>
    <x v="0"/>
    <x v="4"/>
    <x v="0"/>
    <x v="3"/>
    <x v="15"/>
    <n v="0.31"/>
    <x v="1"/>
    <n v="4"/>
    <n v="93"/>
    <n v="97"/>
  </r>
  <r>
    <n v="174"/>
    <d v="2011-01-08T00:00:00"/>
    <x v="0"/>
    <x v="0"/>
    <x v="0"/>
    <d v="1900-01-06T05:00:00"/>
    <x v="0"/>
    <x v="0"/>
    <x v="1"/>
    <x v="4"/>
    <x v="15"/>
    <n v="0.59"/>
    <x v="12"/>
    <n v="8"/>
    <n v="90"/>
    <n v="98"/>
  </r>
  <r>
    <n v="445"/>
    <d v="2011-01-20T00:00:00"/>
    <x v="0"/>
    <x v="0"/>
    <x v="0"/>
    <d v="1900-01-17T12:00:00"/>
    <x v="0"/>
    <x v="4"/>
    <x v="1"/>
    <x v="13"/>
    <x v="0"/>
    <n v="0.45"/>
    <x v="8"/>
    <n v="12"/>
    <n v="86"/>
    <n v="98"/>
  </r>
  <r>
    <n v="1000"/>
    <d v="2011-02-14T00:00:00"/>
    <x v="0"/>
    <x v="0"/>
    <x v="1"/>
    <d v="1900-02-09T15:00:00"/>
    <x v="0"/>
    <x v="2"/>
    <x v="0"/>
    <x v="17"/>
    <x v="23"/>
    <n v="0.46"/>
    <x v="9"/>
    <n v="2"/>
    <n v="96"/>
    <n v="98"/>
  </r>
  <r>
    <n v="239"/>
    <d v="2011-01-11T00:00:00"/>
    <x v="0"/>
    <x v="0"/>
    <x v="0"/>
    <d v="1900-01-08T22:00:00"/>
    <x v="0"/>
    <x v="3"/>
    <x v="1"/>
    <x v="2"/>
    <x v="9"/>
    <n v="0.55000000000000004"/>
    <x v="0"/>
    <n v="2"/>
    <n v="97"/>
    <n v="99"/>
  </r>
  <r>
    <n v="297"/>
    <d v="2011-01-13T00:00:00"/>
    <x v="0"/>
    <x v="0"/>
    <x v="0"/>
    <d v="1900-01-11T08:00:00"/>
    <x v="0"/>
    <x v="4"/>
    <x v="0"/>
    <x v="2"/>
    <x v="4"/>
    <n v="0.47"/>
    <x v="10"/>
    <n v="1"/>
    <n v="98"/>
    <n v="99"/>
  </r>
  <r>
    <n v="365"/>
    <d v="2011-01-16T00:00:00"/>
    <x v="0"/>
    <x v="0"/>
    <x v="0"/>
    <d v="1900-01-14T04:00:00"/>
    <x v="0"/>
    <x v="1"/>
    <x v="0"/>
    <x v="0"/>
    <x v="9"/>
    <n v="0.38"/>
    <x v="5"/>
    <n v="22"/>
    <n v="77"/>
    <n v="99"/>
  </r>
  <r>
    <n v="404"/>
    <d v="2011-01-18T00:00:00"/>
    <x v="0"/>
    <x v="0"/>
    <x v="0"/>
    <d v="1900-01-15T19:00:00"/>
    <x v="0"/>
    <x v="3"/>
    <x v="1"/>
    <x v="10"/>
    <x v="9"/>
    <n v="0.8"/>
    <x v="4"/>
    <n v="1"/>
    <n v="98"/>
    <n v="99"/>
  </r>
  <r>
    <n v="513"/>
    <d v="2011-01-23T00:00:00"/>
    <x v="0"/>
    <x v="0"/>
    <x v="0"/>
    <d v="1900-01-20T08:00:00"/>
    <x v="0"/>
    <x v="1"/>
    <x v="0"/>
    <x v="3"/>
    <x v="3"/>
    <n v="0.43"/>
    <x v="5"/>
    <n v="22"/>
    <n v="77"/>
    <n v="99"/>
  </r>
  <r>
    <n v="632"/>
    <d v="2011-01-29T00:00:00"/>
    <x v="0"/>
    <x v="0"/>
    <x v="0"/>
    <d v="1900-01-25T07:00:00"/>
    <x v="0"/>
    <x v="0"/>
    <x v="1"/>
    <x v="10"/>
    <x v="9"/>
    <n v="0.6"/>
    <x v="4"/>
    <n v="10"/>
    <n v="89"/>
    <n v="99"/>
  </r>
  <r>
    <n v="774"/>
    <d v="2011-02-04T00:00:00"/>
    <x v="0"/>
    <x v="0"/>
    <x v="1"/>
    <d v="1900-01-31T05:00:00"/>
    <x v="0"/>
    <x v="5"/>
    <x v="1"/>
    <x v="22"/>
    <x v="0"/>
    <n v="0.42"/>
    <x v="5"/>
    <n v="8"/>
    <n v="91"/>
    <n v="99"/>
  </r>
  <r>
    <n v="884"/>
    <d v="2011-02-09T00:00:00"/>
    <x v="0"/>
    <x v="0"/>
    <x v="1"/>
    <d v="1900-02-04T19:00:00"/>
    <x v="0"/>
    <x v="6"/>
    <x v="0"/>
    <x v="15"/>
    <x v="20"/>
    <n v="0.49"/>
    <x v="8"/>
    <n v="4"/>
    <n v="95"/>
    <n v="99"/>
  </r>
  <r>
    <n v="907"/>
    <d v="2011-02-10T00:00:00"/>
    <x v="0"/>
    <x v="0"/>
    <x v="1"/>
    <d v="1900-02-05T18:00:00"/>
    <x v="0"/>
    <x v="4"/>
    <x v="0"/>
    <x v="7"/>
    <x v="10"/>
    <n v="0.5"/>
    <x v="11"/>
    <n v="0"/>
    <n v="99"/>
    <n v="99"/>
  </r>
  <r>
    <n v="78"/>
    <d v="2011-01-04T00:00:00"/>
    <x v="0"/>
    <x v="0"/>
    <x v="0"/>
    <d v="1900-01-02T05:00:00"/>
    <x v="0"/>
    <x v="3"/>
    <x v="0"/>
    <x v="2"/>
    <x v="4"/>
    <n v="0.64"/>
    <x v="5"/>
    <n v="2"/>
    <n v="98"/>
    <n v="100"/>
  </r>
  <r>
    <n v="861"/>
    <d v="2011-02-08T00:00:00"/>
    <x v="0"/>
    <x v="0"/>
    <x v="1"/>
    <d v="1900-02-03T20:00:00"/>
    <x v="0"/>
    <x v="3"/>
    <x v="0"/>
    <x v="0"/>
    <x v="5"/>
    <n v="0.65"/>
    <x v="11"/>
    <n v="3"/>
    <n v="97"/>
    <n v="100"/>
  </r>
  <r>
    <n v="338"/>
    <d v="2011-01-15T00:00:00"/>
    <x v="0"/>
    <x v="0"/>
    <x v="0"/>
    <d v="1900-01-13T01:00:00"/>
    <x v="0"/>
    <x v="0"/>
    <x v="0"/>
    <x v="13"/>
    <x v="1"/>
    <n v="0.38"/>
    <x v="9"/>
    <n v="21"/>
    <n v="80"/>
    <n v="101"/>
  </r>
  <r>
    <n v="439"/>
    <d v="2011-01-20T00:00:00"/>
    <x v="0"/>
    <x v="0"/>
    <x v="0"/>
    <d v="1900-01-17T06:00:00"/>
    <x v="0"/>
    <x v="4"/>
    <x v="0"/>
    <x v="10"/>
    <x v="6"/>
    <n v="0.55000000000000004"/>
    <x v="5"/>
    <n v="1"/>
    <n v="100"/>
    <n v="101"/>
  </r>
  <r>
    <n v="604"/>
    <d v="2011-01-28T00:00:00"/>
    <x v="0"/>
    <x v="0"/>
    <x v="0"/>
    <d v="1900-01-24T03:00:00"/>
    <x v="0"/>
    <x v="5"/>
    <x v="2"/>
    <x v="5"/>
    <x v="6"/>
    <n v="0.86"/>
    <x v="1"/>
    <n v="6"/>
    <n v="95"/>
    <n v="101"/>
  </r>
  <r>
    <n v="873"/>
    <d v="2011-02-08T00:00:00"/>
    <x v="0"/>
    <x v="0"/>
    <x v="1"/>
    <d v="1900-02-04T08:00:00"/>
    <x v="0"/>
    <x v="3"/>
    <x v="0"/>
    <x v="2"/>
    <x v="8"/>
    <n v="0.4"/>
    <x v="15"/>
    <n v="1"/>
    <n v="100"/>
    <n v="101"/>
  </r>
  <r>
    <n v="941"/>
    <d v="2011-02-11T00:00:00"/>
    <x v="0"/>
    <x v="0"/>
    <x v="1"/>
    <d v="1900-02-07T04:00:00"/>
    <x v="0"/>
    <x v="5"/>
    <x v="0"/>
    <x v="9"/>
    <x v="23"/>
    <n v="0.33"/>
    <x v="0"/>
    <n v="7"/>
    <n v="94"/>
    <n v="101"/>
  </r>
  <r>
    <n v="175"/>
    <d v="2011-01-08T00:00:00"/>
    <x v="0"/>
    <x v="0"/>
    <x v="0"/>
    <d v="1900-01-06T06:00:00"/>
    <x v="0"/>
    <x v="0"/>
    <x v="0"/>
    <x v="4"/>
    <x v="15"/>
    <n v="0.44"/>
    <x v="13"/>
    <n v="7"/>
    <n v="95"/>
    <n v="102"/>
  </r>
  <r>
    <n v="534"/>
    <d v="2011-01-24T00:00:00"/>
    <x v="0"/>
    <x v="0"/>
    <x v="0"/>
    <d v="1900-01-21T05:00:00"/>
    <x v="0"/>
    <x v="2"/>
    <x v="0"/>
    <x v="15"/>
    <x v="4"/>
    <n v="0.41"/>
    <x v="0"/>
    <n v="4"/>
    <n v="98"/>
    <n v="102"/>
  </r>
  <r>
    <n v="494"/>
    <d v="2011-01-22T00:00:00"/>
    <x v="0"/>
    <x v="0"/>
    <x v="0"/>
    <d v="1900-01-19T13:00:00"/>
    <x v="0"/>
    <x v="0"/>
    <x v="0"/>
    <x v="8"/>
    <x v="4"/>
    <n v="0.28000000000000003"/>
    <x v="0"/>
    <n v="10"/>
    <n v="93"/>
    <n v="103"/>
  </r>
  <r>
    <n v="728"/>
    <d v="2011-02-02T00:00:00"/>
    <x v="0"/>
    <x v="0"/>
    <x v="1"/>
    <d v="1900-01-29T07:00:00"/>
    <x v="0"/>
    <x v="6"/>
    <x v="0"/>
    <x v="16"/>
    <x v="21"/>
    <n v="0.71"/>
    <x v="9"/>
    <n v="8"/>
    <n v="95"/>
    <n v="103"/>
  </r>
  <r>
    <n v="777"/>
    <d v="2011-02-04T00:00:00"/>
    <x v="0"/>
    <x v="0"/>
    <x v="1"/>
    <d v="1900-01-31T08:00:00"/>
    <x v="0"/>
    <x v="5"/>
    <x v="1"/>
    <x v="0"/>
    <x v="19"/>
    <n v="0.65"/>
    <x v="4"/>
    <n v="1"/>
    <n v="102"/>
    <n v="103"/>
  </r>
  <r>
    <n v="361"/>
    <d v="2011-01-16T00:00:00"/>
    <x v="0"/>
    <x v="0"/>
    <x v="0"/>
    <d v="1900-01-14T00:00:00"/>
    <x v="0"/>
    <x v="1"/>
    <x v="0"/>
    <x v="0"/>
    <x v="6"/>
    <n v="0.41"/>
    <x v="7"/>
    <n v="29"/>
    <n v="75"/>
    <n v="104"/>
  </r>
  <r>
    <n v="424"/>
    <d v="2011-01-19T00:00:00"/>
    <x v="0"/>
    <x v="0"/>
    <x v="0"/>
    <d v="1900-01-16T15:00:00"/>
    <x v="0"/>
    <x v="6"/>
    <x v="0"/>
    <x v="20"/>
    <x v="26"/>
    <n v="0.57999999999999996"/>
    <x v="3"/>
    <n v="10"/>
    <n v="94"/>
    <n v="104"/>
  </r>
  <r>
    <n v="590"/>
    <d v="2011-01-27T00:00:00"/>
    <x v="0"/>
    <x v="0"/>
    <x v="0"/>
    <d v="1900-01-23T13:00:00"/>
    <x v="0"/>
    <x v="4"/>
    <x v="0"/>
    <x v="4"/>
    <x v="9"/>
    <n v="0.69"/>
    <x v="1"/>
    <n v="3"/>
    <n v="101"/>
    <n v="104"/>
  </r>
  <r>
    <n v="366"/>
    <d v="2011-01-16T00:00:00"/>
    <x v="0"/>
    <x v="0"/>
    <x v="0"/>
    <d v="1900-01-14T05:00:00"/>
    <x v="0"/>
    <x v="1"/>
    <x v="0"/>
    <x v="10"/>
    <x v="6"/>
    <n v="0.37"/>
    <x v="10"/>
    <n v="23"/>
    <n v="82"/>
    <n v="105"/>
  </r>
  <r>
    <n v="979"/>
    <d v="2011-02-13T00:00:00"/>
    <x v="0"/>
    <x v="0"/>
    <x v="1"/>
    <d v="1900-02-08T18:00:00"/>
    <x v="0"/>
    <x v="1"/>
    <x v="0"/>
    <x v="22"/>
    <x v="16"/>
    <n v="0.45"/>
    <x v="13"/>
    <n v="19"/>
    <n v="86"/>
    <n v="105"/>
  </r>
  <r>
    <n v="15"/>
    <d v="2011-01-01T00:00:00"/>
    <x v="0"/>
    <x v="0"/>
    <x v="0"/>
    <d v="1899-12-30T14:00:00"/>
    <x v="0"/>
    <x v="0"/>
    <x v="1"/>
    <x v="19"/>
    <x v="25"/>
    <n v="0.72"/>
    <x v="7"/>
    <n v="35"/>
    <n v="71"/>
    <n v="106"/>
  </r>
  <r>
    <n v="544"/>
    <d v="2011-01-24T00:00:00"/>
    <x v="0"/>
    <x v="0"/>
    <x v="0"/>
    <d v="1900-01-21T15:00:00"/>
    <x v="0"/>
    <x v="2"/>
    <x v="0"/>
    <x v="3"/>
    <x v="4"/>
    <n v="0.54"/>
    <x v="6"/>
    <n v="5"/>
    <n v="101"/>
    <n v="106"/>
  </r>
  <r>
    <n v="560"/>
    <d v="2011-01-25T00:00:00"/>
    <x v="0"/>
    <x v="0"/>
    <x v="0"/>
    <d v="1900-01-22T07:00:00"/>
    <x v="0"/>
    <x v="3"/>
    <x v="1"/>
    <x v="9"/>
    <x v="0"/>
    <n v="0.56000000000000005"/>
    <x v="1"/>
    <n v="21"/>
    <n v="85"/>
    <n v="106"/>
  </r>
  <r>
    <n v="634"/>
    <d v="2011-01-29T00:00:00"/>
    <x v="0"/>
    <x v="0"/>
    <x v="0"/>
    <d v="1900-01-25T09:00:00"/>
    <x v="0"/>
    <x v="0"/>
    <x v="0"/>
    <x v="0"/>
    <x v="19"/>
    <n v="0.6"/>
    <x v="6"/>
    <n v="19"/>
    <n v="88"/>
    <n v="107"/>
  </r>
  <r>
    <n v="555"/>
    <d v="2011-01-25T00:00:00"/>
    <x v="0"/>
    <x v="0"/>
    <x v="0"/>
    <d v="1900-01-22T02:00:00"/>
    <x v="0"/>
    <x v="3"/>
    <x v="0"/>
    <x v="2"/>
    <x v="4"/>
    <n v="0.74"/>
    <x v="5"/>
    <n v="5"/>
    <n v="103"/>
    <n v="108"/>
  </r>
  <r>
    <n v="707"/>
    <d v="2011-02-01T00:00:00"/>
    <x v="0"/>
    <x v="0"/>
    <x v="1"/>
    <d v="1900-01-28T10:00:00"/>
    <x v="0"/>
    <x v="3"/>
    <x v="1"/>
    <x v="0"/>
    <x v="19"/>
    <n v="0.81"/>
    <x v="4"/>
    <n v="3"/>
    <n v="105"/>
    <n v="108"/>
  </r>
  <r>
    <n v="417"/>
    <d v="2011-01-19T00:00:00"/>
    <x v="0"/>
    <x v="0"/>
    <x v="0"/>
    <d v="1900-01-16T08:00:00"/>
    <x v="0"/>
    <x v="6"/>
    <x v="1"/>
    <x v="0"/>
    <x v="1"/>
    <n v="0.93"/>
    <x v="8"/>
    <n v="2"/>
    <n v="107"/>
    <n v="109"/>
  </r>
  <r>
    <n v="613"/>
    <d v="2011-01-28T00:00:00"/>
    <x v="0"/>
    <x v="0"/>
    <x v="0"/>
    <d v="1900-01-24T12:00:00"/>
    <x v="0"/>
    <x v="5"/>
    <x v="0"/>
    <x v="0"/>
    <x v="9"/>
    <n v="0.75"/>
    <x v="2"/>
    <n v="2"/>
    <n v="107"/>
    <n v="109"/>
  </r>
  <r>
    <n v="656"/>
    <d v="2011-01-30T00:00:00"/>
    <x v="0"/>
    <x v="0"/>
    <x v="0"/>
    <d v="1900-01-26T07:00:00"/>
    <x v="0"/>
    <x v="1"/>
    <x v="0"/>
    <x v="22"/>
    <x v="21"/>
    <n v="0.56000000000000005"/>
    <x v="0"/>
    <n v="14"/>
    <n v="95"/>
    <n v="109"/>
  </r>
  <r>
    <n v="755"/>
    <d v="2011-02-03T00:00:00"/>
    <x v="0"/>
    <x v="0"/>
    <x v="1"/>
    <d v="1900-01-30T10:00:00"/>
    <x v="0"/>
    <x v="4"/>
    <x v="0"/>
    <x v="4"/>
    <x v="9"/>
    <n v="0.47"/>
    <x v="1"/>
    <n v="1"/>
    <n v="108"/>
    <n v="109"/>
  </r>
  <r>
    <n v="16"/>
    <d v="2011-01-01T00:00:00"/>
    <x v="0"/>
    <x v="0"/>
    <x v="0"/>
    <d v="1899-12-30T15:00:00"/>
    <x v="0"/>
    <x v="0"/>
    <x v="1"/>
    <x v="21"/>
    <x v="28"/>
    <n v="0.77"/>
    <x v="9"/>
    <n v="40"/>
    <n v="70"/>
    <n v="110"/>
  </r>
  <r>
    <n v="65"/>
    <d v="2011-01-03T00:00:00"/>
    <x v="0"/>
    <x v="0"/>
    <x v="0"/>
    <d v="1900-01-01T16:00:00"/>
    <x v="0"/>
    <x v="2"/>
    <x v="0"/>
    <x v="4"/>
    <x v="1"/>
    <n v="0.47"/>
    <x v="0"/>
    <n v="8"/>
    <n v="102"/>
    <n v="110"/>
  </r>
  <r>
    <n v="516"/>
    <d v="2011-01-23T00:00:00"/>
    <x v="0"/>
    <x v="0"/>
    <x v="0"/>
    <d v="1900-01-20T11:00:00"/>
    <x v="0"/>
    <x v="1"/>
    <x v="0"/>
    <x v="2"/>
    <x v="3"/>
    <n v="0.28000000000000003"/>
    <x v="12"/>
    <n v="17"/>
    <n v="93"/>
    <n v="110"/>
  </r>
  <r>
    <n v="935"/>
    <d v="2011-02-11T00:00:00"/>
    <x v="0"/>
    <x v="0"/>
    <x v="1"/>
    <d v="1900-02-06T22:00:00"/>
    <x v="0"/>
    <x v="5"/>
    <x v="0"/>
    <x v="0"/>
    <x v="9"/>
    <n v="0.35"/>
    <x v="2"/>
    <n v="21"/>
    <n v="89"/>
    <n v="110"/>
  </r>
  <r>
    <n v="684"/>
    <d v="2011-01-31T00:00:00"/>
    <x v="0"/>
    <x v="0"/>
    <x v="0"/>
    <d v="1900-01-27T11:00:00"/>
    <x v="0"/>
    <x v="2"/>
    <x v="0"/>
    <x v="22"/>
    <x v="22"/>
    <n v="0.61"/>
    <x v="8"/>
    <n v="3"/>
    <n v="108"/>
    <n v="111"/>
  </r>
  <r>
    <n v="88"/>
    <d v="2011-01-04T00:00:00"/>
    <x v="0"/>
    <x v="0"/>
    <x v="0"/>
    <d v="1900-01-02T15:00:00"/>
    <x v="0"/>
    <x v="3"/>
    <x v="0"/>
    <x v="0"/>
    <x v="1"/>
    <n v="0.48"/>
    <x v="8"/>
    <n v="2"/>
    <n v="110"/>
    <n v="112"/>
  </r>
  <r>
    <n v="134"/>
    <d v="2011-01-06T00:00:00"/>
    <x v="0"/>
    <x v="0"/>
    <x v="0"/>
    <d v="1900-01-04T13:00:00"/>
    <x v="0"/>
    <x v="4"/>
    <x v="0"/>
    <x v="10"/>
    <x v="1"/>
    <n v="0.55000000000000004"/>
    <x v="1"/>
    <n v="3"/>
    <n v="109"/>
    <n v="112"/>
  </r>
  <r>
    <n v="427"/>
    <d v="2011-01-19T00:00:00"/>
    <x v="0"/>
    <x v="0"/>
    <x v="0"/>
    <d v="1900-01-16T18:00:00"/>
    <x v="0"/>
    <x v="6"/>
    <x v="0"/>
    <x v="18"/>
    <x v="0"/>
    <n v="0.56999999999999995"/>
    <x v="11"/>
    <n v="4"/>
    <n v="108"/>
    <n v="112"/>
  </r>
  <r>
    <n v="674"/>
    <d v="2011-01-31T00:00:00"/>
    <x v="0"/>
    <x v="0"/>
    <x v="0"/>
    <d v="1900-01-27T01:00:00"/>
    <x v="0"/>
    <x v="2"/>
    <x v="1"/>
    <x v="2"/>
    <x v="3"/>
    <n v="0.59"/>
    <x v="9"/>
    <n v="0"/>
    <n v="112"/>
    <n v="112"/>
  </r>
  <r>
    <n v="919"/>
    <d v="2011-02-10T00:00:00"/>
    <x v="0"/>
    <x v="0"/>
    <x v="1"/>
    <d v="1900-02-06T06:00:00"/>
    <x v="0"/>
    <x v="4"/>
    <x v="0"/>
    <x v="3"/>
    <x v="14"/>
    <n v="0.28000000000000003"/>
    <x v="8"/>
    <n v="2"/>
    <n v="110"/>
    <n v="112"/>
  </r>
  <r>
    <n v="980"/>
    <d v="2011-02-13T00:00:00"/>
    <x v="0"/>
    <x v="0"/>
    <x v="1"/>
    <d v="1900-02-08T19:00:00"/>
    <x v="0"/>
    <x v="1"/>
    <x v="0"/>
    <x v="18"/>
    <x v="0"/>
    <n v="0.39"/>
    <x v="16"/>
    <n v="26"/>
    <n v="86"/>
    <n v="112"/>
  </r>
  <r>
    <n v="364"/>
    <d v="2011-01-16T00:00:00"/>
    <x v="0"/>
    <x v="0"/>
    <x v="0"/>
    <d v="1900-01-14T03:00:00"/>
    <x v="0"/>
    <x v="1"/>
    <x v="0"/>
    <x v="9"/>
    <x v="19"/>
    <n v="0.38"/>
    <x v="10"/>
    <n v="35"/>
    <n v="78"/>
    <n v="113"/>
  </r>
  <r>
    <n v="846"/>
    <d v="2011-02-07T00:00:00"/>
    <x v="0"/>
    <x v="0"/>
    <x v="1"/>
    <d v="1900-02-03T05:00:00"/>
    <x v="0"/>
    <x v="2"/>
    <x v="1"/>
    <x v="16"/>
    <x v="27"/>
    <n v="0.56999999999999995"/>
    <x v="4"/>
    <n v="16"/>
    <n v="98"/>
    <n v="114"/>
  </r>
  <r>
    <n v="957"/>
    <d v="2011-02-12T00:00:00"/>
    <x v="0"/>
    <x v="0"/>
    <x v="1"/>
    <d v="1900-02-07T20:00:00"/>
    <x v="0"/>
    <x v="0"/>
    <x v="0"/>
    <x v="22"/>
    <x v="16"/>
    <n v="0.28000000000000003"/>
    <x v="13"/>
    <n v="30"/>
    <n v="84"/>
    <n v="114"/>
  </r>
  <r>
    <n v="101"/>
    <d v="2011-01-05T00:00:00"/>
    <x v="0"/>
    <x v="0"/>
    <x v="0"/>
    <d v="1900-01-03T04:00:00"/>
    <x v="0"/>
    <x v="6"/>
    <x v="0"/>
    <x v="10"/>
    <x v="5"/>
    <n v="0.37"/>
    <x v="13"/>
    <n v="6"/>
    <n v="109"/>
    <n v="115"/>
  </r>
  <r>
    <n v="514"/>
    <d v="2011-01-23T00:00:00"/>
    <x v="0"/>
    <x v="0"/>
    <x v="0"/>
    <d v="1900-01-20T09:00:00"/>
    <x v="0"/>
    <x v="1"/>
    <x v="0"/>
    <x v="2"/>
    <x v="8"/>
    <n v="0.37"/>
    <x v="15"/>
    <n v="24"/>
    <n v="92"/>
    <n v="116"/>
  </r>
  <r>
    <n v="564"/>
    <d v="2011-01-25T00:00:00"/>
    <x v="0"/>
    <x v="0"/>
    <x v="0"/>
    <d v="1900-01-22T11:00:00"/>
    <x v="0"/>
    <x v="3"/>
    <x v="1"/>
    <x v="18"/>
    <x v="27"/>
    <n v="0.42"/>
    <x v="0"/>
    <n v="14"/>
    <n v="102"/>
    <n v="116"/>
  </r>
  <r>
    <n v="697"/>
    <d v="2011-02-01T00:00:00"/>
    <x v="0"/>
    <x v="0"/>
    <x v="1"/>
    <d v="1900-01-28T00:00:00"/>
    <x v="0"/>
    <x v="3"/>
    <x v="1"/>
    <x v="2"/>
    <x v="9"/>
    <n v="0.93"/>
    <x v="0"/>
    <n v="2"/>
    <n v="114"/>
    <n v="116"/>
  </r>
  <r>
    <n v="310"/>
    <d v="2011-01-14T00:00:00"/>
    <x v="0"/>
    <x v="0"/>
    <x v="0"/>
    <d v="1900-01-11T21:00:00"/>
    <x v="0"/>
    <x v="5"/>
    <x v="0"/>
    <x v="3"/>
    <x v="4"/>
    <n v="0.69"/>
    <x v="4"/>
    <n v="0"/>
    <n v="117"/>
    <n v="117"/>
  </r>
  <r>
    <n v="817"/>
    <d v="2011-02-06T00:00:00"/>
    <x v="0"/>
    <x v="0"/>
    <x v="1"/>
    <d v="1900-02-02T00:00:00"/>
    <x v="0"/>
    <x v="1"/>
    <x v="0"/>
    <x v="18"/>
    <x v="23"/>
    <n v="0.49"/>
    <x v="10"/>
    <n v="28"/>
    <n v="89"/>
    <n v="117"/>
  </r>
  <r>
    <n v="339"/>
    <d v="2011-01-15T00:00:00"/>
    <x v="0"/>
    <x v="0"/>
    <x v="0"/>
    <d v="1900-01-13T02:00:00"/>
    <x v="0"/>
    <x v="0"/>
    <x v="0"/>
    <x v="22"/>
    <x v="0"/>
    <n v="0.39"/>
    <x v="7"/>
    <n v="26"/>
    <n v="92"/>
    <n v="118"/>
  </r>
  <r>
    <n v="362"/>
    <d v="2011-01-16T00:00:00"/>
    <x v="0"/>
    <x v="0"/>
    <x v="0"/>
    <d v="1900-01-14T01:00:00"/>
    <x v="0"/>
    <x v="1"/>
    <x v="0"/>
    <x v="9"/>
    <x v="9"/>
    <n v="0.35"/>
    <x v="9"/>
    <n v="23"/>
    <n v="95"/>
    <n v="118"/>
  </r>
  <r>
    <n v="839"/>
    <d v="2011-02-07T00:00:00"/>
    <x v="0"/>
    <x v="0"/>
    <x v="1"/>
    <d v="1900-02-02T22:00:00"/>
    <x v="0"/>
    <x v="2"/>
    <x v="0"/>
    <x v="10"/>
    <x v="16"/>
    <n v="0.8"/>
    <x v="0"/>
    <n v="3"/>
    <n v="115"/>
    <n v="118"/>
  </r>
  <r>
    <n v="568"/>
    <d v="2011-01-25T00:00:00"/>
    <x v="0"/>
    <x v="0"/>
    <x v="0"/>
    <d v="1900-01-22T15:00:00"/>
    <x v="0"/>
    <x v="3"/>
    <x v="0"/>
    <x v="0"/>
    <x v="9"/>
    <n v="0.65"/>
    <x v="2"/>
    <n v="16"/>
    <n v="103"/>
    <n v="119"/>
  </r>
  <r>
    <n v="474"/>
    <d v="2011-01-21T00:00:00"/>
    <x v="0"/>
    <x v="0"/>
    <x v="0"/>
    <d v="1900-01-18T17:00:00"/>
    <x v="0"/>
    <x v="5"/>
    <x v="0"/>
    <x v="8"/>
    <x v="8"/>
    <n v="0.3"/>
    <x v="10"/>
    <n v="1"/>
    <n v="119"/>
    <n v="120"/>
  </r>
  <r>
    <n v="633"/>
    <d v="2011-01-29T00:00:00"/>
    <x v="0"/>
    <x v="0"/>
    <x v="0"/>
    <d v="1900-01-25T08:00:00"/>
    <x v="0"/>
    <x v="0"/>
    <x v="0"/>
    <x v="10"/>
    <x v="6"/>
    <n v="0.69"/>
    <x v="10"/>
    <n v="22"/>
    <n v="98"/>
    <n v="120"/>
  </r>
  <r>
    <n v="958"/>
    <d v="2011-02-12T00:00:00"/>
    <x v="0"/>
    <x v="0"/>
    <x v="1"/>
    <d v="1900-02-07T21:00:00"/>
    <x v="0"/>
    <x v="0"/>
    <x v="0"/>
    <x v="22"/>
    <x v="16"/>
    <n v="0.39"/>
    <x v="15"/>
    <n v="27"/>
    <n v="93"/>
    <n v="120"/>
  </r>
  <r>
    <n v="960"/>
    <d v="2011-02-12T00:00:00"/>
    <x v="0"/>
    <x v="0"/>
    <x v="1"/>
    <d v="1900-02-07T23:00:00"/>
    <x v="0"/>
    <x v="0"/>
    <x v="0"/>
    <x v="17"/>
    <x v="22"/>
    <n v="0.31"/>
    <x v="7"/>
    <n v="30"/>
    <n v="90"/>
    <n v="120"/>
  </r>
  <r>
    <n v="823"/>
    <d v="2011-02-06T00:00:00"/>
    <x v="0"/>
    <x v="0"/>
    <x v="1"/>
    <d v="1900-02-02T06:00:00"/>
    <x v="0"/>
    <x v="1"/>
    <x v="0"/>
    <x v="17"/>
    <x v="29"/>
    <n v="0.46"/>
    <x v="0"/>
    <n v="24"/>
    <n v="97"/>
    <n v="121"/>
  </r>
  <r>
    <n v="124"/>
    <d v="2011-01-06T00:00:00"/>
    <x v="0"/>
    <x v="0"/>
    <x v="0"/>
    <d v="1900-01-04T03:00:00"/>
    <x v="0"/>
    <x v="4"/>
    <x v="1"/>
    <x v="5"/>
    <x v="19"/>
    <n v="0.51"/>
    <x v="0"/>
    <n v="6"/>
    <n v="116"/>
    <n v="122"/>
  </r>
  <r>
    <n v="655"/>
    <d v="2011-01-30T00:00:00"/>
    <x v="0"/>
    <x v="0"/>
    <x v="0"/>
    <d v="1900-01-26T06:00:00"/>
    <x v="0"/>
    <x v="1"/>
    <x v="0"/>
    <x v="13"/>
    <x v="23"/>
    <n v="0.61"/>
    <x v="1"/>
    <n v="18"/>
    <n v="104"/>
    <n v="122"/>
  </r>
  <r>
    <n v="909"/>
    <d v="2011-02-10T00:00:00"/>
    <x v="0"/>
    <x v="0"/>
    <x v="1"/>
    <d v="1900-02-05T20:00:00"/>
    <x v="0"/>
    <x v="4"/>
    <x v="0"/>
    <x v="8"/>
    <x v="20"/>
    <n v="0.42"/>
    <x v="12"/>
    <n v="1"/>
    <n v="121"/>
    <n v="122"/>
  </r>
  <r>
    <n v="156"/>
    <d v="2011-01-07T00:00:00"/>
    <x v="0"/>
    <x v="0"/>
    <x v="0"/>
    <d v="1900-01-05T11:00:00"/>
    <x v="0"/>
    <x v="5"/>
    <x v="0"/>
    <x v="4"/>
    <x v="9"/>
    <n v="0.4"/>
    <x v="1"/>
    <n v="7"/>
    <n v="116"/>
    <n v="123"/>
  </r>
  <r>
    <n v="657"/>
    <d v="2011-01-30T00:00:00"/>
    <x v="0"/>
    <x v="0"/>
    <x v="0"/>
    <d v="1900-01-26T08:00:00"/>
    <x v="0"/>
    <x v="1"/>
    <x v="0"/>
    <x v="22"/>
    <x v="21"/>
    <n v="0.56000000000000005"/>
    <x v="0"/>
    <n v="19"/>
    <n v="104"/>
    <n v="123"/>
  </r>
  <r>
    <n v="721"/>
    <d v="2011-02-02T00:00:00"/>
    <x v="0"/>
    <x v="0"/>
    <x v="1"/>
    <d v="1900-01-29T00:00:00"/>
    <x v="0"/>
    <x v="6"/>
    <x v="1"/>
    <x v="0"/>
    <x v="1"/>
    <n v="0.93"/>
    <x v="1"/>
    <n v="4"/>
    <n v="119"/>
    <n v="123"/>
  </r>
  <r>
    <n v="886"/>
    <d v="2011-02-09T00:00:00"/>
    <x v="0"/>
    <x v="0"/>
    <x v="1"/>
    <d v="1900-02-04T21:00:00"/>
    <x v="0"/>
    <x v="6"/>
    <x v="0"/>
    <x v="8"/>
    <x v="3"/>
    <n v="0.39"/>
    <x v="6"/>
    <n v="4"/>
    <n v="119"/>
    <n v="123"/>
  </r>
  <r>
    <n v="402"/>
    <d v="2011-01-18T00:00:00"/>
    <x v="0"/>
    <x v="0"/>
    <x v="0"/>
    <d v="1900-01-15T17:00:00"/>
    <x v="0"/>
    <x v="3"/>
    <x v="1"/>
    <x v="10"/>
    <x v="9"/>
    <n v="0.82"/>
    <x v="2"/>
    <n v="1"/>
    <n v="124"/>
    <n v="125"/>
  </r>
  <r>
    <n v="938"/>
    <d v="2011-02-11T00:00:00"/>
    <x v="0"/>
    <x v="0"/>
    <x v="1"/>
    <d v="1900-02-07T01:00:00"/>
    <x v="0"/>
    <x v="5"/>
    <x v="0"/>
    <x v="22"/>
    <x v="0"/>
    <n v="0.28000000000000003"/>
    <x v="2"/>
    <n v="14"/>
    <n v="111"/>
    <n v="125"/>
  </r>
  <r>
    <n v="986"/>
    <d v="2011-02-13T00:00:00"/>
    <x v="0"/>
    <x v="0"/>
    <x v="1"/>
    <d v="1900-02-09T01:00:00"/>
    <x v="0"/>
    <x v="1"/>
    <x v="0"/>
    <x v="14"/>
    <x v="17"/>
    <n v="0.28000000000000003"/>
    <x v="13"/>
    <n v="30"/>
    <n v="95"/>
    <n v="125"/>
  </r>
  <r>
    <n v="452"/>
    <d v="2011-01-20T00:00:00"/>
    <x v="0"/>
    <x v="0"/>
    <x v="0"/>
    <d v="1900-01-17T19:00:00"/>
    <x v="0"/>
    <x v="4"/>
    <x v="1"/>
    <x v="9"/>
    <x v="19"/>
    <n v="0.6"/>
    <x v="7"/>
    <n v="2"/>
    <n v="124"/>
    <n v="126"/>
  </r>
  <r>
    <n v="767"/>
    <d v="2011-02-04T00:00:00"/>
    <x v="0"/>
    <x v="0"/>
    <x v="1"/>
    <d v="1900-01-30T22:00:00"/>
    <x v="0"/>
    <x v="5"/>
    <x v="1"/>
    <x v="2"/>
    <x v="15"/>
    <n v="0.8"/>
    <x v="4"/>
    <n v="3"/>
    <n v="124"/>
    <n v="127"/>
  </r>
  <r>
    <n v="262"/>
    <d v="2011-01-12T00:00:00"/>
    <x v="0"/>
    <x v="0"/>
    <x v="0"/>
    <d v="1900-01-09T21:00:00"/>
    <x v="0"/>
    <x v="6"/>
    <x v="0"/>
    <x v="2"/>
    <x v="14"/>
    <n v="0.59"/>
    <x v="6"/>
    <n v="3"/>
    <n v="125"/>
    <n v="128"/>
  </r>
  <r>
    <n v="341"/>
    <d v="2011-01-15T00:00:00"/>
    <x v="0"/>
    <x v="0"/>
    <x v="0"/>
    <d v="1900-01-13T04:00:00"/>
    <x v="0"/>
    <x v="0"/>
    <x v="1"/>
    <x v="17"/>
    <x v="21"/>
    <n v="0.34"/>
    <x v="2"/>
    <n v="33"/>
    <n v="95"/>
    <n v="128"/>
  </r>
  <r>
    <n v="849"/>
    <d v="2011-02-07T00:00:00"/>
    <x v="0"/>
    <x v="0"/>
    <x v="1"/>
    <d v="1900-02-03T08:00:00"/>
    <x v="0"/>
    <x v="2"/>
    <x v="1"/>
    <x v="18"/>
    <x v="27"/>
    <n v="0.7"/>
    <x v="0"/>
    <n v="5"/>
    <n v="123"/>
    <n v="128"/>
  </r>
  <r>
    <n v="340"/>
    <d v="2011-01-15T00:00:00"/>
    <x v="0"/>
    <x v="0"/>
    <x v="0"/>
    <d v="1900-01-13T03:00:00"/>
    <x v="0"/>
    <x v="0"/>
    <x v="1"/>
    <x v="18"/>
    <x v="22"/>
    <n v="0.36"/>
    <x v="2"/>
    <n v="21"/>
    <n v="108"/>
    <n v="129"/>
  </r>
  <r>
    <n v="241"/>
    <d v="2011-01-11T00:00:00"/>
    <x v="0"/>
    <x v="0"/>
    <x v="0"/>
    <d v="1900-01-09T00:00:00"/>
    <x v="0"/>
    <x v="3"/>
    <x v="1"/>
    <x v="5"/>
    <x v="5"/>
    <n v="0.51"/>
    <x v="6"/>
    <n v="3"/>
    <n v="127"/>
    <n v="130"/>
  </r>
  <r>
    <n v="111"/>
    <d v="2011-01-05T00:00:00"/>
    <x v="0"/>
    <x v="0"/>
    <x v="0"/>
    <d v="1900-01-03T14:00:00"/>
    <x v="0"/>
    <x v="6"/>
    <x v="0"/>
    <x v="0"/>
    <x v="1"/>
    <n v="0.38"/>
    <x v="8"/>
    <n v="5"/>
    <n v="127"/>
    <n v="132"/>
  </r>
  <r>
    <n v="403"/>
    <d v="2011-01-18T00:00:00"/>
    <x v="0"/>
    <x v="0"/>
    <x v="0"/>
    <d v="1900-01-15T18:00:00"/>
    <x v="0"/>
    <x v="3"/>
    <x v="1"/>
    <x v="10"/>
    <x v="9"/>
    <n v="0.8"/>
    <x v="6"/>
    <n v="1"/>
    <n v="132"/>
    <n v="133"/>
  </r>
  <r>
    <n v="744"/>
    <d v="2011-02-03T00:00:00"/>
    <x v="0"/>
    <x v="0"/>
    <x v="1"/>
    <d v="1900-01-29T23:00:00"/>
    <x v="0"/>
    <x v="4"/>
    <x v="0"/>
    <x v="2"/>
    <x v="3"/>
    <n v="0.47"/>
    <x v="9"/>
    <n v="6"/>
    <n v="127"/>
    <n v="133"/>
  </r>
  <r>
    <n v="147"/>
    <d v="2011-01-07T00:00:00"/>
    <x v="0"/>
    <x v="0"/>
    <x v="0"/>
    <d v="1900-01-05T02:00:00"/>
    <x v="0"/>
    <x v="5"/>
    <x v="0"/>
    <x v="4"/>
    <x v="15"/>
    <n v="0.47"/>
    <x v="9"/>
    <n v="9"/>
    <n v="125"/>
    <n v="134"/>
  </r>
  <r>
    <n v="985"/>
    <d v="2011-02-13T00:00:00"/>
    <x v="0"/>
    <x v="0"/>
    <x v="1"/>
    <d v="1900-02-09T00:00:00"/>
    <x v="0"/>
    <x v="1"/>
    <x v="1"/>
    <x v="14"/>
    <x v="17"/>
    <n v="0.28000000000000003"/>
    <x v="13"/>
    <n v="28"/>
    <n v="106"/>
    <n v="134"/>
  </r>
  <r>
    <n v="696"/>
    <d v="2011-02-01T00:00:00"/>
    <x v="0"/>
    <x v="0"/>
    <x v="1"/>
    <d v="1900-01-27T23:00:00"/>
    <x v="0"/>
    <x v="3"/>
    <x v="2"/>
    <x v="2"/>
    <x v="9"/>
    <n v="0.93"/>
    <x v="0"/>
    <n v="3"/>
    <n v="132"/>
    <n v="135"/>
  </r>
  <r>
    <n v="863"/>
    <d v="2011-02-08T00:00:00"/>
    <x v="0"/>
    <x v="0"/>
    <x v="1"/>
    <d v="1900-02-03T22:00:00"/>
    <x v="0"/>
    <x v="3"/>
    <x v="0"/>
    <x v="0"/>
    <x v="5"/>
    <n v="0.52"/>
    <x v="19"/>
    <n v="7"/>
    <n v="128"/>
    <n v="135"/>
  </r>
  <r>
    <n v="959"/>
    <d v="2011-02-12T00:00:00"/>
    <x v="0"/>
    <x v="0"/>
    <x v="1"/>
    <d v="1900-02-07T22:00:00"/>
    <x v="0"/>
    <x v="0"/>
    <x v="0"/>
    <x v="22"/>
    <x v="16"/>
    <n v="0.39"/>
    <x v="11"/>
    <n v="32"/>
    <n v="103"/>
    <n v="135"/>
  </r>
  <r>
    <n v="249"/>
    <d v="2011-01-11T00:00:00"/>
    <x v="0"/>
    <x v="0"/>
    <x v="0"/>
    <d v="1900-01-09T08:00:00"/>
    <x v="0"/>
    <x v="3"/>
    <x v="1"/>
    <x v="2"/>
    <x v="4"/>
    <n v="0.86"/>
    <x v="5"/>
    <n v="6"/>
    <n v="130"/>
    <n v="136"/>
  </r>
  <r>
    <n v="272"/>
    <d v="2011-01-12T00:00:00"/>
    <x v="0"/>
    <x v="0"/>
    <x v="0"/>
    <d v="1900-01-10T07:00:00"/>
    <x v="0"/>
    <x v="6"/>
    <x v="0"/>
    <x v="4"/>
    <x v="4"/>
    <n v="0.47"/>
    <x v="14"/>
    <n v="2"/>
    <n v="135"/>
    <n v="137"/>
  </r>
  <r>
    <n v="963"/>
    <d v="2011-02-12T00:00:00"/>
    <x v="0"/>
    <x v="0"/>
    <x v="1"/>
    <d v="1900-02-08T02:00:00"/>
    <x v="0"/>
    <x v="0"/>
    <x v="0"/>
    <x v="18"/>
    <x v="0"/>
    <n v="0.31"/>
    <x v="14"/>
    <n v="24"/>
    <n v="113"/>
    <n v="137"/>
  </r>
  <r>
    <n v="271"/>
    <d v="2011-01-12T00:00:00"/>
    <x v="0"/>
    <x v="0"/>
    <x v="0"/>
    <d v="1900-01-10T06:00:00"/>
    <x v="0"/>
    <x v="6"/>
    <x v="0"/>
    <x v="4"/>
    <x v="15"/>
    <n v="0.47"/>
    <x v="12"/>
    <n v="0"/>
    <n v="139"/>
    <n v="139"/>
  </r>
  <r>
    <n v="287"/>
    <d v="2011-01-13T00:00:00"/>
    <x v="0"/>
    <x v="0"/>
    <x v="0"/>
    <d v="1900-01-10T22:00:00"/>
    <x v="0"/>
    <x v="4"/>
    <x v="0"/>
    <x v="3"/>
    <x v="8"/>
    <n v="0.5"/>
    <x v="13"/>
    <n v="2"/>
    <n v="137"/>
    <n v="139"/>
  </r>
  <r>
    <n v="319"/>
    <d v="2011-01-14T00:00:00"/>
    <x v="0"/>
    <x v="0"/>
    <x v="0"/>
    <d v="1900-01-12T06:00:00"/>
    <x v="0"/>
    <x v="5"/>
    <x v="0"/>
    <x v="4"/>
    <x v="1"/>
    <n v="0.47"/>
    <x v="0"/>
    <n v="5"/>
    <n v="134"/>
    <n v="139"/>
  </r>
  <r>
    <n v="931"/>
    <d v="2011-02-11T00:00:00"/>
    <x v="0"/>
    <x v="0"/>
    <x v="1"/>
    <d v="1900-02-06T18:00:00"/>
    <x v="0"/>
    <x v="5"/>
    <x v="0"/>
    <x v="8"/>
    <x v="8"/>
    <n v="0.74"/>
    <x v="5"/>
    <n v="8"/>
    <n v="132"/>
    <n v="140"/>
  </r>
  <r>
    <n v="441"/>
    <d v="2011-01-20T00:00:00"/>
    <x v="0"/>
    <x v="0"/>
    <x v="0"/>
    <d v="1900-01-17T08:00:00"/>
    <x v="0"/>
    <x v="4"/>
    <x v="1"/>
    <x v="0"/>
    <x v="9"/>
    <n v="0.52"/>
    <x v="5"/>
    <n v="3"/>
    <n v="140"/>
    <n v="143"/>
  </r>
  <r>
    <n v="296"/>
    <d v="2011-01-13T00:00:00"/>
    <x v="0"/>
    <x v="0"/>
    <x v="0"/>
    <d v="1900-01-11T07:00:00"/>
    <x v="0"/>
    <x v="4"/>
    <x v="0"/>
    <x v="4"/>
    <x v="15"/>
    <n v="0.4"/>
    <x v="13"/>
    <n v="3"/>
    <n v="141"/>
    <n v="144"/>
  </r>
  <r>
    <n v="557"/>
    <d v="2011-01-25T00:00:00"/>
    <x v="0"/>
    <x v="0"/>
    <x v="0"/>
    <d v="1900-01-22T04:00:00"/>
    <x v="0"/>
    <x v="3"/>
    <x v="1"/>
    <x v="4"/>
    <x v="9"/>
    <n v="0.64"/>
    <x v="1"/>
    <n v="10"/>
    <n v="134"/>
    <n v="144"/>
  </r>
  <r>
    <n v="962"/>
    <d v="2011-02-12T00:00:00"/>
    <x v="0"/>
    <x v="0"/>
    <x v="1"/>
    <d v="1900-02-08T01:00:00"/>
    <x v="0"/>
    <x v="0"/>
    <x v="0"/>
    <x v="17"/>
    <x v="23"/>
    <n v="0.28999999999999998"/>
    <x v="11"/>
    <n v="42"/>
    <n v="103"/>
    <n v="145"/>
  </r>
  <r>
    <n v="567"/>
    <d v="2011-01-25T00:00:00"/>
    <x v="0"/>
    <x v="0"/>
    <x v="0"/>
    <d v="1900-01-22T14:00:00"/>
    <x v="0"/>
    <x v="3"/>
    <x v="1"/>
    <x v="9"/>
    <x v="1"/>
    <n v="0.65"/>
    <x v="6"/>
    <n v="13"/>
    <n v="133"/>
    <n v="146"/>
  </r>
  <r>
    <n v="753"/>
    <d v="2011-02-03T00:00:00"/>
    <x v="0"/>
    <x v="0"/>
    <x v="1"/>
    <d v="1900-01-30T08:00:00"/>
    <x v="0"/>
    <x v="4"/>
    <x v="0"/>
    <x v="4"/>
    <x v="6"/>
    <n v="0.4"/>
    <x v="6"/>
    <n v="2"/>
    <n v="145"/>
    <n v="147"/>
  </r>
  <r>
    <n v="612"/>
    <d v="2011-01-28T00:00:00"/>
    <x v="0"/>
    <x v="0"/>
    <x v="0"/>
    <d v="1900-01-24T11:00:00"/>
    <x v="0"/>
    <x v="5"/>
    <x v="0"/>
    <x v="0"/>
    <x v="19"/>
    <n v="0.75"/>
    <x v="4"/>
    <n v="2"/>
    <n v="147"/>
    <n v="149"/>
  </r>
  <r>
    <n v="451"/>
    <d v="2011-01-20T00:00:00"/>
    <x v="0"/>
    <x v="0"/>
    <x v="0"/>
    <d v="1900-01-17T18:00:00"/>
    <x v="0"/>
    <x v="4"/>
    <x v="0"/>
    <x v="9"/>
    <x v="9"/>
    <n v="0.56000000000000005"/>
    <x v="13"/>
    <n v="6"/>
    <n v="146"/>
    <n v="152"/>
  </r>
  <r>
    <n v="872"/>
    <d v="2011-02-08T00:00:00"/>
    <x v="0"/>
    <x v="0"/>
    <x v="1"/>
    <d v="1900-02-04T07:00:00"/>
    <x v="0"/>
    <x v="3"/>
    <x v="0"/>
    <x v="4"/>
    <x v="15"/>
    <n v="0.32"/>
    <x v="3"/>
    <n v="1"/>
    <n v="151"/>
    <n v="152"/>
  </r>
  <r>
    <n v="981"/>
    <d v="2011-02-13T00:00:00"/>
    <x v="0"/>
    <x v="0"/>
    <x v="1"/>
    <d v="1900-02-08T20:00:00"/>
    <x v="0"/>
    <x v="1"/>
    <x v="0"/>
    <x v="16"/>
    <x v="22"/>
    <n v="0.32"/>
    <x v="15"/>
    <n v="58"/>
    <n v="94"/>
    <n v="152"/>
  </r>
  <r>
    <n v="543"/>
    <d v="2011-01-24T00:00:00"/>
    <x v="0"/>
    <x v="0"/>
    <x v="0"/>
    <d v="1900-01-21T14:00:00"/>
    <x v="0"/>
    <x v="2"/>
    <x v="0"/>
    <x v="3"/>
    <x v="3"/>
    <n v="0.59"/>
    <x v="2"/>
    <n v="8"/>
    <n v="145"/>
    <n v="153"/>
  </r>
  <r>
    <n v="54"/>
    <d v="2011-01-03T00:00:00"/>
    <x v="0"/>
    <x v="0"/>
    <x v="0"/>
    <d v="1900-01-01T05:00:00"/>
    <x v="0"/>
    <x v="2"/>
    <x v="0"/>
    <x v="3"/>
    <x v="8"/>
    <n v="0.5"/>
    <x v="7"/>
    <n v="1"/>
    <n v="153"/>
    <n v="154"/>
  </r>
  <r>
    <n v="982"/>
    <d v="2011-02-13T00:00:00"/>
    <x v="0"/>
    <x v="0"/>
    <x v="1"/>
    <d v="1900-02-08T21:00:00"/>
    <x v="0"/>
    <x v="1"/>
    <x v="0"/>
    <x v="20"/>
    <x v="26"/>
    <n v="0.28999999999999998"/>
    <x v="12"/>
    <n v="62"/>
    <n v="92"/>
    <n v="154"/>
  </r>
  <r>
    <n v="228"/>
    <d v="2011-01-10T00:00:00"/>
    <x v="0"/>
    <x v="0"/>
    <x v="0"/>
    <d v="1900-01-08T11:00:00"/>
    <x v="0"/>
    <x v="2"/>
    <x v="0"/>
    <x v="4"/>
    <x v="5"/>
    <n v="0.4"/>
    <x v="5"/>
    <n v="1"/>
    <n v="154"/>
    <n v="155"/>
  </r>
  <r>
    <n v="720"/>
    <d v="2011-02-02T00:00:00"/>
    <x v="0"/>
    <x v="0"/>
    <x v="1"/>
    <d v="1900-01-28T23:00:00"/>
    <x v="0"/>
    <x v="6"/>
    <x v="2"/>
    <x v="10"/>
    <x v="6"/>
    <n v="0.93"/>
    <x v="5"/>
    <n v="1"/>
    <n v="154"/>
    <n v="155"/>
  </r>
  <r>
    <n v="776"/>
    <d v="2011-02-04T00:00:00"/>
    <x v="0"/>
    <x v="0"/>
    <x v="1"/>
    <d v="1900-01-31T07:00:00"/>
    <x v="0"/>
    <x v="5"/>
    <x v="1"/>
    <x v="0"/>
    <x v="1"/>
    <n v="0.6"/>
    <x v="8"/>
    <n v="3"/>
    <n v="152"/>
    <n v="155"/>
  </r>
  <r>
    <n v="683"/>
    <d v="2011-01-31T00:00:00"/>
    <x v="0"/>
    <x v="0"/>
    <x v="0"/>
    <d v="1900-01-27T10:00:00"/>
    <x v="0"/>
    <x v="2"/>
    <x v="1"/>
    <x v="2"/>
    <x v="4"/>
    <n v="0.55000000000000004"/>
    <x v="5"/>
    <n v="3"/>
    <n v="153"/>
    <n v="156"/>
  </r>
  <r>
    <n v="63"/>
    <d v="2011-01-03T00:00:00"/>
    <x v="0"/>
    <x v="0"/>
    <x v="0"/>
    <d v="1900-01-01T14:00:00"/>
    <x v="0"/>
    <x v="2"/>
    <x v="0"/>
    <x v="0"/>
    <x v="9"/>
    <n v="0.3"/>
    <x v="5"/>
    <n v="11"/>
    <n v="146"/>
    <n v="157"/>
  </r>
  <r>
    <n v="64"/>
    <d v="2011-01-03T00:00:00"/>
    <x v="0"/>
    <x v="0"/>
    <x v="0"/>
    <d v="1900-01-01T15:00:00"/>
    <x v="0"/>
    <x v="2"/>
    <x v="0"/>
    <x v="0"/>
    <x v="1"/>
    <n v="0.32"/>
    <x v="8"/>
    <n v="9"/>
    <n v="148"/>
    <n v="157"/>
  </r>
  <r>
    <n v="603"/>
    <d v="2011-01-28T00:00:00"/>
    <x v="0"/>
    <x v="0"/>
    <x v="0"/>
    <d v="1900-01-24T02:00:00"/>
    <x v="0"/>
    <x v="5"/>
    <x v="1"/>
    <x v="2"/>
    <x v="5"/>
    <n v="0.86"/>
    <x v="1"/>
    <n v="2"/>
    <n v="155"/>
    <n v="157"/>
  </r>
  <r>
    <n v="822"/>
    <d v="2011-02-06T00:00:00"/>
    <x v="0"/>
    <x v="0"/>
    <x v="1"/>
    <d v="1900-02-02T05:00:00"/>
    <x v="0"/>
    <x v="1"/>
    <x v="0"/>
    <x v="17"/>
    <x v="27"/>
    <n v="0.49"/>
    <x v="8"/>
    <n v="42"/>
    <n v="115"/>
    <n v="157"/>
  </r>
  <r>
    <n v="309"/>
    <d v="2011-01-14T00:00:00"/>
    <x v="0"/>
    <x v="0"/>
    <x v="0"/>
    <d v="1900-01-11T20:00:00"/>
    <x v="0"/>
    <x v="5"/>
    <x v="0"/>
    <x v="8"/>
    <x v="14"/>
    <n v="0.68"/>
    <x v="0"/>
    <n v="2"/>
    <n v="156"/>
    <n v="158"/>
  </r>
  <r>
    <n v="318"/>
    <d v="2011-01-14T00:00:00"/>
    <x v="0"/>
    <x v="0"/>
    <x v="0"/>
    <d v="1900-01-12T05:00:00"/>
    <x v="0"/>
    <x v="5"/>
    <x v="0"/>
    <x v="10"/>
    <x v="9"/>
    <n v="0.41"/>
    <x v="6"/>
    <n v="4"/>
    <n v="155"/>
    <n v="159"/>
  </r>
  <r>
    <n v="918"/>
    <d v="2011-02-10T00:00:00"/>
    <x v="0"/>
    <x v="0"/>
    <x v="1"/>
    <d v="1900-02-06T05:00:00"/>
    <x v="0"/>
    <x v="4"/>
    <x v="0"/>
    <x v="2"/>
    <x v="15"/>
    <n v="0.28000000000000003"/>
    <x v="4"/>
    <n v="3"/>
    <n v="157"/>
    <n v="160"/>
  </r>
  <r>
    <n v="426"/>
    <d v="2011-01-19T00:00:00"/>
    <x v="0"/>
    <x v="0"/>
    <x v="0"/>
    <d v="1900-01-16T17:00:00"/>
    <x v="0"/>
    <x v="6"/>
    <x v="0"/>
    <x v="17"/>
    <x v="22"/>
    <n v="0.61"/>
    <x v="7"/>
    <n v="5"/>
    <n v="156"/>
    <n v="161"/>
  </r>
  <r>
    <n v="473"/>
    <d v="2011-01-21T00:00:00"/>
    <x v="0"/>
    <x v="0"/>
    <x v="0"/>
    <d v="1900-01-18T16:00:00"/>
    <x v="0"/>
    <x v="5"/>
    <x v="0"/>
    <x v="3"/>
    <x v="8"/>
    <n v="0.28000000000000003"/>
    <x v="12"/>
    <n v="10"/>
    <n v="151"/>
    <n v="161"/>
  </r>
  <r>
    <n v="682"/>
    <d v="2011-01-31T00:00:00"/>
    <x v="0"/>
    <x v="0"/>
    <x v="0"/>
    <d v="1900-01-27T09:00:00"/>
    <x v="0"/>
    <x v="2"/>
    <x v="1"/>
    <x v="2"/>
    <x v="4"/>
    <n v="0.59"/>
    <x v="2"/>
    <n v="6"/>
    <n v="155"/>
    <n v="161"/>
  </r>
  <r>
    <n v="820"/>
    <d v="2011-02-06T00:00:00"/>
    <x v="0"/>
    <x v="0"/>
    <x v="1"/>
    <d v="1900-02-02T03:00:00"/>
    <x v="0"/>
    <x v="1"/>
    <x v="0"/>
    <x v="17"/>
    <x v="27"/>
    <n v="0.46"/>
    <x v="1"/>
    <n v="47"/>
    <n v="114"/>
    <n v="161"/>
  </r>
  <r>
    <n v="983"/>
    <d v="2011-02-13T00:00:00"/>
    <x v="0"/>
    <x v="0"/>
    <x v="1"/>
    <d v="1900-02-08T22:00:00"/>
    <x v="0"/>
    <x v="1"/>
    <x v="1"/>
    <x v="1"/>
    <x v="2"/>
    <n v="0.3"/>
    <x v="11"/>
    <n v="51"/>
    <n v="110"/>
    <n v="161"/>
  </r>
  <r>
    <n v="295"/>
    <d v="2011-01-13T00:00:00"/>
    <x v="0"/>
    <x v="0"/>
    <x v="0"/>
    <d v="1900-01-11T06:00:00"/>
    <x v="0"/>
    <x v="4"/>
    <x v="0"/>
    <x v="4"/>
    <x v="15"/>
    <n v="0.4"/>
    <x v="7"/>
    <n v="4"/>
    <n v="158"/>
    <n v="162"/>
  </r>
  <r>
    <n v="984"/>
    <d v="2011-02-13T00:00:00"/>
    <x v="0"/>
    <x v="0"/>
    <x v="1"/>
    <d v="1900-02-08T23:00:00"/>
    <x v="0"/>
    <x v="1"/>
    <x v="1"/>
    <x v="1"/>
    <x v="2"/>
    <n v="0.3"/>
    <x v="9"/>
    <n v="40"/>
    <n v="122"/>
    <n v="162"/>
  </r>
  <r>
    <n v="133"/>
    <d v="2011-01-06T00:00:00"/>
    <x v="0"/>
    <x v="0"/>
    <x v="0"/>
    <d v="1900-01-04T12:00:00"/>
    <x v="0"/>
    <x v="4"/>
    <x v="0"/>
    <x v="10"/>
    <x v="9"/>
    <n v="0.51"/>
    <x v="4"/>
    <n v="5"/>
    <n v="158"/>
    <n v="163"/>
  </r>
  <r>
    <n v="917"/>
    <d v="2011-02-10T00:00:00"/>
    <x v="0"/>
    <x v="0"/>
    <x v="1"/>
    <d v="1900-02-06T04:00:00"/>
    <x v="0"/>
    <x v="4"/>
    <x v="0"/>
    <x v="5"/>
    <x v="15"/>
    <n v="0.26"/>
    <x v="2"/>
    <n v="6"/>
    <n v="159"/>
    <n v="165"/>
  </r>
  <r>
    <n v="465"/>
    <d v="2011-01-21T00:00:00"/>
    <x v="0"/>
    <x v="0"/>
    <x v="0"/>
    <d v="1900-01-18T08:00:00"/>
    <x v="0"/>
    <x v="5"/>
    <x v="0"/>
    <x v="4"/>
    <x v="15"/>
    <n v="0.51"/>
    <x v="12"/>
    <n v="7"/>
    <n v="159"/>
    <n v="166"/>
  </r>
  <r>
    <n v="894"/>
    <d v="2011-02-09T00:00:00"/>
    <x v="0"/>
    <x v="0"/>
    <x v="1"/>
    <d v="1900-02-05T05:00:00"/>
    <x v="0"/>
    <x v="6"/>
    <x v="1"/>
    <x v="4"/>
    <x v="5"/>
    <n v="0.34"/>
    <x v="10"/>
    <n v="9"/>
    <n v="157"/>
    <n v="166"/>
  </r>
  <r>
    <n v="706"/>
    <d v="2011-02-01T00:00:00"/>
    <x v="0"/>
    <x v="0"/>
    <x v="1"/>
    <d v="1900-01-28T09:00:00"/>
    <x v="0"/>
    <x v="3"/>
    <x v="1"/>
    <x v="0"/>
    <x v="1"/>
    <n v="0.81"/>
    <x v="8"/>
    <n v="3"/>
    <n v="165"/>
    <n v="168"/>
  </r>
  <r>
    <n v="110"/>
    <d v="2011-01-05T00:00:00"/>
    <x v="0"/>
    <x v="0"/>
    <x v="0"/>
    <d v="1900-01-03T13:00:00"/>
    <x v="0"/>
    <x v="6"/>
    <x v="0"/>
    <x v="0"/>
    <x v="19"/>
    <n v="0.38"/>
    <x v="4"/>
    <n v="3"/>
    <n v="166"/>
    <n v="169"/>
  </r>
  <r>
    <n v="895"/>
    <d v="2011-02-09T00:00:00"/>
    <x v="0"/>
    <x v="0"/>
    <x v="1"/>
    <d v="1900-02-05T06:00:00"/>
    <x v="0"/>
    <x v="6"/>
    <x v="1"/>
    <x v="5"/>
    <x v="14"/>
    <n v="0.47"/>
    <x v="9"/>
    <n v="2"/>
    <n v="168"/>
    <n v="170"/>
  </r>
  <r>
    <n v="132"/>
    <d v="2011-01-06T00:00:00"/>
    <x v="0"/>
    <x v="0"/>
    <x v="0"/>
    <d v="1900-01-04T11:00:00"/>
    <x v="0"/>
    <x v="4"/>
    <x v="0"/>
    <x v="10"/>
    <x v="9"/>
    <n v="0.51"/>
    <x v="6"/>
    <n v="9"/>
    <n v="163"/>
    <n v="172"/>
  </r>
  <r>
    <n v="818"/>
    <d v="2011-02-06T00:00:00"/>
    <x v="0"/>
    <x v="0"/>
    <x v="1"/>
    <d v="1900-02-02T01:00:00"/>
    <x v="0"/>
    <x v="1"/>
    <x v="0"/>
    <x v="17"/>
    <x v="21"/>
    <n v="0.46"/>
    <x v="0"/>
    <n v="48"/>
    <n v="126"/>
    <n v="174"/>
  </r>
  <r>
    <n v="940"/>
    <d v="2011-02-11T00:00:00"/>
    <x v="0"/>
    <x v="0"/>
    <x v="1"/>
    <d v="1900-02-07T03:00:00"/>
    <x v="0"/>
    <x v="5"/>
    <x v="0"/>
    <x v="13"/>
    <x v="22"/>
    <n v="0.28000000000000003"/>
    <x v="0"/>
    <n v="9"/>
    <n v="165"/>
    <n v="174"/>
  </r>
  <r>
    <n v="961"/>
    <d v="2011-02-12T00:00:00"/>
    <x v="0"/>
    <x v="0"/>
    <x v="1"/>
    <d v="1900-02-08T00:00:00"/>
    <x v="0"/>
    <x v="0"/>
    <x v="0"/>
    <x v="17"/>
    <x v="23"/>
    <n v="0.28999999999999998"/>
    <x v="11"/>
    <n v="47"/>
    <n v="127"/>
    <n v="174"/>
  </r>
  <r>
    <n v="752"/>
    <d v="2011-02-03T00:00:00"/>
    <x v="0"/>
    <x v="0"/>
    <x v="1"/>
    <d v="1900-01-30T07:00:00"/>
    <x v="0"/>
    <x v="4"/>
    <x v="0"/>
    <x v="4"/>
    <x v="5"/>
    <n v="0.4"/>
    <x v="2"/>
    <n v="5"/>
    <n v="170"/>
    <n v="175"/>
  </r>
  <r>
    <n v="848"/>
    <d v="2011-02-07T00:00:00"/>
    <x v="0"/>
    <x v="0"/>
    <x v="1"/>
    <d v="1900-02-03T07:00:00"/>
    <x v="0"/>
    <x v="2"/>
    <x v="1"/>
    <x v="17"/>
    <x v="21"/>
    <n v="0.66"/>
    <x v="4"/>
    <n v="5"/>
    <n v="170"/>
    <n v="175"/>
  </r>
  <r>
    <n v="705"/>
    <d v="2011-02-01T00:00:00"/>
    <x v="0"/>
    <x v="0"/>
    <x v="1"/>
    <d v="1900-01-28T08:00:00"/>
    <x v="0"/>
    <x v="3"/>
    <x v="1"/>
    <x v="0"/>
    <x v="0"/>
    <n v="0.75"/>
    <x v="0"/>
    <n v="4"/>
    <n v="172"/>
    <n v="176"/>
  </r>
  <r>
    <n v="871"/>
    <d v="2011-02-08T00:00:00"/>
    <x v="0"/>
    <x v="0"/>
    <x v="1"/>
    <d v="1900-02-04T06:00:00"/>
    <x v="0"/>
    <x v="3"/>
    <x v="0"/>
    <x v="10"/>
    <x v="15"/>
    <n v="0.32"/>
    <x v="18"/>
    <n v="4"/>
    <n v="172"/>
    <n v="176"/>
  </r>
  <r>
    <n v="533"/>
    <d v="2011-01-24T00:00:00"/>
    <x v="0"/>
    <x v="0"/>
    <x v="0"/>
    <d v="1900-01-21T04:00:00"/>
    <x v="0"/>
    <x v="2"/>
    <x v="0"/>
    <x v="11"/>
    <x v="3"/>
    <n v="0.49"/>
    <x v="0"/>
    <n v="6"/>
    <n v="171"/>
    <n v="177"/>
  </r>
  <r>
    <n v="227"/>
    <d v="2011-01-10T00:00:00"/>
    <x v="0"/>
    <x v="0"/>
    <x v="0"/>
    <d v="1900-01-08T10:00:00"/>
    <x v="0"/>
    <x v="2"/>
    <x v="0"/>
    <x v="4"/>
    <x v="9"/>
    <n v="0.4"/>
    <x v="8"/>
    <n v="4"/>
    <n v="174"/>
    <n v="178"/>
  </r>
  <r>
    <n v="908"/>
    <d v="2011-02-10T00:00:00"/>
    <x v="0"/>
    <x v="0"/>
    <x v="1"/>
    <d v="1900-02-05T19:00:00"/>
    <x v="0"/>
    <x v="4"/>
    <x v="0"/>
    <x v="7"/>
    <x v="10"/>
    <n v="0.49"/>
    <x v="13"/>
    <n v="5"/>
    <n v="173"/>
    <n v="178"/>
  </r>
  <r>
    <n v="77"/>
    <d v="2011-01-04T00:00:00"/>
    <x v="0"/>
    <x v="0"/>
    <x v="0"/>
    <d v="1900-01-02T04:00:00"/>
    <x v="0"/>
    <x v="3"/>
    <x v="0"/>
    <x v="3"/>
    <x v="4"/>
    <n v="0.69"/>
    <x v="6"/>
    <n v="2"/>
    <n v="177"/>
    <n v="179"/>
  </r>
  <r>
    <n v="87"/>
    <d v="2011-01-04T00:00:00"/>
    <x v="0"/>
    <x v="0"/>
    <x v="0"/>
    <d v="1900-01-02T14:00:00"/>
    <x v="0"/>
    <x v="3"/>
    <x v="0"/>
    <x v="9"/>
    <x v="1"/>
    <n v="0.48"/>
    <x v="2"/>
    <n v="3"/>
    <n v="179"/>
    <n v="182"/>
  </r>
  <r>
    <n v="730"/>
    <d v="2011-02-02T00:00:00"/>
    <x v="0"/>
    <x v="0"/>
    <x v="1"/>
    <d v="1900-01-29T09:00:00"/>
    <x v="0"/>
    <x v="6"/>
    <x v="0"/>
    <x v="17"/>
    <x v="0"/>
    <n v="0.42"/>
    <x v="17"/>
    <n v="7"/>
    <n v="175"/>
    <n v="182"/>
  </r>
  <r>
    <n v="819"/>
    <d v="2011-02-06T00:00:00"/>
    <x v="0"/>
    <x v="0"/>
    <x v="1"/>
    <d v="1900-02-02T02:00:00"/>
    <x v="0"/>
    <x v="1"/>
    <x v="0"/>
    <x v="17"/>
    <x v="29"/>
    <n v="0.46"/>
    <x v="0"/>
    <n v="47"/>
    <n v="135"/>
    <n v="182"/>
  </r>
  <r>
    <n v="821"/>
    <d v="2011-02-06T00:00:00"/>
    <x v="0"/>
    <x v="0"/>
    <x v="1"/>
    <d v="1900-02-02T04:00:00"/>
    <x v="0"/>
    <x v="1"/>
    <x v="0"/>
    <x v="17"/>
    <x v="27"/>
    <n v="0.46"/>
    <x v="1"/>
    <n v="52"/>
    <n v="130"/>
    <n v="182"/>
  </r>
  <r>
    <n v="542"/>
    <d v="2011-01-24T00:00:00"/>
    <x v="0"/>
    <x v="0"/>
    <x v="0"/>
    <d v="1900-01-21T13:00:00"/>
    <x v="0"/>
    <x v="2"/>
    <x v="0"/>
    <x v="3"/>
    <x v="8"/>
    <n v="0.5"/>
    <x v="10"/>
    <n v="6"/>
    <n v="178"/>
    <n v="184"/>
  </r>
  <r>
    <n v="450"/>
    <d v="2011-01-20T00:00:00"/>
    <x v="0"/>
    <x v="0"/>
    <x v="0"/>
    <d v="1900-01-17T17:00:00"/>
    <x v="0"/>
    <x v="4"/>
    <x v="1"/>
    <x v="9"/>
    <x v="1"/>
    <n v="0.56000000000000005"/>
    <x v="2"/>
    <n v="1"/>
    <n v="184"/>
    <n v="185"/>
  </r>
  <r>
    <n v="673"/>
    <d v="2011-01-31T00:00:00"/>
    <x v="0"/>
    <x v="0"/>
    <x v="0"/>
    <d v="1900-01-27T00:00:00"/>
    <x v="0"/>
    <x v="2"/>
    <x v="1"/>
    <x v="2"/>
    <x v="3"/>
    <n v="0.59"/>
    <x v="7"/>
    <n v="3"/>
    <n v="182"/>
    <n v="185"/>
  </r>
  <r>
    <n v="155"/>
    <d v="2011-01-07T00:00:00"/>
    <x v="0"/>
    <x v="0"/>
    <x v="0"/>
    <d v="1900-01-05T10:00:00"/>
    <x v="0"/>
    <x v="5"/>
    <x v="1"/>
    <x v="4"/>
    <x v="1"/>
    <n v="0.37"/>
    <x v="0"/>
    <n v="9"/>
    <n v="178"/>
    <n v="187"/>
  </r>
  <r>
    <n v="218"/>
    <d v="2011-01-10T00:00:00"/>
    <x v="0"/>
    <x v="0"/>
    <x v="0"/>
    <d v="1900-01-08T01:00:00"/>
    <x v="0"/>
    <x v="2"/>
    <x v="1"/>
    <x v="8"/>
    <x v="8"/>
    <n v="0.5"/>
    <x v="7"/>
    <n v="4"/>
    <n v="184"/>
    <n v="188"/>
  </r>
  <r>
    <n v="743"/>
    <d v="2011-02-03T00:00:00"/>
    <x v="0"/>
    <x v="0"/>
    <x v="1"/>
    <d v="1900-01-29T22:00:00"/>
    <x v="0"/>
    <x v="4"/>
    <x v="0"/>
    <x v="3"/>
    <x v="8"/>
    <n v="0.5"/>
    <x v="12"/>
    <n v="4"/>
    <n v="184"/>
    <n v="188"/>
  </r>
  <r>
    <n v="109"/>
    <d v="2011-01-05T00:00:00"/>
    <x v="0"/>
    <x v="0"/>
    <x v="0"/>
    <d v="1900-01-03T12:00:00"/>
    <x v="0"/>
    <x v="6"/>
    <x v="0"/>
    <x v="0"/>
    <x v="9"/>
    <n v="0.38"/>
    <x v="2"/>
    <n v="4"/>
    <n v="186"/>
    <n v="190"/>
  </r>
  <r>
    <n v="729"/>
    <d v="2011-02-02T00:00:00"/>
    <x v="0"/>
    <x v="0"/>
    <x v="1"/>
    <d v="1900-01-29T08:00:00"/>
    <x v="0"/>
    <x v="6"/>
    <x v="0"/>
    <x v="16"/>
    <x v="22"/>
    <n v="0.53"/>
    <x v="14"/>
    <n v="7"/>
    <n v="183"/>
    <n v="190"/>
  </r>
  <r>
    <n v="100"/>
    <d v="2011-01-05T00:00:00"/>
    <x v="0"/>
    <x v="0"/>
    <x v="0"/>
    <d v="1900-01-03T03:00:00"/>
    <x v="0"/>
    <x v="6"/>
    <x v="0"/>
    <x v="4"/>
    <x v="15"/>
    <n v="0.4"/>
    <x v="9"/>
    <n v="3"/>
    <n v="192"/>
    <n v="195"/>
  </r>
  <r>
    <n v="416"/>
    <d v="2011-01-19T00:00:00"/>
    <x v="0"/>
    <x v="0"/>
    <x v="0"/>
    <d v="1900-01-16T07:00:00"/>
    <x v="0"/>
    <x v="6"/>
    <x v="1"/>
    <x v="0"/>
    <x v="1"/>
    <n v="0.93"/>
    <x v="8"/>
    <n v="1"/>
    <n v="196"/>
    <n v="197"/>
  </r>
  <r>
    <n v="425"/>
    <d v="2011-01-19T00:00:00"/>
    <x v="0"/>
    <x v="0"/>
    <x v="0"/>
    <d v="1900-01-16T16:00:00"/>
    <x v="0"/>
    <x v="6"/>
    <x v="0"/>
    <x v="16"/>
    <x v="21"/>
    <n v="0.56999999999999995"/>
    <x v="13"/>
    <n v="7"/>
    <n v="190"/>
    <n v="197"/>
  </r>
  <r>
    <n v="885"/>
    <d v="2011-02-09T00:00:00"/>
    <x v="0"/>
    <x v="0"/>
    <x v="1"/>
    <d v="1900-02-04T20:00:00"/>
    <x v="0"/>
    <x v="6"/>
    <x v="0"/>
    <x v="7"/>
    <x v="3"/>
    <n v="0.42"/>
    <x v="0"/>
    <n v="1"/>
    <n v="198"/>
    <n v="199"/>
  </r>
  <r>
    <n v="286"/>
    <d v="2011-01-13T00:00:00"/>
    <x v="0"/>
    <x v="0"/>
    <x v="0"/>
    <d v="1900-01-10T21:00:00"/>
    <x v="0"/>
    <x v="4"/>
    <x v="0"/>
    <x v="3"/>
    <x v="3"/>
    <n v="0.5"/>
    <x v="2"/>
    <n v="5"/>
    <n v="197"/>
    <n v="202"/>
  </r>
  <r>
    <n v="775"/>
    <d v="2011-02-04T00:00:00"/>
    <x v="0"/>
    <x v="0"/>
    <x v="1"/>
    <d v="1900-01-31T06:00:00"/>
    <x v="0"/>
    <x v="5"/>
    <x v="1"/>
    <x v="9"/>
    <x v="16"/>
    <n v="0.56000000000000005"/>
    <x v="4"/>
    <n v="10"/>
    <n v="195"/>
    <n v="205"/>
  </r>
  <r>
    <n v="146"/>
    <d v="2011-01-07T00:00:00"/>
    <x v="0"/>
    <x v="0"/>
    <x v="0"/>
    <d v="1900-01-05T01:00:00"/>
    <x v="0"/>
    <x v="5"/>
    <x v="0"/>
    <x v="4"/>
    <x v="5"/>
    <n v="0.51"/>
    <x v="10"/>
    <n v="20"/>
    <n v="190"/>
    <n v="210"/>
  </r>
  <r>
    <n v="939"/>
    <d v="2011-02-11T00:00:00"/>
    <x v="0"/>
    <x v="0"/>
    <x v="1"/>
    <d v="1900-02-07T02:00:00"/>
    <x v="0"/>
    <x v="5"/>
    <x v="0"/>
    <x v="22"/>
    <x v="21"/>
    <n v="0.24"/>
    <x v="0"/>
    <n v="18"/>
    <n v="193"/>
    <n v="211"/>
  </r>
  <r>
    <n v="86"/>
    <d v="2011-01-04T00:00:00"/>
    <x v="0"/>
    <x v="0"/>
    <x v="0"/>
    <d v="1900-01-02T13:00:00"/>
    <x v="0"/>
    <x v="3"/>
    <x v="0"/>
    <x v="13"/>
    <x v="16"/>
    <n v="0.48"/>
    <x v="5"/>
    <n v="10"/>
    <n v="202"/>
    <n v="212"/>
  </r>
  <r>
    <n v="449"/>
    <d v="2011-01-20T00:00:00"/>
    <x v="0"/>
    <x v="0"/>
    <x v="0"/>
    <d v="1900-01-17T16:00:00"/>
    <x v="0"/>
    <x v="4"/>
    <x v="1"/>
    <x v="22"/>
    <x v="22"/>
    <n v="0.49"/>
    <x v="8"/>
    <n v="8"/>
    <n v="207"/>
    <n v="215"/>
  </r>
  <r>
    <n v="847"/>
    <d v="2011-02-07T00:00:00"/>
    <x v="0"/>
    <x v="0"/>
    <x v="1"/>
    <d v="1900-02-03T06:00:00"/>
    <x v="0"/>
    <x v="2"/>
    <x v="1"/>
    <x v="18"/>
    <x v="22"/>
    <n v="0.7"/>
    <x v="6"/>
    <n v="9"/>
    <n v="207"/>
    <n v="216"/>
  </r>
  <r>
    <n v="930"/>
    <d v="2011-02-11T00:00:00"/>
    <x v="0"/>
    <x v="0"/>
    <x v="1"/>
    <d v="1900-02-06T17:00:00"/>
    <x v="0"/>
    <x v="5"/>
    <x v="0"/>
    <x v="7"/>
    <x v="8"/>
    <n v="0.74"/>
    <x v="6"/>
    <n v="4"/>
    <n v="212"/>
    <n v="216"/>
  </r>
  <r>
    <n v="240"/>
    <d v="2011-01-11T00:00:00"/>
    <x v="0"/>
    <x v="0"/>
    <x v="0"/>
    <d v="1900-01-08T23:00:00"/>
    <x v="0"/>
    <x v="3"/>
    <x v="1"/>
    <x v="5"/>
    <x v="6"/>
    <n v="0.51"/>
    <x v="1"/>
    <n v="3"/>
    <n v="214"/>
    <n v="217"/>
  </r>
  <r>
    <n v="464"/>
    <d v="2011-01-21T00:00:00"/>
    <x v="0"/>
    <x v="0"/>
    <x v="0"/>
    <d v="1900-01-18T07:00:00"/>
    <x v="0"/>
    <x v="5"/>
    <x v="0"/>
    <x v="4"/>
    <x v="15"/>
    <n v="0.47"/>
    <x v="13"/>
    <n v="7"/>
    <n v="210"/>
    <n v="217"/>
  </r>
  <r>
    <n v="123"/>
    <d v="2011-01-06T00:00:00"/>
    <x v="0"/>
    <x v="0"/>
    <x v="0"/>
    <d v="1900-01-04T02:00:00"/>
    <x v="0"/>
    <x v="4"/>
    <x v="0"/>
    <x v="2"/>
    <x v="9"/>
    <n v="0.59"/>
    <x v="0"/>
    <n v="3"/>
    <n v="216"/>
    <n v="219"/>
  </r>
  <r>
    <n v="766"/>
    <d v="2011-02-04T00:00:00"/>
    <x v="0"/>
    <x v="0"/>
    <x v="1"/>
    <d v="1900-01-30T21:00:00"/>
    <x v="0"/>
    <x v="5"/>
    <x v="0"/>
    <x v="3"/>
    <x v="4"/>
    <n v="0.74"/>
    <x v="4"/>
    <n v="3"/>
    <n v="217"/>
    <n v="220"/>
  </r>
  <r>
    <n v="565"/>
    <d v="2011-01-25T00:00:00"/>
    <x v="0"/>
    <x v="0"/>
    <x v="0"/>
    <d v="1900-01-22T12:00:00"/>
    <x v="0"/>
    <x v="3"/>
    <x v="0"/>
    <x v="22"/>
    <x v="21"/>
    <n v="0.45"/>
    <x v="0"/>
    <n v="14"/>
    <n v="208"/>
    <n v="222"/>
  </r>
  <r>
    <n v="566"/>
    <d v="2011-01-25T00:00:00"/>
    <x v="0"/>
    <x v="0"/>
    <x v="0"/>
    <d v="1900-01-22T13:00:00"/>
    <x v="0"/>
    <x v="3"/>
    <x v="1"/>
    <x v="22"/>
    <x v="22"/>
    <n v="0.49"/>
    <x v="1"/>
    <n v="7"/>
    <n v="218"/>
    <n v="225"/>
  </r>
  <r>
    <n v="838"/>
    <d v="2011-02-07T00:00:00"/>
    <x v="0"/>
    <x v="0"/>
    <x v="1"/>
    <d v="1900-02-02T21:00:00"/>
    <x v="0"/>
    <x v="2"/>
    <x v="1"/>
    <x v="2"/>
    <x v="9"/>
    <n v="1"/>
    <x v="0"/>
    <n v="7"/>
    <n v="223"/>
    <n v="230"/>
  </r>
  <r>
    <n v="556"/>
    <d v="2011-01-25T00:00:00"/>
    <x v="0"/>
    <x v="0"/>
    <x v="0"/>
    <d v="1900-01-22T03:00:00"/>
    <x v="0"/>
    <x v="3"/>
    <x v="1"/>
    <x v="2"/>
    <x v="15"/>
    <n v="0.74"/>
    <x v="4"/>
    <n v="5"/>
    <n v="233"/>
    <n v="238"/>
  </r>
  <r>
    <n v="862"/>
    <d v="2011-02-08T00:00:00"/>
    <x v="0"/>
    <x v="0"/>
    <x v="1"/>
    <d v="1900-02-03T21:00:00"/>
    <x v="0"/>
    <x v="3"/>
    <x v="0"/>
    <x v="0"/>
    <x v="5"/>
    <n v="0.56000000000000005"/>
    <x v="19"/>
    <n v="7"/>
    <n v="236"/>
    <n v="243"/>
  </r>
  <r>
    <n v="440"/>
    <d v="2011-01-20T00:00:00"/>
    <x v="0"/>
    <x v="0"/>
    <x v="0"/>
    <d v="1900-01-17T07:00:00"/>
    <x v="0"/>
    <x v="4"/>
    <x v="0"/>
    <x v="10"/>
    <x v="6"/>
    <n v="0.55000000000000004"/>
    <x v="7"/>
    <n v="2"/>
    <n v="247"/>
    <n v="24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x v="0"/>
    <x v="0"/>
    <x v="0"/>
    <x v="0"/>
    <x v="0"/>
    <x v="0"/>
    <x v="0"/>
    <x v="0"/>
    <x v="0"/>
    <x v="0"/>
    <n v="0.75"/>
    <x v="0"/>
    <n v="0"/>
    <n v="1"/>
    <n v="1"/>
  </r>
  <r>
    <n v="6"/>
    <x v="0"/>
    <x v="0"/>
    <x v="0"/>
    <x v="0"/>
    <x v="1"/>
    <x v="0"/>
    <x v="0"/>
    <x v="1"/>
    <x v="0"/>
    <x v="1"/>
    <n v="0.75"/>
    <x v="1"/>
    <n v="0"/>
    <n v="1"/>
    <n v="1"/>
  </r>
  <r>
    <n v="31"/>
    <x v="1"/>
    <x v="0"/>
    <x v="0"/>
    <x v="0"/>
    <x v="2"/>
    <x v="0"/>
    <x v="1"/>
    <x v="1"/>
    <x v="1"/>
    <x v="2"/>
    <n v="0.76"/>
    <x v="2"/>
    <n v="0"/>
    <n v="1"/>
    <n v="1"/>
  </r>
  <r>
    <n v="50"/>
    <x v="2"/>
    <x v="0"/>
    <x v="0"/>
    <x v="0"/>
    <x v="3"/>
    <x v="0"/>
    <x v="2"/>
    <x v="0"/>
    <x v="2"/>
    <x v="3"/>
    <n v="0.47"/>
    <x v="3"/>
    <n v="0"/>
    <n v="1"/>
    <n v="1"/>
  </r>
  <r>
    <n v="72"/>
    <x v="3"/>
    <x v="0"/>
    <x v="0"/>
    <x v="0"/>
    <x v="4"/>
    <x v="0"/>
    <x v="3"/>
    <x v="0"/>
    <x v="3"/>
    <x v="4"/>
    <n v="0.63"/>
    <x v="4"/>
    <n v="0"/>
    <n v="1"/>
    <n v="1"/>
  </r>
  <r>
    <n v="119"/>
    <x v="4"/>
    <x v="0"/>
    <x v="0"/>
    <x v="0"/>
    <x v="5"/>
    <x v="0"/>
    <x v="4"/>
    <x v="1"/>
    <x v="2"/>
    <x v="5"/>
    <n v="0.64"/>
    <x v="1"/>
    <n v="0"/>
    <n v="1"/>
    <n v="1"/>
  </r>
  <r>
    <n v="141"/>
    <x v="5"/>
    <x v="0"/>
    <x v="0"/>
    <x v="0"/>
    <x v="6"/>
    <x v="0"/>
    <x v="5"/>
    <x v="1"/>
    <x v="4"/>
    <x v="5"/>
    <n v="0.69"/>
    <x v="5"/>
    <n v="0"/>
    <n v="1"/>
    <n v="1"/>
  </r>
  <r>
    <n v="142"/>
    <x v="5"/>
    <x v="0"/>
    <x v="0"/>
    <x v="0"/>
    <x v="7"/>
    <x v="0"/>
    <x v="5"/>
    <x v="1"/>
    <x v="4"/>
    <x v="6"/>
    <n v="0.69"/>
    <x v="4"/>
    <n v="0"/>
    <n v="1"/>
    <n v="1"/>
  </r>
  <r>
    <n v="166"/>
    <x v="6"/>
    <x v="0"/>
    <x v="0"/>
    <x v="0"/>
    <x v="8"/>
    <x v="0"/>
    <x v="0"/>
    <x v="2"/>
    <x v="5"/>
    <x v="5"/>
    <n v="0.55000000000000004"/>
    <x v="6"/>
    <n v="0"/>
    <n v="1"/>
    <n v="1"/>
  </r>
  <r>
    <n v="190"/>
    <x v="7"/>
    <x v="0"/>
    <x v="0"/>
    <x v="0"/>
    <x v="9"/>
    <x v="0"/>
    <x v="1"/>
    <x v="0"/>
    <x v="6"/>
    <x v="7"/>
    <n v="0.53"/>
    <x v="2"/>
    <n v="0"/>
    <n v="1"/>
    <n v="1"/>
  </r>
  <r>
    <n v="191"/>
    <x v="7"/>
    <x v="0"/>
    <x v="0"/>
    <x v="0"/>
    <x v="10"/>
    <x v="0"/>
    <x v="1"/>
    <x v="0"/>
    <x v="6"/>
    <x v="7"/>
    <n v="0.53"/>
    <x v="2"/>
    <n v="0"/>
    <n v="1"/>
    <n v="1"/>
  </r>
  <r>
    <n v="192"/>
    <x v="7"/>
    <x v="0"/>
    <x v="0"/>
    <x v="0"/>
    <x v="11"/>
    <x v="0"/>
    <x v="1"/>
    <x v="0"/>
    <x v="7"/>
    <x v="7"/>
    <n v="0.49"/>
    <x v="7"/>
    <n v="0"/>
    <n v="1"/>
    <n v="1"/>
  </r>
  <r>
    <n v="211"/>
    <x v="8"/>
    <x v="0"/>
    <x v="0"/>
    <x v="0"/>
    <x v="12"/>
    <x v="0"/>
    <x v="2"/>
    <x v="0"/>
    <x v="8"/>
    <x v="8"/>
    <n v="0.5"/>
    <x v="7"/>
    <n v="1"/>
    <n v="0"/>
    <n v="1"/>
  </r>
  <r>
    <n v="213"/>
    <x v="8"/>
    <x v="0"/>
    <x v="0"/>
    <x v="0"/>
    <x v="13"/>
    <x v="0"/>
    <x v="2"/>
    <x v="0"/>
    <x v="8"/>
    <x v="8"/>
    <n v="0.5"/>
    <x v="5"/>
    <n v="0"/>
    <n v="1"/>
    <n v="1"/>
  </r>
  <r>
    <n v="258"/>
    <x v="9"/>
    <x v="0"/>
    <x v="0"/>
    <x v="0"/>
    <x v="14"/>
    <x v="0"/>
    <x v="6"/>
    <x v="0"/>
    <x v="3"/>
    <x v="4"/>
    <n v="0.86"/>
    <x v="4"/>
    <n v="0"/>
    <n v="1"/>
    <n v="1"/>
  </r>
  <r>
    <n v="304"/>
    <x v="10"/>
    <x v="0"/>
    <x v="0"/>
    <x v="0"/>
    <x v="15"/>
    <x v="0"/>
    <x v="5"/>
    <x v="0"/>
    <x v="7"/>
    <x v="8"/>
    <n v="0.54"/>
    <x v="4"/>
    <n v="0"/>
    <n v="1"/>
    <n v="1"/>
  </r>
  <r>
    <n v="305"/>
    <x v="10"/>
    <x v="0"/>
    <x v="0"/>
    <x v="0"/>
    <x v="16"/>
    <x v="0"/>
    <x v="5"/>
    <x v="0"/>
    <x v="7"/>
    <x v="3"/>
    <n v="0.54"/>
    <x v="8"/>
    <n v="0"/>
    <n v="1"/>
    <n v="1"/>
  </r>
  <r>
    <n v="330"/>
    <x v="11"/>
    <x v="0"/>
    <x v="0"/>
    <x v="0"/>
    <x v="17"/>
    <x v="0"/>
    <x v="0"/>
    <x v="0"/>
    <x v="2"/>
    <x v="9"/>
    <n v="0.59"/>
    <x v="0"/>
    <n v="0"/>
    <n v="1"/>
    <n v="1"/>
  </r>
  <r>
    <n v="353"/>
    <x v="12"/>
    <x v="0"/>
    <x v="0"/>
    <x v="0"/>
    <x v="18"/>
    <x v="0"/>
    <x v="1"/>
    <x v="0"/>
    <x v="9"/>
    <x v="1"/>
    <n v="0.56000000000000005"/>
    <x v="6"/>
    <n v="0"/>
    <n v="1"/>
    <n v="1"/>
  </r>
  <r>
    <n v="355"/>
    <x v="12"/>
    <x v="0"/>
    <x v="0"/>
    <x v="0"/>
    <x v="19"/>
    <x v="0"/>
    <x v="1"/>
    <x v="1"/>
    <x v="9"/>
    <x v="1"/>
    <n v="0.56000000000000005"/>
    <x v="6"/>
    <n v="0"/>
    <n v="1"/>
    <n v="1"/>
  </r>
  <r>
    <n v="378"/>
    <x v="13"/>
    <x v="0"/>
    <x v="0"/>
    <x v="0"/>
    <x v="20"/>
    <x v="1"/>
    <x v="2"/>
    <x v="1"/>
    <x v="5"/>
    <x v="5"/>
    <n v="0.43"/>
    <x v="6"/>
    <n v="0"/>
    <n v="1"/>
    <n v="1"/>
  </r>
  <r>
    <n v="435"/>
    <x v="14"/>
    <x v="0"/>
    <x v="0"/>
    <x v="0"/>
    <x v="21"/>
    <x v="0"/>
    <x v="4"/>
    <x v="0"/>
    <x v="9"/>
    <x v="1"/>
    <n v="0.56000000000000005"/>
    <x v="6"/>
    <n v="0"/>
    <n v="1"/>
    <n v="1"/>
  </r>
  <r>
    <n v="436"/>
    <x v="14"/>
    <x v="0"/>
    <x v="0"/>
    <x v="0"/>
    <x v="22"/>
    <x v="0"/>
    <x v="4"/>
    <x v="0"/>
    <x v="9"/>
    <x v="1"/>
    <n v="0.56000000000000005"/>
    <x v="6"/>
    <n v="0"/>
    <n v="1"/>
    <n v="1"/>
  </r>
  <r>
    <n v="459"/>
    <x v="15"/>
    <x v="0"/>
    <x v="0"/>
    <x v="0"/>
    <x v="23"/>
    <x v="0"/>
    <x v="5"/>
    <x v="2"/>
    <x v="10"/>
    <x v="6"/>
    <n v="0.8"/>
    <x v="9"/>
    <n v="0"/>
    <n v="1"/>
    <n v="1"/>
  </r>
  <r>
    <n v="460"/>
    <x v="15"/>
    <x v="0"/>
    <x v="0"/>
    <x v="0"/>
    <x v="24"/>
    <x v="0"/>
    <x v="5"/>
    <x v="1"/>
    <x v="10"/>
    <x v="1"/>
    <n v="0.87"/>
    <x v="1"/>
    <n v="0"/>
    <n v="1"/>
    <n v="1"/>
  </r>
  <r>
    <n v="508"/>
    <x v="16"/>
    <x v="0"/>
    <x v="0"/>
    <x v="0"/>
    <x v="25"/>
    <x v="0"/>
    <x v="1"/>
    <x v="1"/>
    <x v="11"/>
    <x v="10"/>
    <n v="0.56999999999999995"/>
    <x v="8"/>
    <n v="0"/>
    <n v="1"/>
    <n v="1"/>
  </r>
  <r>
    <n v="527"/>
    <x v="17"/>
    <x v="0"/>
    <x v="0"/>
    <x v="0"/>
    <x v="26"/>
    <x v="0"/>
    <x v="2"/>
    <x v="0"/>
    <x v="11"/>
    <x v="11"/>
    <n v="0.45"/>
    <x v="2"/>
    <n v="0"/>
    <n v="1"/>
    <n v="1"/>
  </r>
  <r>
    <n v="528"/>
    <x v="17"/>
    <x v="0"/>
    <x v="0"/>
    <x v="0"/>
    <x v="27"/>
    <x v="0"/>
    <x v="2"/>
    <x v="0"/>
    <x v="11"/>
    <x v="12"/>
    <n v="0.45"/>
    <x v="10"/>
    <n v="0"/>
    <n v="1"/>
    <n v="1"/>
  </r>
  <r>
    <n v="529"/>
    <x v="17"/>
    <x v="0"/>
    <x v="0"/>
    <x v="0"/>
    <x v="28"/>
    <x v="0"/>
    <x v="2"/>
    <x v="0"/>
    <x v="12"/>
    <x v="13"/>
    <n v="0.48"/>
    <x v="4"/>
    <n v="0"/>
    <n v="1"/>
    <n v="1"/>
  </r>
  <r>
    <n v="552"/>
    <x v="18"/>
    <x v="0"/>
    <x v="0"/>
    <x v="0"/>
    <x v="29"/>
    <x v="0"/>
    <x v="3"/>
    <x v="0"/>
    <x v="3"/>
    <x v="14"/>
    <n v="0.74"/>
    <x v="8"/>
    <n v="0"/>
    <n v="1"/>
    <n v="1"/>
  </r>
  <r>
    <n v="575"/>
    <x v="19"/>
    <x v="0"/>
    <x v="0"/>
    <x v="0"/>
    <x v="30"/>
    <x v="0"/>
    <x v="6"/>
    <x v="2"/>
    <x v="4"/>
    <x v="15"/>
    <n v="0.86"/>
    <x v="7"/>
    <n v="0"/>
    <n v="1"/>
    <n v="1"/>
  </r>
  <r>
    <n v="599"/>
    <x v="20"/>
    <x v="0"/>
    <x v="0"/>
    <x v="0"/>
    <x v="31"/>
    <x v="0"/>
    <x v="5"/>
    <x v="1"/>
    <x v="4"/>
    <x v="9"/>
    <n v="0.75"/>
    <x v="8"/>
    <n v="1"/>
    <n v="0"/>
    <n v="1"/>
  </r>
  <r>
    <n v="646"/>
    <x v="21"/>
    <x v="0"/>
    <x v="0"/>
    <x v="0"/>
    <x v="32"/>
    <x v="0"/>
    <x v="1"/>
    <x v="0"/>
    <x v="3"/>
    <x v="6"/>
    <n v="0.93"/>
    <x v="0"/>
    <n v="0"/>
    <n v="1"/>
    <n v="1"/>
  </r>
  <r>
    <n v="667"/>
    <x v="22"/>
    <x v="0"/>
    <x v="0"/>
    <x v="0"/>
    <x v="33"/>
    <x v="0"/>
    <x v="2"/>
    <x v="0"/>
    <x v="10"/>
    <x v="9"/>
    <n v="0.64"/>
    <x v="2"/>
    <n v="0"/>
    <n v="1"/>
    <n v="1"/>
  </r>
  <r>
    <n v="715"/>
    <x v="23"/>
    <x v="0"/>
    <x v="0"/>
    <x v="1"/>
    <x v="34"/>
    <x v="0"/>
    <x v="6"/>
    <x v="2"/>
    <x v="10"/>
    <x v="9"/>
    <n v="0.93"/>
    <x v="4"/>
    <n v="0"/>
    <n v="1"/>
    <n v="1"/>
  </r>
  <r>
    <n v="716"/>
    <x v="23"/>
    <x v="0"/>
    <x v="0"/>
    <x v="1"/>
    <x v="35"/>
    <x v="0"/>
    <x v="6"/>
    <x v="2"/>
    <x v="10"/>
    <x v="6"/>
    <n v="0.93"/>
    <x v="7"/>
    <n v="0"/>
    <n v="1"/>
    <n v="1"/>
  </r>
  <r>
    <n v="739"/>
    <x v="24"/>
    <x v="0"/>
    <x v="0"/>
    <x v="1"/>
    <x v="36"/>
    <x v="0"/>
    <x v="4"/>
    <x v="0"/>
    <x v="5"/>
    <x v="14"/>
    <n v="0.43"/>
    <x v="10"/>
    <n v="0"/>
    <n v="1"/>
    <n v="1"/>
  </r>
  <r>
    <n v="761"/>
    <x v="25"/>
    <x v="0"/>
    <x v="0"/>
    <x v="1"/>
    <x v="37"/>
    <x v="0"/>
    <x v="5"/>
    <x v="1"/>
    <x v="3"/>
    <x v="14"/>
    <n v="0.63"/>
    <x v="8"/>
    <n v="0"/>
    <n v="1"/>
    <n v="1"/>
  </r>
  <r>
    <n v="762"/>
    <x v="25"/>
    <x v="0"/>
    <x v="0"/>
    <x v="1"/>
    <x v="38"/>
    <x v="0"/>
    <x v="5"/>
    <x v="1"/>
    <x v="3"/>
    <x v="14"/>
    <n v="0.63"/>
    <x v="8"/>
    <n v="0"/>
    <n v="1"/>
    <n v="1"/>
  </r>
  <r>
    <n v="811"/>
    <x v="26"/>
    <x v="0"/>
    <x v="0"/>
    <x v="1"/>
    <x v="39"/>
    <x v="0"/>
    <x v="1"/>
    <x v="0"/>
    <x v="9"/>
    <x v="1"/>
    <n v="0.6"/>
    <x v="5"/>
    <n v="0"/>
    <n v="1"/>
    <n v="1"/>
  </r>
  <r>
    <n v="812"/>
    <x v="26"/>
    <x v="0"/>
    <x v="0"/>
    <x v="1"/>
    <x v="40"/>
    <x v="0"/>
    <x v="1"/>
    <x v="0"/>
    <x v="9"/>
    <x v="1"/>
    <n v="0.6"/>
    <x v="5"/>
    <n v="0"/>
    <n v="1"/>
    <n v="1"/>
  </r>
  <r>
    <n v="833"/>
    <x v="27"/>
    <x v="0"/>
    <x v="0"/>
    <x v="1"/>
    <x v="41"/>
    <x v="0"/>
    <x v="2"/>
    <x v="0"/>
    <x v="4"/>
    <x v="1"/>
    <n v="0.86"/>
    <x v="0"/>
    <n v="0"/>
    <n v="1"/>
    <n v="1"/>
  </r>
  <r>
    <n v="857"/>
    <x v="28"/>
    <x v="0"/>
    <x v="0"/>
    <x v="1"/>
    <x v="42"/>
    <x v="0"/>
    <x v="3"/>
    <x v="2"/>
    <x v="13"/>
    <x v="16"/>
    <n v="0.93"/>
    <x v="6"/>
    <n v="0"/>
    <n v="1"/>
    <n v="1"/>
  </r>
  <r>
    <n v="904"/>
    <x v="29"/>
    <x v="0"/>
    <x v="0"/>
    <x v="1"/>
    <x v="43"/>
    <x v="0"/>
    <x v="4"/>
    <x v="1"/>
    <x v="3"/>
    <x v="3"/>
    <n v="0.59"/>
    <x v="5"/>
    <n v="0"/>
    <n v="1"/>
    <n v="1"/>
  </r>
  <r>
    <n v="951"/>
    <x v="30"/>
    <x v="0"/>
    <x v="0"/>
    <x v="1"/>
    <x v="44"/>
    <x v="0"/>
    <x v="0"/>
    <x v="0"/>
    <x v="8"/>
    <x v="14"/>
    <n v="0.74"/>
    <x v="1"/>
    <n v="0"/>
    <n v="1"/>
    <n v="1"/>
  </r>
  <r>
    <n v="7"/>
    <x v="0"/>
    <x v="0"/>
    <x v="0"/>
    <x v="0"/>
    <x v="45"/>
    <x v="0"/>
    <x v="0"/>
    <x v="0"/>
    <x v="10"/>
    <x v="16"/>
    <n v="0.8"/>
    <x v="0"/>
    <n v="2"/>
    <n v="0"/>
    <n v="2"/>
  </r>
  <r>
    <n v="30"/>
    <x v="1"/>
    <x v="0"/>
    <x v="0"/>
    <x v="0"/>
    <x v="46"/>
    <x v="0"/>
    <x v="1"/>
    <x v="2"/>
    <x v="14"/>
    <x v="17"/>
    <n v="0.77"/>
    <x v="9"/>
    <n v="0"/>
    <n v="2"/>
    <n v="2"/>
  </r>
  <r>
    <n v="49"/>
    <x v="2"/>
    <x v="0"/>
    <x v="0"/>
    <x v="0"/>
    <x v="47"/>
    <x v="0"/>
    <x v="2"/>
    <x v="0"/>
    <x v="4"/>
    <x v="18"/>
    <n v="0.44"/>
    <x v="11"/>
    <n v="0"/>
    <n v="2"/>
    <n v="2"/>
  </r>
  <r>
    <n v="71"/>
    <x v="3"/>
    <x v="0"/>
    <x v="0"/>
    <x v="0"/>
    <x v="48"/>
    <x v="0"/>
    <x v="3"/>
    <x v="0"/>
    <x v="2"/>
    <x v="15"/>
    <n v="0.59"/>
    <x v="8"/>
    <n v="0"/>
    <n v="2"/>
    <n v="2"/>
  </r>
  <r>
    <n v="73"/>
    <x v="3"/>
    <x v="0"/>
    <x v="0"/>
    <x v="0"/>
    <x v="49"/>
    <x v="0"/>
    <x v="3"/>
    <x v="0"/>
    <x v="3"/>
    <x v="15"/>
    <n v="0.63"/>
    <x v="1"/>
    <n v="0"/>
    <n v="2"/>
    <n v="2"/>
  </r>
  <r>
    <n v="95"/>
    <x v="31"/>
    <x v="0"/>
    <x v="0"/>
    <x v="0"/>
    <x v="50"/>
    <x v="0"/>
    <x v="6"/>
    <x v="0"/>
    <x v="2"/>
    <x v="5"/>
    <n v="0.74"/>
    <x v="1"/>
    <n v="0"/>
    <n v="2"/>
    <n v="2"/>
  </r>
  <r>
    <n v="96"/>
    <x v="31"/>
    <x v="0"/>
    <x v="0"/>
    <x v="0"/>
    <x v="51"/>
    <x v="0"/>
    <x v="6"/>
    <x v="0"/>
    <x v="0"/>
    <x v="9"/>
    <n v="0.48"/>
    <x v="5"/>
    <n v="0"/>
    <n v="2"/>
    <n v="2"/>
  </r>
  <r>
    <n v="118"/>
    <x v="4"/>
    <x v="0"/>
    <x v="0"/>
    <x v="0"/>
    <x v="52"/>
    <x v="0"/>
    <x v="4"/>
    <x v="0"/>
    <x v="2"/>
    <x v="9"/>
    <n v="0.64"/>
    <x v="0"/>
    <n v="0"/>
    <n v="2"/>
    <n v="2"/>
  </r>
  <r>
    <n v="168"/>
    <x v="6"/>
    <x v="0"/>
    <x v="0"/>
    <x v="0"/>
    <x v="53"/>
    <x v="0"/>
    <x v="0"/>
    <x v="1"/>
    <x v="2"/>
    <x v="14"/>
    <n v="0.74"/>
    <x v="6"/>
    <n v="0"/>
    <n v="2"/>
    <n v="2"/>
  </r>
  <r>
    <n v="279"/>
    <x v="32"/>
    <x v="0"/>
    <x v="0"/>
    <x v="0"/>
    <x v="54"/>
    <x v="0"/>
    <x v="4"/>
    <x v="0"/>
    <x v="3"/>
    <x v="8"/>
    <n v="0.5"/>
    <x v="7"/>
    <n v="0"/>
    <n v="2"/>
    <n v="2"/>
  </r>
  <r>
    <n v="280"/>
    <x v="32"/>
    <x v="0"/>
    <x v="0"/>
    <x v="0"/>
    <x v="55"/>
    <x v="0"/>
    <x v="4"/>
    <x v="0"/>
    <x v="3"/>
    <x v="8"/>
    <n v="0.5"/>
    <x v="12"/>
    <n v="0"/>
    <n v="2"/>
    <n v="2"/>
  </r>
  <r>
    <n v="354"/>
    <x v="12"/>
    <x v="0"/>
    <x v="0"/>
    <x v="0"/>
    <x v="56"/>
    <x v="0"/>
    <x v="1"/>
    <x v="1"/>
    <x v="9"/>
    <x v="1"/>
    <n v="0.56000000000000005"/>
    <x v="6"/>
    <n v="1"/>
    <n v="1"/>
    <n v="2"/>
  </r>
  <r>
    <n v="376"/>
    <x v="13"/>
    <x v="0"/>
    <x v="0"/>
    <x v="0"/>
    <x v="57"/>
    <x v="1"/>
    <x v="2"/>
    <x v="1"/>
    <x v="5"/>
    <x v="15"/>
    <n v="0.43"/>
    <x v="2"/>
    <n v="0"/>
    <n v="2"/>
    <n v="2"/>
  </r>
  <r>
    <n v="412"/>
    <x v="33"/>
    <x v="0"/>
    <x v="0"/>
    <x v="0"/>
    <x v="58"/>
    <x v="0"/>
    <x v="6"/>
    <x v="2"/>
    <x v="10"/>
    <x v="9"/>
    <n v="0.93"/>
    <x v="4"/>
    <n v="1"/>
    <n v="1"/>
    <n v="2"/>
  </r>
  <r>
    <n v="434"/>
    <x v="14"/>
    <x v="0"/>
    <x v="0"/>
    <x v="0"/>
    <x v="59"/>
    <x v="0"/>
    <x v="4"/>
    <x v="0"/>
    <x v="9"/>
    <x v="16"/>
    <n v="0.56000000000000005"/>
    <x v="0"/>
    <n v="0"/>
    <n v="2"/>
    <n v="2"/>
  </r>
  <r>
    <n v="458"/>
    <x v="15"/>
    <x v="0"/>
    <x v="0"/>
    <x v="0"/>
    <x v="60"/>
    <x v="0"/>
    <x v="5"/>
    <x v="2"/>
    <x v="0"/>
    <x v="19"/>
    <n v="0.75"/>
    <x v="6"/>
    <n v="0"/>
    <n v="2"/>
    <n v="2"/>
  </r>
  <r>
    <n v="485"/>
    <x v="34"/>
    <x v="0"/>
    <x v="0"/>
    <x v="0"/>
    <x v="61"/>
    <x v="0"/>
    <x v="0"/>
    <x v="1"/>
    <x v="12"/>
    <x v="12"/>
    <n v="0.44"/>
    <x v="5"/>
    <n v="0"/>
    <n v="2"/>
    <n v="2"/>
  </r>
  <r>
    <n v="509"/>
    <x v="16"/>
    <x v="0"/>
    <x v="0"/>
    <x v="0"/>
    <x v="62"/>
    <x v="0"/>
    <x v="1"/>
    <x v="0"/>
    <x v="6"/>
    <x v="20"/>
    <n v="0.57999999999999996"/>
    <x v="6"/>
    <n v="1"/>
    <n v="1"/>
    <n v="2"/>
  </r>
  <r>
    <n v="551"/>
    <x v="18"/>
    <x v="0"/>
    <x v="0"/>
    <x v="0"/>
    <x v="63"/>
    <x v="0"/>
    <x v="3"/>
    <x v="0"/>
    <x v="2"/>
    <x v="4"/>
    <n v="0.69"/>
    <x v="5"/>
    <n v="0"/>
    <n v="2"/>
    <n v="2"/>
  </r>
  <r>
    <n v="598"/>
    <x v="20"/>
    <x v="0"/>
    <x v="0"/>
    <x v="0"/>
    <x v="64"/>
    <x v="0"/>
    <x v="5"/>
    <x v="1"/>
    <x v="4"/>
    <x v="6"/>
    <n v="0.75"/>
    <x v="6"/>
    <n v="0"/>
    <n v="2"/>
    <n v="2"/>
  </r>
  <r>
    <n v="624"/>
    <x v="35"/>
    <x v="0"/>
    <x v="0"/>
    <x v="0"/>
    <x v="65"/>
    <x v="0"/>
    <x v="0"/>
    <x v="0"/>
    <x v="2"/>
    <x v="15"/>
    <n v="0.64"/>
    <x v="4"/>
    <n v="0"/>
    <n v="2"/>
    <n v="2"/>
  </r>
  <r>
    <n v="668"/>
    <x v="22"/>
    <x v="0"/>
    <x v="0"/>
    <x v="0"/>
    <x v="66"/>
    <x v="0"/>
    <x v="2"/>
    <x v="0"/>
    <x v="10"/>
    <x v="9"/>
    <n v="0.64"/>
    <x v="2"/>
    <n v="0"/>
    <n v="2"/>
    <n v="2"/>
  </r>
  <r>
    <n v="669"/>
    <x v="22"/>
    <x v="0"/>
    <x v="0"/>
    <x v="0"/>
    <x v="67"/>
    <x v="0"/>
    <x v="2"/>
    <x v="0"/>
    <x v="4"/>
    <x v="5"/>
    <n v="0.59"/>
    <x v="5"/>
    <n v="0"/>
    <n v="2"/>
    <n v="2"/>
  </r>
  <r>
    <n v="691"/>
    <x v="36"/>
    <x v="0"/>
    <x v="0"/>
    <x v="1"/>
    <x v="68"/>
    <x v="0"/>
    <x v="3"/>
    <x v="1"/>
    <x v="2"/>
    <x v="9"/>
    <n v="0.69"/>
    <x v="0"/>
    <n v="0"/>
    <n v="2"/>
    <n v="2"/>
  </r>
  <r>
    <n v="692"/>
    <x v="36"/>
    <x v="0"/>
    <x v="0"/>
    <x v="1"/>
    <x v="69"/>
    <x v="0"/>
    <x v="3"/>
    <x v="1"/>
    <x v="2"/>
    <x v="9"/>
    <n v="0.69"/>
    <x v="0"/>
    <n v="0"/>
    <n v="2"/>
    <n v="2"/>
  </r>
  <r>
    <n v="712"/>
    <x v="23"/>
    <x v="0"/>
    <x v="0"/>
    <x v="1"/>
    <x v="70"/>
    <x v="0"/>
    <x v="6"/>
    <x v="2"/>
    <x v="10"/>
    <x v="19"/>
    <n v="0.93"/>
    <x v="8"/>
    <n v="0"/>
    <n v="2"/>
    <n v="2"/>
  </r>
  <r>
    <n v="738"/>
    <x v="24"/>
    <x v="0"/>
    <x v="0"/>
    <x v="1"/>
    <x v="71"/>
    <x v="0"/>
    <x v="4"/>
    <x v="0"/>
    <x v="5"/>
    <x v="14"/>
    <n v="0.43"/>
    <x v="10"/>
    <n v="0"/>
    <n v="2"/>
    <n v="2"/>
  </r>
  <r>
    <n v="740"/>
    <x v="24"/>
    <x v="0"/>
    <x v="0"/>
    <x v="1"/>
    <x v="72"/>
    <x v="0"/>
    <x v="4"/>
    <x v="0"/>
    <x v="2"/>
    <x v="3"/>
    <n v="0.5"/>
    <x v="9"/>
    <n v="0"/>
    <n v="2"/>
    <n v="2"/>
  </r>
  <r>
    <n v="810"/>
    <x v="26"/>
    <x v="0"/>
    <x v="0"/>
    <x v="1"/>
    <x v="73"/>
    <x v="0"/>
    <x v="1"/>
    <x v="0"/>
    <x v="9"/>
    <x v="9"/>
    <n v="0.6"/>
    <x v="12"/>
    <n v="0"/>
    <n v="2"/>
    <n v="2"/>
  </r>
  <r>
    <n v="834"/>
    <x v="27"/>
    <x v="0"/>
    <x v="0"/>
    <x v="1"/>
    <x v="74"/>
    <x v="0"/>
    <x v="2"/>
    <x v="0"/>
    <x v="4"/>
    <x v="1"/>
    <n v="0.86"/>
    <x v="0"/>
    <n v="1"/>
    <n v="1"/>
    <n v="2"/>
  </r>
  <r>
    <n v="856"/>
    <x v="28"/>
    <x v="0"/>
    <x v="0"/>
    <x v="1"/>
    <x v="75"/>
    <x v="0"/>
    <x v="3"/>
    <x v="1"/>
    <x v="9"/>
    <x v="16"/>
    <n v="0.93"/>
    <x v="8"/>
    <n v="1"/>
    <n v="1"/>
    <n v="2"/>
  </r>
  <r>
    <n v="859"/>
    <x v="28"/>
    <x v="0"/>
    <x v="0"/>
    <x v="1"/>
    <x v="76"/>
    <x v="0"/>
    <x v="3"/>
    <x v="0"/>
    <x v="9"/>
    <x v="9"/>
    <n v="0.81"/>
    <x v="13"/>
    <n v="0"/>
    <n v="2"/>
    <n v="2"/>
  </r>
  <r>
    <n v="881"/>
    <x v="37"/>
    <x v="0"/>
    <x v="0"/>
    <x v="1"/>
    <x v="77"/>
    <x v="0"/>
    <x v="6"/>
    <x v="0"/>
    <x v="15"/>
    <x v="10"/>
    <n v="0.45"/>
    <x v="4"/>
    <n v="0"/>
    <n v="2"/>
    <n v="2"/>
  </r>
  <r>
    <n v="952"/>
    <x v="30"/>
    <x v="0"/>
    <x v="0"/>
    <x v="1"/>
    <x v="78"/>
    <x v="0"/>
    <x v="0"/>
    <x v="0"/>
    <x v="8"/>
    <x v="3"/>
    <n v="0.93"/>
    <x v="2"/>
    <n v="1"/>
    <n v="1"/>
    <n v="2"/>
  </r>
  <r>
    <n v="974"/>
    <x v="38"/>
    <x v="0"/>
    <x v="0"/>
    <x v="1"/>
    <x v="79"/>
    <x v="0"/>
    <x v="1"/>
    <x v="1"/>
    <x v="4"/>
    <x v="6"/>
    <n v="0.69"/>
    <x v="6"/>
    <n v="0"/>
    <n v="2"/>
    <n v="2"/>
  </r>
  <r>
    <n v="995"/>
    <x v="39"/>
    <x v="0"/>
    <x v="0"/>
    <x v="1"/>
    <x v="80"/>
    <x v="0"/>
    <x v="2"/>
    <x v="0"/>
    <x v="16"/>
    <x v="21"/>
    <n v="0.4"/>
    <x v="9"/>
    <n v="0"/>
    <n v="2"/>
    <n v="2"/>
  </r>
  <r>
    <n v="996"/>
    <x v="39"/>
    <x v="0"/>
    <x v="0"/>
    <x v="1"/>
    <x v="81"/>
    <x v="0"/>
    <x v="2"/>
    <x v="0"/>
    <x v="17"/>
    <x v="22"/>
    <n v="0.46"/>
    <x v="5"/>
    <n v="1"/>
    <n v="1"/>
    <n v="2"/>
  </r>
  <r>
    <n v="997"/>
    <x v="39"/>
    <x v="0"/>
    <x v="0"/>
    <x v="1"/>
    <x v="82"/>
    <x v="0"/>
    <x v="2"/>
    <x v="0"/>
    <x v="18"/>
    <x v="23"/>
    <n v="0.53"/>
    <x v="7"/>
    <n v="0"/>
    <n v="2"/>
    <n v="2"/>
  </r>
  <r>
    <n v="8"/>
    <x v="0"/>
    <x v="0"/>
    <x v="0"/>
    <x v="0"/>
    <x v="83"/>
    <x v="0"/>
    <x v="0"/>
    <x v="0"/>
    <x v="4"/>
    <x v="1"/>
    <n v="0.86"/>
    <x v="0"/>
    <n v="1"/>
    <n v="2"/>
    <n v="3"/>
  </r>
  <r>
    <n v="29"/>
    <x v="1"/>
    <x v="0"/>
    <x v="0"/>
    <x v="0"/>
    <x v="84"/>
    <x v="0"/>
    <x v="1"/>
    <x v="1"/>
    <x v="19"/>
    <x v="18"/>
    <n v="0.94"/>
    <x v="2"/>
    <n v="2"/>
    <n v="1"/>
    <n v="3"/>
  </r>
  <r>
    <n v="51"/>
    <x v="2"/>
    <x v="0"/>
    <x v="0"/>
    <x v="0"/>
    <x v="85"/>
    <x v="0"/>
    <x v="2"/>
    <x v="0"/>
    <x v="2"/>
    <x v="3"/>
    <n v="0.47"/>
    <x v="7"/>
    <n v="0"/>
    <n v="3"/>
    <n v="3"/>
  </r>
  <r>
    <n v="97"/>
    <x v="31"/>
    <x v="0"/>
    <x v="0"/>
    <x v="0"/>
    <x v="86"/>
    <x v="0"/>
    <x v="6"/>
    <x v="0"/>
    <x v="10"/>
    <x v="9"/>
    <n v="0.47"/>
    <x v="6"/>
    <n v="0"/>
    <n v="3"/>
    <n v="3"/>
  </r>
  <r>
    <n v="212"/>
    <x v="8"/>
    <x v="0"/>
    <x v="0"/>
    <x v="0"/>
    <x v="87"/>
    <x v="0"/>
    <x v="2"/>
    <x v="0"/>
    <x v="8"/>
    <x v="8"/>
    <n v="0.5"/>
    <x v="5"/>
    <n v="0"/>
    <n v="3"/>
    <n v="3"/>
  </r>
  <r>
    <n v="214"/>
    <x v="8"/>
    <x v="0"/>
    <x v="0"/>
    <x v="0"/>
    <x v="88"/>
    <x v="0"/>
    <x v="2"/>
    <x v="0"/>
    <x v="7"/>
    <x v="8"/>
    <n v="0.54"/>
    <x v="4"/>
    <n v="1"/>
    <n v="2"/>
    <n v="3"/>
  </r>
  <r>
    <n v="215"/>
    <x v="8"/>
    <x v="0"/>
    <x v="0"/>
    <x v="0"/>
    <x v="89"/>
    <x v="0"/>
    <x v="2"/>
    <x v="0"/>
    <x v="7"/>
    <x v="20"/>
    <n v="0.54"/>
    <x v="10"/>
    <n v="0"/>
    <n v="3"/>
    <n v="3"/>
  </r>
  <r>
    <n v="235"/>
    <x v="40"/>
    <x v="0"/>
    <x v="0"/>
    <x v="0"/>
    <x v="90"/>
    <x v="0"/>
    <x v="3"/>
    <x v="0"/>
    <x v="3"/>
    <x v="4"/>
    <n v="0.59"/>
    <x v="6"/>
    <n v="0"/>
    <n v="3"/>
    <n v="3"/>
  </r>
  <r>
    <n v="236"/>
    <x v="40"/>
    <x v="0"/>
    <x v="0"/>
    <x v="0"/>
    <x v="91"/>
    <x v="0"/>
    <x v="3"/>
    <x v="1"/>
    <x v="2"/>
    <x v="4"/>
    <n v="0.55000000000000004"/>
    <x v="2"/>
    <n v="0"/>
    <n v="3"/>
    <n v="3"/>
  </r>
  <r>
    <n v="281"/>
    <x v="32"/>
    <x v="0"/>
    <x v="0"/>
    <x v="0"/>
    <x v="92"/>
    <x v="0"/>
    <x v="4"/>
    <x v="0"/>
    <x v="3"/>
    <x v="8"/>
    <n v="0.5"/>
    <x v="13"/>
    <n v="0"/>
    <n v="3"/>
    <n v="3"/>
  </r>
  <r>
    <n v="283"/>
    <x v="32"/>
    <x v="0"/>
    <x v="0"/>
    <x v="0"/>
    <x v="93"/>
    <x v="0"/>
    <x v="4"/>
    <x v="0"/>
    <x v="3"/>
    <x v="8"/>
    <n v="0.5"/>
    <x v="9"/>
    <n v="0"/>
    <n v="3"/>
    <n v="3"/>
  </r>
  <r>
    <n v="331"/>
    <x v="11"/>
    <x v="0"/>
    <x v="0"/>
    <x v="0"/>
    <x v="94"/>
    <x v="0"/>
    <x v="0"/>
    <x v="0"/>
    <x v="3"/>
    <x v="14"/>
    <n v="0.63"/>
    <x v="8"/>
    <n v="1"/>
    <n v="2"/>
    <n v="3"/>
  </r>
  <r>
    <n v="356"/>
    <x v="12"/>
    <x v="0"/>
    <x v="0"/>
    <x v="0"/>
    <x v="95"/>
    <x v="0"/>
    <x v="1"/>
    <x v="1"/>
    <x v="0"/>
    <x v="6"/>
    <n v="0.56000000000000005"/>
    <x v="9"/>
    <n v="0"/>
    <n v="3"/>
    <n v="3"/>
  </r>
  <r>
    <n v="377"/>
    <x v="13"/>
    <x v="0"/>
    <x v="0"/>
    <x v="0"/>
    <x v="96"/>
    <x v="1"/>
    <x v="2"/>
    <x v="1"/>
    <x v="5"/>
    <x v="5"/>
    <n v="0.43"/>
    <x v="4"/>
    <n v="1"/>
    <n v="2"/>
    <n v="3"/>
  </r>
  <r>
    <n v="397"/>
    <x v="41"/>
    <x v="0"/>
    <x v="0"/>
    <x v="0"/>
    <x v="97"/>
    <x v="0"/>
    <x v="3"/>
    <x v="1"/>
    <x v="4"/>
    <x v="15"/>
    <n v="0.86"/>
    <x v="13"/>
    <n v="0"/>
    <n v="3"/>
    <n v="3"/>
  </r>
  <r>
    <n v="409"/>
    <x v="33"/>
    <x v="0"/>
    <x v="0"/>
    <x v="0"/>
    <x v="98"/>
    <x v="0"/>
    <x v="6"/>
    <x v="1"/>
    <x v="10"/>
    <x v="16"/>
    <n v="0.93"/>
    <x v="0"/>
    <n v="0"/>
    <n v="3"/>
    <n v="3"/>
  </r>
  <r>
    <n v="411"/>
    <x v="33"/>
    <x v="0"/>
    <x v="0"/>
    <x v="0"/>
    <x v="99"/>
    <x v="0"/>
    <x v="6"/>
    <x v="2"/>
    <x v="10"/>
    <x v="9"/>
    <n v="0.93"/>
    <x v="4"/>
    <n v="0"/>
    <n v="3"/>
    <n v="3"/>
  </r>
  <r>
    <n v="484"/>
    <x v="34"/>
    <x v="0"/>
    <x v="0"/>
    <x v="0"/>
    <x v="100"/>
    <x v="0"/>
    <x v="0"/>
    <x v="1"/>
    <x v="12"/>
    <x v="24"/>
    <n v="0.48"/>
    <x v="9"/>
    <n v="0"/>
    <n v="3"/>
    <n v="3"/>
  </r>
  <r>
    <n v="507"/>
    <x v="16"/>
    <x v="0"/>
    <x v="0"/>
    <x v="0"/>
    <x v="101"/>
    <x v="0"/>
    <x v="1"/>
    <x v="1"/>
    <x v="11"/>
    <x v="10"/>
    <n v="0.56999999999999995"/>
    <x v="8"/>
    <n v="0"/>
    <n v="3"/>
    <n v="3"/>
  </r>
  <r>
    <n v="597"/>
    <x v="20"/>
    <x v="0"/>
    <x v="0"/>
    <x v="0"/>
    <x v="102"/>
    <x v="0"/>
    <x v="5"/>
    <x v="1"/>
    <x v="4"/>
    <x v="6"/>
    <n v="0.75"/>
    <x v="4"/>
    <n v="1"/>
    <n v="2"/>
    <n v="3"/>
  </r>
  <r>
    <n v="623"/>
    <x v="35"/>
    <x v="0"/>
    <x v="0"/>
    <x v="0"/>
    <x v="103"/>
    <x v="0"/>
    <x v="0"/>
    <x v="0"/>
    <x v="2"/>
    <x v="15"/>
    <n v="0.69"/>
    <x v="8"/>
    <n v="1"/>
    <n v="2"/>
    <n v="3"/>
  </r>
  <r>
    <n v="647"/>
    <x v="21"/>
    <x v="0"/>
    <x v="0"/>
    <x v="0"/>
    <x v="104"/>
    <x v="0"/>
    <x v="1"/>
    <x v="0"/>
    <x v="3"/>
    <x v="6"/>
    <n v="0.86"/>
    <x v="0"/>
    <n v="0"/>
    <n v="3"/>
    <n v="3"/>
  </r>
  <r>
    <n v="648"/>
    <x v="21"/>
    <x v="0"/>
    <x v="0"/>
    <x v="0"/>
    <x v="105"/>
    <x v="0"/>
    <x v="1"/>
    <x v="0"/>
    <x v="3"/>
    <x v="6"/>
    <n v="0.86"/>
    <x v="0"/>
    <n v="0"/>
    <n v="3"/>
    <n v="3"/>
  </r>
  <r>
    <n v="690"/>
    <x v="36"/>
    <x v="0"/>
    <x v="0"/>
    <x v="1"/>
    <x v="106"/>
    <x v="0"/>
    <x v="3"/>
    <x v="1"/>
    <x v="2"/>
    <x v="15"/>
    <n v="0.69"/>
    <x v="8"/>
    <n v="0"/>
    <n v="3"/>
    <n v="3"/>
  </r>
  <r>
    <n v="693"/>
    <x v="36"/>
    <x v="0"/>
    <x v="0"/>
    <x v="1"/>
    <x v="107"/>
    <x v="0"/>
    <x v="3"/>
    <x v="2"/>
    <x v="3"/>
    <x v="6"/>
    <n v="0.93"/>
    <x v="0"/>
    <n v="0"/>
    <n v="3"/>
    <n v="3"/>
  </r>
  <r>
    <n v="713"/>
    <x v="23"/>
    <x v="0"/>
    <x v="0"/>
    <x v="1"/>
    <x v="108"/>
    <x v="0"/>
    <x v="6"/>
    <x v="2"/>
    <x v="10"/>
    <x v="9"/>
    <n v="0.93"/>
    <x v="2"/>
    <n v="0"/>
    <n v="3"/>
    <n v="3"/>
  </r>
  <r>
    <n v="717"/>
    <x v="23"/>
    <x v="0"/>
    <x v="0"/>
    <x v="1"/>
    <x v="109"/>
    <x v="0"/>
    <x v="6"/>
    <x v="2"/>
    <x v="10"/>
    <x v="19"/>
    <n v="0.93"/>
    <x v="8"/>
    <n v="0"/>
    <n v="3"/>
    <n v="3"/>
  </r>
  <r>
    <n v="832"/>
    <x v="27"/>
    <x v="0"/>
    <x v="0"/>
    <x v="1"/>
    <x v="110"/>
    <x v="0"/>
    <x v="2"/>
    <x v="0"/>
    <x v="4"/>
    <x v="1"/>
    <n v="0.8"/>
    <x v="0"/>
    <n v="0"/>
    <n v="3"/>
    <n v="3"/>
  </r>
  <r>
    <n v="858"/>
    <x v="28"/>
    <x v="0"/>
    <x v="0"/>
    <x v="1"/>
    <x v="111"/>
    <x v="0"/>
    <x v="3"/>
    <x v="0"/>
    <x v="9"/>
    <x v="1"/>
    <n v="0.93"/>
    <x v="6"/>
    <n v="0"/>
    <n v="3"/>
    <n v="3"/>
  </r>
  <r>
    <n v="880"/>
    <x v="37"/>
    <x v="0"/>
    <x v="0"/>
    <x v="1"/>
    <x v="112"/>
    <x v="0"/>
    <x v="6"/>
    <x v="0"/>
    <x v="6"/>
    <x v="10"/>
    <n v="0.38"/>
    <x v="7"/>
    <n v="1"/>
    <n v="2"/>
    <n v="3"/>
  </r>
  <r>
    <n v="903"/>
    <x v="29"/>
    <x v="0"/>
    <x v="0"/>
    <x v="1"/>
    <x v="113"/>
    <x v="0"/>
    <x v="4"/>
    <x v="2"/>
    <x v="3"/>
    <x v="4"/>
    <n v="0.8"/>
    <x v="4"/>
    <n v="0"/>
    <n v="3"/>
    <n v="3"/>
  </r>
  <r>
    <n v="926"/>
    <x v="42"/>
    <x v="0"/>
    <x v="0"/>
    <x v="1"/>
    <x v="114"/>
    <x v="0"/>
    <x v="5"/>
    <x v="0"/>
    <x v="7"/>
    <x v="3"/>
    <n v="0.54"/>
    <x v="1"/>
    <n v="0"/>
    <n v="3"/>
    <n v="3"/>
  </r>
  <r>
    <n v="976"/>
    <x v="38"/>
    <x v="0"/>
    <x v="0"/>
    <x v="1"/>
    <x v="115"/>
    <x v="0"/>
    <x v="1"/>
    <x v="1"/>
    <x v="10"/>
    <x v="16"/>
    <n v="0.55000000000000004"/>
    <x v="0"/>
    <n v="0"/>
    <n v="3"/>
    <n v="3"/>
  </r>
  <r>
    <n v="998"/>
    <x v="39"/>
    <x v="0"/>
    <x v="0"/>
    <x v="1"/>
    <x v="116"/>
    <x v="0"/>
    <x v="2"/>
    <x v="0"/>
    <x v="18"/>
    <x v="23"/>
    <n v="0.53"/>
    <x v="7"/>
    <n v="0"/>
    <n v="3"/>
    <n v="3"/>
  </r>
  <r>
    <n v="74"/>
    <x v="3"/>
    <x v="0"/>
    <x v="0"/>
    <x v="0"/>
    <x v="117"/>
    <x v="0"/>
    <x v="3"/>
    <x v="0"/>
    <x v="8"/>
    <x v="4"/>
    <n v="0.68"/>
    <x v="8"/>
    <n v="0"/>
    <n v="4"/>
    <n v="4"/>
  </r>
  <r>
    <n v="117"/>
    <x v="4"/>
    <x v="0"/>
    <x v="0"/>
    <x v="0"/>
    <x v="118"/>
    <x v="0"/>
    <x v="4"/>
    <x v="0"/>
    <x v="2"/>
    <x v="9"/>
    <n v="0.64"/>
    <x v="0"/>
    <n v="0"/>
    <n v="4"/>
    <n v="4"/>
  </r>
  <r>
    <n v="120"/>
    <x v="4"/>
    <x v="0"/>
    <x v="0"/>
    <x v="0"/>
    <x v="119"/>
    <x v="0"/>
    <x v="4"/>
    <x v="1"/>
    <x v="3"/>
    <x v="15"/>
    <n v="0.69"/>
    <x v="1"/>
    <n v="0"/>
    <n v="4"/>
    <n v="4"/>
  </r>
  <r>
    <n v="189"/>
    <x v="7"/>
    <x v="0"/>
    <x v="0"/>
    <x v="0"/>
    <x v="120"/>
    <x v="0"/>
    <x v="1"/>
    <x v="0"/>
    <x v="7"/>
    <x v="10"/>
    <n v="0.46"/>
    <x v="11"/>
    <n v="0"/>
    <n v="4"/>
    <n v="4"/>
  </r>
  <r>
    <n v="282"/>
    <x v="32"/>
    <x v="0"/>
    <x v="0"/>
    <x v="0"/>
    <x v="121"/>
    <x v="0"/>
    <x v="4"/>
    <x v="0"/>
    <x v="3"/>
    <x v="8"/>
    <n v="0.5"/>
    <x v="10"/>
    <n v="0"/>
    <n v="4"/>
    <n v="4"/>
  </r>
  <r>
    <n v="396"/>
    <x v="13"/>
    <x v="0"/>
    <x v="0"/>
    <x v="0"/>
    <x v="122"/>
    <x v="1"/>
    <x v="2"/>
    <x v="2"/>
    <x v="2"/>
    <x v="3"/>
    <n v="0.86"/>
    <x v="7"/>
    <n v="1"/>
    <n v="3"/>
    <n v="4"/>
  </r>
  <r>
    <n v="600"/>
    <x v="20"/>
    <x v="0"/>
    <x v="0"/>
    <x v="0"/>
    <x v="123"/>
    <x v="0"/>
    <x v="5"/>
    <x v="1"/>
    <x v="5"/>
    <x v="6"/>
    <n v="0.8"/>
    <x v="8"/>
    <n v="0"/>
    <n v="4"/>
    <n v="4"/>
  </r>
  <r>
    <n v="714"/>
    <x v="23"/>
    <x v="0"/>
    <x v="0"/>
    <x v="1"/>
    <x v="124"/>
    <x v="0"/>
    <x v="6"/>
    <x v="2"/>
    <x v="10"/>
    <x v="9"/>
    <n v="0.93"/>
    <x v="4"/>
    <n v="4"/>
    <n v="0"/>
    <n v="4"/>
  </r>
  <r>
    <n v="788"/>
    <x v="43"/>
    <x v="0"/>
    <x v="0"/>
    <x v="1"/>
    <x v="125"/>
    <x v="0"/>
    <x v="0"/>
    <x v="2"/>
    <x v="4"/>
    <x v="1"/>
    <n v="1"/>
    <x v="0"/>
    <n v="0"/>
    <n v="4"/>
    <n v="4"/>
  </r>
  <r>
    <n v="789"/>
    <x v="43"/>
    <x v="0"/>
    <x v="0"/>
    <x v="1"/>
    <x v="126"/>
    <x v="0"/>
    <x v="0"/>
    <x v="2"/>
    <x v="10"/>
    <x v="1"/>
    <n v="0.93"/>
    <x v="1"/>
    <n v="0"/>
    <n v="4"/>
    <n v="4"/>
  </r>
  <r>
    <n v="855"/>
    <x v="28"/>
    <x v="0"/>
    <x v="0"/>
    <x v="1"/>
    <x v="127"/>
    <x v="0"/>
    <x v="3"/>
    <x v="1"/>
    <x v="13"/>
    <x v="22"/>
    <n v="0.87"/>
    <x v="0"/>
    <n v="0"/>
    <n v="4"/>
    <n v="4"/>
  </r>
  <r>
    <n v="927"/>
    <x v="42"/>
    <x v="0"/>
    <x v="0"/>
    <x v="1"/>
    <x v="128"/>
    <x v="0"/>
    <x v="5"/>
    <x v="0"/>
    <x v="6"/>
    <x v="8"/>
    <n v="0.63"/>
    <x v="1"/>
    <n v="0"/>
    <n v="4"/>
    <n v="4"/>
  </r>
  <r>
    <n v="950"/>
    <x v="30"/>
    <x v="0"/>
    <x v="0"/>
    <x v="1"/>
    <x v="129"/>
    <x v="0"/>
    <x v="0"/>
    <x v="0"/>
    <x v="8"/>
    <x v="14"/>
    <n v="0.74"/>
    <x v="1"/>
    <n v="0"/>
    <n v="4"/>
    <n v="4"/>
  </r>
  <r>
    <n v="48"/>
    <x v="2"/>
    <x v="0"/>
    <x v="0"/>
    <x v="0"/>
    <x v="130"/>
    <x v="0"/>
    <x v="2"/>
    <x v="0"/>
    <x v="10"/>
    <x v="5"/>
    <n v="0.44"/>
    <x v="12"/>
    <n v="0"/>
    <n v="5"/>
    <n v="5"/>
  </r>
  <r>
    <n v="70"/>
    <x v="3"/>
    <x v="0"/>
    <x v="0"/>
    <x v="0"/>
    <x v="131"/>
    <x v="0"/>
    <x v="3"/>
    <x v="0"/>
    <x v="2"/>
    <x v="18"/>
    <n v="0.55000000000000004"/>
    <x v="8"/>
    <n v="0"/>
    <n v="5"/>
    <n v="5"/>
  </r>
  <r>
    <n v="143"/>
    <x v="5"/>
    <x v="0"/>
    <x v="0"/>
    <x v="0"/>
    <x v="132"/>
    <x v="0"/>
    <x v="5"/>
    <x v="2"/>
    <x v="10"/>
    <x v="16"/>
    <n v="0.55000000000000004"/>
    <x v="0"/>
    <n v="0"/>
    <n v="5"/>
    <n v="5"/>
  </r>
  <r>
    <n v="167"/>
    <x v="6"/>
    <x v="0"/>
    <x v="0"/>
    <x v="0"/>
    <x v="133"/>
    <x v="0"/>
    <x v="0"/>
    <x v="1"/>
    <x v="2"/>
    <x v="14"/>
    <n v="0.74"/>
    <x v="6"/>
    <n v="0"/>
    <n v="5"/>
    <n v="5"/>
  </r>
  <r>
    <n v="210"/>
    <x v="8"/>
    <x v="0"/>
    <x v="0"/>
    <x v="0"/>
    <x v="134"/>
    <x v="0"/>
    <x v="2"/>
    <x v="0"/>
    <x v="8"/>
    <x v="8"/>
    <n v="0.5"/>
    <x v="7"/>
    <n v="2"/>
    <n v="3"/>
    <n v="5"/>
  </r>
  <r>
    <n v="259"/>
    <x v="9"/>
    <x v="0"/>
    <x v="0"/>
    <x v="0"/>
    <x v="135"/>
    <x v="0"/>
    <x v="6"/>
    <x v="0"/>
    <x v="3"/>
    <x v="4"/>
    <n v="0.86"/>
    <x v="6"/>
    <n v="0"/>
    <n v="5"/>
    <n v="5"/>
  </r>
  <r>
    <n v="303"/>
    <x v="10"/>
    <x v="0"/>
    <x v="0"/>
    <x v="0"/>
    <x v="136"/>
    <x v="0"/>
    <x v="5"/>
    <x v="0"/>
    <x v="7"/>
    <x v="8"/>
    <n v="0.54"/>
    <x v="6"/>
    <n v="0"/>
    <n v="5"/>
    <n v="5"/>
  </r>
  <r>
    <n v="329"/>
    <x v="11"/>
    <x v="0"/>
    <x v="0"/>
    <x v="0"/>
    <x v="137"/>
    <x v="0"/>
    <x v="0"/>
    <x v="1"/>
    <x v="2"/>
    <x v="9"/>
    <n v="0.59"/>
    <x v="0"/>
    <n v="0"/>
    <n v="5"/>
    <n v="5"/>
  </r>
  <r>
    <n v="379"/>
    <x v="13"/>
    <x v="0"/>
    <x v="0"/>
    <x v="0"/>
    <x v="138"/>
    <x v="1"/>
    <x v="2"/>
    <x v="1"/>
    <x v="5"/>
    <x v="15"/>
    <n v="0.43"/>
    <x v="2"/>
    <n v="0"/>
    <n v="5"/>
    <n v="5"/>
  </r>
  <r>
    <n v="433"/>
    <x v="14"/>
    <x v="0"/>
    <x v="0"/>
    <x v="0"/>
    <x v="139"/>
    <x v="0"/>
    <x v="4"/>
    <x v="0"/>
    <x v="9"/>
    <x v="16"/>
    <n v="0.56000000000000005"/>
    <x v="0"/>
    <n v="2"/>
    <n v="3"/>
    <n v="5"/>
  </r>
  <r>
    <n v="461"/>
    <x v="15"/>
    <x v="0"/>
    <x v="0"/>
    <x v="0"/>
    <x v="140"/>
    <x v="0"/>
    <x v="5"/>
    <x v="0"/>
    <x v="0"/>
    <x v="5"/>
    <n v="0.6"/>
    <x v="11"/>
    <n v="1"/>
    <n v="4"/>
    <n v="5"/>
  </r>
  <r>
    <n v="506"/>
    <x v="16"/>
    <x v="0"/>
    <x v="0"/>
    <x v="0"/>
    <x v="141"/>
    <x v="0"/>
    <x v="1"/>
    <x v="0"/>
    <x v="12"/>
    <x v="13"/>
    <n v="0.62"/>
    <x v="4"/>
    <n v="1"/>
    <n v="4"/>
    <n v="5"/>
  </r>
  <r>
    <n v="530"/>
    <x v="17"/>
    <x v="0"/>
    <x v="0"/>
    <x v="0"/>
    <x v="142"/>
    <x v="0"/>
    <x v="2"/>
    <x v="0"/>
    <x v="12"/>
    <x v="13"/>
    <n v="0.48"/>
    <x v="4"/>
    <n v="0"/>
    <n v="5"/>
    <n v="5"/>
  </r>
  <r>
    <n v="550"/>
    <x v="18"/>
    <x v="0"/>
    <x v="0"/>
    <x v="0"/>
    <x v="143"/>
    <x v="0"/>
    <x v="3"/>
    <x v="1"/>
    <x v="2"/>
    <x v="14"/>
    <n v="0.69"/>
    <x v="6"/>
    <n v="0"/>
    <n v="5"/>
    <n v="5"/>
  </r>
  <r>
    <n v="573"/>
    <x v="19"/>
    <x v="0"/>
    <x v="0"/>
    <x v="0"/>
    <x v="144"/>
    <x v="0"/>
    <x v="6"/>
    <x v="1"/>
    <x v="0"/>
    <x v="19"/>
    <n v="0.65"/>
    <x v="4"/>
    <n v="0"/>
    <n v="5"/>
    <n v="5"/>
  </r>
  <r>
    <n v="625"/>
    <x v="35"/>
    <x v="0"/>
    <x v="0"/>
    <x v="0"/>
    <x v="145"/>
    <x v="0"/>
    <x v="0"/>
    <x v="0"/>
    <x v="2"/>
    <x v="15"/>
    <n v="0.59"/>
    <x v="8"/>
    <n v="1"/>
    <n v="4"/>
    <n v="5"/>
  </r>
  <r>
    <n v="737"/>
    <x v="24"/>
    <x v="0"/>
    <x v="0"/>
    <x v="1"/>
    <x v="146"/>
    <x v="0"/>
    <x v="4"/>
    <x v="0"/>
    <x v="4"/>
    <x v="4"/>
    <n v="0.44"/>
    <x v="14"/>
    <n v="0"/>
    <n v="5"/>
    <n v="5"/>
  </r>
  <r>
    <n v="831"/>
    <x v="27"/>
    <x v="0"/>
    <x v="0"/>
    <x v="1"/>
    <x v="147"/>
    <x v="0"/>
    <x v="2"/>
    <x v="0"/>
    <x v="10"/>
    <x v="16"/>
    <n v="0.75"/>
    <x v="0"/>
    <n v="1"/>
    <n v="4"/>
    <n v="5"/>
  </r>
  <r>
    <n v="975"/>
    <x v="38"/>
    <x v="0"/>
    <x v="0"/>
    <x v="1"/>
    <x v="148"/>
    <x v="0"/>
    <x v="1"/>
    <x v="1"/>
    <x v="4"/>
    <x v="6"/>
    <n v="0.69"/>
    <x v="4"/>
    <n v="2"/>
    <n v="3"/>
    <n v="5"/>
  </r>
  <r>
    <n v="28"/>
    <x v="1"/>
    <x v="0"/>
    <x v="0"/>
    <x v="0"/>
    <x v="149"/>
    <x v="0"/>
    <x v="1"/>
    <x v="1"/>
    <x v="19"/>
    <x v="25"/>
    <n v="0.94"/>
    <x v="2"/>
    <n v="2"/>
    <n v="4"/>
    <n v="6"/>
  </r>
  <r>
    <n v="93"/>
    <x v="31"/>
    <x v="0"/>
    <x v="0"/>
    <x v="0"/>
    <x v="150"/>
    <x v="0"/>
    <x v="6"/>
    <x v="0"/>
    <x v="4"/>
    <x v="1"/>
    <n v="0.64"/>
    <x v="0"/>
    <n v="0"/>
    <n v="6"/>
    <n v="6"/>
  </r>
  <r>
    <n v="94"/>
    <x v="31"/>
    <x v="0"/>
    <x v="0"/>
    <x v="0"/>
    <x v="151"/>
    <x v="0"/>
    <x v="6"/>
    <x v="0"/>
    <x v="2"/>
    <x v="5"/>
    <n v="0.74"/>
    <x v="1"/>
    <n v="0"/>
    <n v="6"/>
    <n v="6"/>
  </r>
  <r>
    <n v="193"/>
    <x v="7"/>
    <x v="0"/>
    <x v="0"/>
    <x v="0"/>
    <x v="152"/>
    <x v="0"/>
    <x v="1"/>
    <x v="0"/>
    <x v="6"/>
    <x v="7"/>
    <n v="0.53"/>
    <x v="2"/>
    <n v="1"/>
    <n v="5"/>
    <n v="6"/>
  </r>
  <r>
    <n v="209"/>
    <x v="7"/>
    <x v="0"/>
    <x v="0"/>
    <x v="0"/>
    <x v="153"/>
    <x v="0"/>
    <x v="1"/>
    <x v="0"/>
    <x v="8"/>
    <x v="3"/>
    <n v="0.5"/>
    <x v="2"/>
    <n v="0"/>
    <n v="6"/>
    <n v="6"/>
  </r>
  <r>
    <n v="237"/>
    <x v="40"/>
    <x v="0"/>
    <x v="0"/>
    <x v="0"/>
    <x v="154"/>
    <x v="0"/>
    <x v="3"/>
    <x v="1"/>
    <x v="2"/>
    <x v="15"/>
    <n v="0.55000000000000004"/>
    <x v="4"/>
    <n v="0"/>
    <n v="6"/>
    <n v="6"/>
  </r>
  <r>
    <n v="257"/>
    <x v="9"/>
    <x v="0"/>
    <x v="0"/>
    <x v="0"/>
    <x v="155"/>
    <x v="0"/>
    <x v="6"/>
    <x v="1"/>
    <x v="2"/>
    <x v="15"/>
    <n v="0.86"/>
    <x v="8"/>
    <n v="0"/>
    <n v="6"/>
    <n v="6"/>
  </r>
  <r>
    <n v="437"/>
    <x v="14"/>
    <x v="0"/>
    <x v="0"/>
    <x v="0"/>
    <x v="156"/>
    <x v="0"/>
    <x v="4"/>
    <x v="0"/>
    <x v="0"/>
    <x v="9"/>
    <n v="0.6"/>
    <x v="5"/>
    <n v="0"/>
    <n v="6"/>
    <n v="6"/>
  </r>
  <r>
    <n v="457"/>
    <x v="15"/>
    <x v="0"/>
    <x v="0"/>
    <x v="0"/>
    <x v="157"/>
    <x v="0"/>
    <x v="5"/>
    <x v="1"/>
    <x v="0"/>
    <x v="9"/>
    <n v="0.7"/>
    <x v="10"/>
    <n v="0"/>
    <n v="6"/>
    <n v="6"/>
  </r>
  <r>
    <n v="905"/>
    <x v="29"/>
    <x v="0"/>
    <x v="0"/>
    <x v="1"/>
    <x v="158"/>
    <x v="0"/>
    <x v="4"/>
    <x v="1"/>
    <x v="8"/>
    <x v="8"/>
    <n v="0.5"/>
    <x v="5"/>
    <n v="0"/>
    <n v="6"/>
    <n v="6"/>
  </r>
  <r>
    <n v="140"/>
    <x v="5"/>
    <x v="0"/>
    <x v="0"/>
    <x v="0"/>
    <x v="159"/>
    <x v="0"/>
    <x v="5"/>
    <x v="1"/>
    <x v="4"/>
    <x v="5"/>
    <n v="0.69"/>
    <x v="5"/>
    <n v="2"/>
    <n v="5"/>
    <n v="7"/>
  </r>
  <r>
    <n v="165"/>
    <x v="6"/>
    <x v="0"/>
    <x v="0"/>
    <x v="0"/>
    <x v="160"/>
    <x v="0"/>
    <x v="0"/>
    <x v="2"/>
    <x v="5"/>
    <x v="5"/>
    <n v="0.55000000000000004"/>
    <x v="6"/>
    <n v="0"/>
    <n v="7"/>
    <n v="7"/>
  </r>
  <r>
    <n v="256"/>
    <x v="9"/>
    <x v="0"/>
    <x v="0"/>
    <x v="0"/>
    <x v="161"/>
    <x v="0"/>
    <x v="6"/>
    <x v="1"/>
    <x v="2"/>
    <x v="5"/>
    <n v="0.86"/>
    <x v="1"/>
    <n v="0"/>
    <n v="7"/>
    <n v="7"/>
  </r>
  <r>
    <n v="278"/>
    <x v="32"/>
    <x v="0"/>
    <x v="0"/>
    <x v="0"/>
    <x v="162"/>
    <x v="0"/>
    <x v="4"/>
    <x v="0"/>
    <x v="3"/>
    <x v="8"/>
    <n v="0.59"/>
    <x v="7"/>
    <n v="1"/>
    <n v="6"/>
    <n v="7"/>
  </r>
  <r>
    <n v="410"/>
    <x v="33"/>
    <x v="0"/>
    <x v="0"/>
    <x v="0"/>
    <x v="163"/>
    <x v="0"/>
    <x v="6"/>
    <x v="2"/>
    <x v="10"/>
    <x v="9"/>
    <n v="0.93"/>
    <x v="4"/>
    <n v="1"/>
    <n v="6"/>
    <n v="7"/>
  </r>
  <r>
    <n v="413"/>
    <x v="33"/>
    <x v="0"/>
    <x v="0"/>
    <x v="0"/>
    <x v="164"/>
    <x v="0"/>
    <x v="6"/>
    <x v="1"/>
    <x v="10"/>
    <x v="1"/>
    <n v="0.93"/>
    <x v="1"/>
    <n v="0"/>
    <n v="7"/>
    <n v="7"/>
  </r>
  <r>
    <n v="483"/>
    <x v="34"/>
    <x v="0"/>
    <x v="0"/>
    <x v="0"/>
    <x v="165"/>
    <x v="0"/>
    <x v="0"/>
    <x v="1"/>
    <x v="11"/>
    <x v="12"/>
    <n v="0.41"/>
    <x v="7"/>
    <n v="1"/>
    <n v="6"/>
    <n v="7"/>
  </r>
  <r>
    <n v="526"/>
    <x v="17"/>
    <x v="0"/>
    <x v="0"/>
    <x v="0"/>
    <x v="166"/>
    <x v="0"/>
    <x v="2"/>
    <x v="0"/>
    <x v="15"/>
    <x v="13"/>
    <n v="0.41"/>
    <x v="2"/>
    <n v="0"/>
    <n v="7"/>
    <n v="7"/>
  </r>
  <r>
    <n v="665"/>
    <x v="22"/>
    <x v="0"/>
    <x v="0"/>
    <x v="0"/>
    <x v="167"/>
    <x v="0"/>
    <x v="2"/>
    <x v="1"/>
    <x v="0"/>
    <x v="9"/>
    <n v="0.65"/>
    <x v="5"/>
    <n v="1"/>
    <n v="6"/>
    <n v="7"/>
  </r>
  <r>
    <n v="666"/>
    <x v="22"/>
    <x v="0"/>
    <x v="0"/>
    <x v="0"/>
    <x v="168"/>
    <x v="0"/>
    <x v="2"/>
    <x v="0"/>
    <x v="10"/>
    <x v="6"/>
    <n v="0.64"/>
    <x v="10"/>
    <n v="2"/>
    <n v="5"/>
    <n v="7"/>
  </r>
  <r>
    <n v="760"/>
    <x v="25"/>
    <x v="0"/>
    <x v="0"/>
    <x v="1"/>
    <x v="169"/>
    <x v="0"/>
    <x v="5"/>
    <x v="1"/>
    <x v="2"/>
    <x v="9"/>
    <n v="0.59"/>
    <x v="0"/>
    <n v="0"/>
    <n v="7"/>
    <n v="7"/>
  </r>
  <r>
    <n v="763"/>
    <x v="25"/>
    <x v="0"/>
    <x v="0"/>
    <x v="1"/>
    <x v="170"/>
    <x v="0"/>
    <x v="5"/>
    <x v="1"/>
    <x v="3"/>
    <x v="4"/>
    <n v="0.63"/>
    <x v="4"/>
    <n v="0"/>
    <n v="7"/>
    <n v="7"/>
  </r>
  <r>
    <n v="879"/>
    <x v="37"/>
    <x v="0"/>
    <x v="0"/>
    <x v="1"/>
    <x v="171"/>
    <x v="0"/>
    <x v="6"/>
    <x v="0"/>
    <x v="7"/>
    <x v="20"/>
    <n v="0.36"/>
    <x v="5"/>
    <n v="0"/>
    <n v="7"/>
    <n v="7"/>
  </r>
  <r>
    <n v="882"/>
    <x v="37"/>
    <x v="0"/>
    <x v="0"/>
    <x v="1"/>
    <x v="172"/>
    <x v="0"/>
    <x v="6"/>
    <x v="0"/>
    <x v="15"/>
    <x v="20"/>
    <n v="0.45"/>
    <x v="8"/>
    <n v="0"/>
    <n v="7"/>
    <n v="7"/>
  </r>
  <r>
    <n v="902"/>
    <x v="29"/>
    <x v="0"/>
    <x v="0"/>
    <x v="1"/>
    <x v="173"/>
    <x v="0"/>
    <x v="4"/>
    <x v="2"/>
    <x v="3"/>
    <x v="4"/>
    <n v="0.8"/>
    <x v="4"/>
    <n v="0"/>
    <n v="7"/>
    <n v="7"/>
  </r>
  <r>
    <n v="925"/>
    <x v="42"/>
    <x v="0"/>
    <x v="0"/>
    <x v="1"/>
    <x v="174"/>
    <x v="0"/>
    <x v="5"/>
    <x v="0"/>
    <x v="7"/>
    <x v="3"/>
    <n v="0.54"/>
    <x v="1"/>
    <n v="1"/>
    <n v="6"/>
    <n v="7"/>
  </r>
  <r>
    <n v="994"/>
    <x v="39"/>
    <x v="0"/>
    <x v="0"/>
    <x v="1"/>
    <x v="175"/>
    <x v="0"/>
    <x v="2"/>
    <x v="0"/>
    <x v="20"/>
    <x v="26"/>
    <n v="0.37"/>
    <x v="12"/>
    <n v="1"/>
    <n v="6"/>
    <n v="7"/>
  </r>
  <r>
    <n v="9"/>
    <x v="0"/>
    <x v="0"/>
    <x v="0"/>
    <x v="0"/>
    <x v="176"/>
    <x v="0"/>
    <x v="0"/>
    <x v="0"/>
    <x v="0"/>
    <x v="18"/>
    <n v="0.75"/>
    <x v="0"/>
    <n v="1"/>
    <n v="7"/>
    <n v="8"/>
  </r>
  <r>
    <n v="32"/>
    <x v="1"/>
    <x v="0"/>
    <x v="0"/>
    <x v="0"/>
    <x v="177"/>
    <x v="0"/>
    <x v="1"/>
    <x v="2"/>
    <x v="1"/>
    <x v="2"/>
    <n v="0.71"/>
    <x v="5"/>
    <n v="0"/>
    <n v="8"/>
    <n v="8"/>
  </r>
  <r>
    <n v="47"/>
    <x v="1"/>
    <x v="0"/>
    <x v="0"/>
    <x v="0"/>
    <x v="178"/>
    <x v="0"/>
    <x v="1"/>
    <x v="0"/>
    <x v="10"/>
    <x v="9"/>
    <n v="0.47"/>
    <x v="6"/>
    <n v="0"/>
    <n v="8"/>
    <n v="8"/>
  </r>
  <r>
    <n v="306"/>
    <x v="10"/>
    <x v="0"/>
    <x v="0"/>
    <x v="0"/>
    <x v="179"/>
    <x v="0"/>
    <x v="5"/>
    <x v="0"/>
    <x v="7"/>
    <x v="3"/>
    <n v="0.54"/>
    <x v="1"/>
    <n v="0"/>
    <n v="8"/>
    <n v="8"/>
  </r>
  <r>
    <n v="328"/>
    <x v="11"/>
    <x v="0"/>
    <x v="0"/>
    <x v="0"/>
    <x v="180"/>
    <x v="0"/>
    <x v="0"/>
    <x v="1"/>
    <x v="2"/>
    <x v="9"/>
    <n v="0.59"/>
    <x v="0"/>
    <n v="1"/>
    <n v="7"/>
    <n v="8"/>
  </r>
  <r>
    <n v="375"/>
    <x v="13"/>
    <x v="0"/>
    <x v="0"/>
    <x v="0"/>
    <x v="181"/>
    <x v="1"/>
    <x v="2"/>
    <x v="1"/>
    <x v="5"/>
    <x v="14"/>
    <n v="0.43"/>
    <x v="10"/>
    <n v="0"/>
    <n v="8"/>
    <n v="8"/>
  </r>
  <r>
    <n v="486"/>
    <x v="34"/>
    <x v="0"/>
    <x v="0"/>
    <x v="0"/>
    <x v="182"/>
    <x v="0"/>
    <x v="0"/>
    <x v="0"/>
    <x v="12"/>
    <x v="24"/>
    <n v="0.44"/>
    <x v="7"/>
    <n v="0"/>
    <n v="8"/>
    <n v="8"/>
  </r>
  <r>
    <n v="576"/>
    <x v="19"/>
    <x v="0"/>
    <x v="0"/>
    <x v="0"/>
    <x v="183"/>
    <x v="0"/>
    <x v="6"/>
    <x v="2"/>
    <x v="4"/>
    <x v="15"/>
    <n v="0.86"/>
    <x v="7"/>
    <n v="0"/>
    <n v="8"/>
    <n v="8"/>
  </r>
  <r>
    <n v="622"/>
    <x v="35"/>
    <x v="0"/>
    <x v="0"/>
    <x v="0"/>
    <x v="184"/>
    <x v="0"/>
    <x v="0"/>
    <x v="0"/>
    <x v="4"/>
    <x v="6"/>
    <n v="0.64"/>
    <x v="4"/>
    <n v="3"/>
    <n v="5"/>
    <n v="8"/>
  </r>
  <r>
    <n v="645"/>
    <x v="21"/>
    <x v="0"/>
    <x v="0"/>
    <x v="0"/>
    <x v="185"/>
    <x v="0"/>
    <x v="1"/>
    <x v="0"/>
    <x v="3"/>
    <x v="6"/>
    <n v="0.93"/>
    <x v="0"/>
    <n v="1"/>
    <n v="7"/>
    <n v="8"/>
  </r>
  <r>
    <n v="670"/>
    <x v="22"/>
    <x v="0"/>
    <x v="0"/>
    <x v="0"/>
    <x v="186"/>
    <x v="0"/>
    <x v="2"/>
    <x v="0"/>
    <x v="5"/>
    <x v="14"/>
    <n v="0.64"/>
    <x v="7"/>
    <n v="0"/>
    <n v="8"/>
    <n v="8"/>
  </r>
  <r>
    <n v="689"/>
    <x v="36"/>
    <x v="0"/>
    <x v="0"/>
    <x v="1"/>
    <x v="187"/>
    <x v="0"/>
    <x v="3"/>
    <x v="1"/>
    <x v="2"/>
    <x v="15"/>
    <n v="0.64"/>
    <x v="8"/>
    <n v="2"/>
    <n v="6"/>
    <n v="8"/>
  </r>
  <r>
    <n v="786"/>
    <x v="43"/>
    <x v="0"/>
    <x v="0"/>
    <x v="1"/>
    <x v="188"/>
    <x v="0"/>
    <x v="0"/>
    <x v="2"/>
    <x v="10"/>
    <x v="9"/>
    <n v="0.93"/>
    <x v="4"/>
    <n v="0"/>
    <n v="8"/>
    <n v="8"/>
  </r>
  <r>
    <n v="813"/>
    <x v="26"/>
    <x v="0"/>
    <x v="0"/>
    <x v="1"/>
    <x v="189"/>
    <x v="0"/>
    <x v="1"/>
    <x v="0"/>
    <x v="0"/>
    <x v="19"/>
    <n v="0.65"/>
    <x v="6"/>
    <n v="0"/>
    <n v="8"/>
    <n v="8"/>
  </r>
  <r>
    <n v="27"/>
    <x v="1"/>
    <x v="0"/>
    <x v="0"/>
    <x v="0"/>
    <x v="190"/>
    <x v="0"/>
    <x v="1"/>
    <x v="1"/>
    <x v="14"/>
    <x v="17"/>
    <n v="1"/>
    <x v="7"/>
    <n v="1"/>
    <n v="8"/>
    <n v="9"/>
  </r>
  <r>
    <n v="46"/>
    <x v="1"/>
    <x v="0"/>
    <x v="0"/>
    <x v="0"/>
    <x v="191"/>
    <x v="0"/>
    <x v="1"/>
    <x v="0"/>
    <x v="0"/>
    <x v="6"/>
    <n v="0.44"/>
    <x v="9"/>
    <n v="0"/>
    <n v="9"/>
    <n v="9"/>
  </r>
  <r>
    <n v="169"/>
    <x v="6"/>
    <x v="0"/>
    <x v="0"/>
    <x v="0"/>
    <x v="192"/>
    <x v="0"/>
    <x v="0"/>
    <x v="1"/>
    <x v="2"/>
    <x v="15"/>
    <n v="0.74"/>
    <x v="8"/>
    <n v="1"/>
    <n v="8"/>
    <n v="9"/>
  </r>
  <r>
    <n v="549"/>
    <x v="18"/>
    <x v="0"/>
    <x v="0"/>
    <x v="0"/>
    <x v="193"/>
    <x v="0"/>
    <x v="3"/>
    <x v="1"/>
    <x v="2"/>
    <x v="3"/>
    <n v="0.69"/>
    <x v="7"/>
    <n v="3"/>
    <n v="6"/>
    <n v="9"/>
  </r>
  <r>
    <n v="553"/>
    <x v="18"/>
    <x v="0"/>
    <x v="0"/>
    <x v="0"/>
    <x v="194"/>
    <x v="0"/>
    <x v="3"/>
    <x v="0"/>
    <x v="3"/>
    <x v="3"/>
    <n v="0.74"/>
    <x v="5"/>
    <n v="0"/>
    <n v="9"/>
    <n v="9"/>
  </r>
  <r>
    <n v="596"/>
    <x v="20"/>
    <x v="0"/>
    <x v="0"/>
    <x v="0"/>
    <x v="195"/>
    <x v="0"/>
    <x v="5"/>
    <x v="1"/>
    <x v="4"/>
    <x v="6"/>
    <n v="0.75"/>
    <x v="4"/>
    <n v="0"/>
    <n v="9"/>
    <n v="9"/>
  </r>
  <r>
    <n v="787"/>
    <x v="43"/>
    <x v="0"/>
    <x v="0"/>
    <x v="1"/>
    <x v="196"/>
    <x v="0"/>
    <x v="0"/>
    <x v="2"/>
    <x v="4"/>
    <x v="9"/>
    <n v="1"/>
    <x v="1"/>
    <n v="0"/>
    <n v="9"/>
    <n v="9"/>
  </r>
  <r>
    <n v="194"/>
    <x v="7"/>
    <x v="0"/>
    <x v="0"/>
    <x v="0"/>
    <x v="197"/>
    <x v="0"/>
    <x v="1"/>
    <x v="0"/>
    <x v="7"/>
    <x v="7"/>
    <n v="0.49"/>
    <x v="7"/>
    <n v="0"/>
    <n v="10"/>
    <n v="10"/>
  </r>
  <r>
    <n v="332"/>
    <x v="11"/>
    <x v="0"/>
    <x v="0"/>
    <x v="0"/>
    <x v="198"/>
    <x v="0"/>
    <x v="0"/>
    <x v="0"/>
    <x v="3"/>
    <x v="6"/>
    <n v="0.63"/>
    <x v="0"/>
    <n v="1"/>
    <n v="9"/>
    <n v="10"/>
  </r>
  <r>
    <n v="574"/>
    <x v="19"/>
    <x v="0"/>
    <x v="0"/>
    <x v="0"/>
    <x v="199"/>
    <x v="0"/>
    <x v="6"/>
    <x v="2"/>
    <x v="10"/>
    <x v="9"/>
    <n v="0.69"/>
    <x v="2"/>
    <n v="3"/>
    <n v="7"/>
    <n v="10"/>
  </r>
  <r>
    <n v="790"/>
    <x v="43"/>
    <x v="0"/>
    <x v="0"/>
    <x v="1"/>
    <x v="200"/>
    <x v="0"/>
    <x v="0"/>
    <x v="2"/>
    <x v="4"/>
    <x v="9"/>
    <n v="1"/>
    <x v="1"/>
    <n v="0"/>
    <n v="10"/>
    <n v="10"/>
  </r>
  <r>
    <n v="835"/>
    <x v="27"/>
    <x v="0"/>
    <x v="0"/>
    <x v="1"/>
    <x v="201"/>
    <x v="0"/>
    <x v="2"/>
    <x v="0"/>
    <x v="4"/>
    <x v="1"/>
    <n v="0.86"/>
    <x v="0"/>
    <n v="1"/>
    <n v="9"/>
    <n v="10"/>
  </r>
  <r>
    <n v="854"/>
    <x v="28"/>
    <x v="0"/>
    <x v="0"/>
    <x v="1"/>
    <x v="202"/>
    <x v="0"/>
    <x v="3"/>
    <x v="1"/>
    <x v="13"/>
    <x v="22"/>
    <n v="0.87"/>
    <x v="0"/>
    <n v="4"/>
    <n v="6"/>
    <n v="10"/>
  </r>
  <r>
    <n v="949"/>
    <x v="30"/>
    <x v="0"/>
    <x v="0"/>
    <x v="1"/>
    <x v="203"/>
    <x v="0"/>
    <x v="0"/>
    <x v="0"/>
    <x v="8"/>
    <x v="5"/>
    <n v="0.8"/>
    <x v="0"/>
    <n v="3"/>
    <n v="7"/>
    <n v="10"/>
  </r>
  <r>
    <n v="92"/>
    <x v="3"/>
    <x v="0"/>
    <x v="0"/>
    <x v="0"/>
    <x v="204"/>
    <x v="0"/>
    <x v="3"/>
    <x v="0"/>
    <x v="4"/>
    <x v="9"/>
    <n v="0.69"/>
    <x v="1"/>
    <n v="2"/>
    <n v="9"/>
    <n v="11"/>
  </r>
  <r>
    <n v="116"/>
    <x v="4"/>
    <x v="0"/>
    <x v="0"/>
    <x v="0"/>
    <x v="205"/>
    <x v="0"/>
    <x v="4"/>
    <x v="0"/>
    <x v="5"/>
    <x v="19"/>
    <n v="0.55000000000000004"/>
    <x v="0"/>
    <n v="0"/>
    <n v="11"/>
    <n v="11"/>
  </r>
  <r>
    <n v="188"/>
    <x v="7"/>
    <x v="0"/>
    <x v="0"/>
    <x v="0"/>
    <x v="206"/>
    <x v="0"/>
    <x v="1"/>
    <x v="0"/>
    <x v="7"/>
    <x v="13"/>
    <n v="0.46"/>
    <x v="15"/>
    <n v="0"/>
    <n v="11"/>
    <n v="11"/>
  </r>
  <r>
    <n v="482"/>
    <x v="34"/>
    <x v="0"/>
    <x v="0"/>
    <x v="0"/>
    <x v="207"/>
    <x v="0"/>
    <x v="0"/>
    <x v="1"/>
    <x v="11"/>
    <x v="12"/>
    <n v="0.41"/>
    <x v="10"/>
    <n v="0"/>
    <n v="11"/>
    <n v="11"/>
  </r>
  <r>
    <n v="644"/>
    <x v="21"/>
    <x v="0"/>
    <x v="0"/>
    <x v="0"/>
    <x v="208"/>
    <x v="0"/>
    <x v="1"/>
    <x v="0"/>
    <x v="2"/>
    <x v="9"/>
    <n v="0.8"/>
    <x v="0"/>
    <n v="1"/>
    <n v="10"/>
    <n v="11"/>
  </r>
  <r>
    <n v="785"/>
    <x v="43"/>
    <x v="0"/>
    <x v="0"/>
    <x v="1"/>
    <x v="209"/>
    <x v="0"/>
    <x v="0"/>
    <x v="1"/>
    <x v="0"/>
    <x v="19"/>
    <n v="0.75"/>
    <x v="6"/>
    <n v="1"/>
    <n v="10"/>
    <n v="11"/>
  </r>
  <r>
    <n v="953"/>
    <x v="30"/>
    <x v="0"/>
    <x v="0"/>
    <x v="1"/>
    <x v="210"/>
    <x v="0"/>
    <x v="0"/>
    <x v="0"/>
    <x v="8"/>
    <x v="4"/>
    <n v="0.8"/>
    <x v="8"/>
    <n v="2"/>
    <n v="9"/>
    <n v="11"/>
  </r>
  <r>
    <n v="993"/>
    <x v="39"/>
    <x v="0"/>
    <x v="0"/>
    <x v="1"/>
    <x v="211"/>
    <x v="0"/>
    <x v="2"/>
    <x v="0"/>
    <x v="20"/>
    <x v="26"/>
    <n v="0.37"/>
    <x v="12"/>
    <n v="3"/>
    <n v="8"/>
    <n v="11"/>
  </r>
  <r>
    <n v="69"/>
    <x v="2"/>
    <x v="0"/>
    <x v="0"/>
    <x v="0"/>
    <x v="212"/>
    <x v="0"/>
    <x v="2"/>
    <x v="0"/>
    <x v="5"/>
    <x v="6"/>
    <n v="0.55000000000000004"/>
    <x v="8"/>
    <n v="1"/>
    <n v="11"/>
    <n v="12"/>
  </r>
  <r>
    <n v="187"/>
    <x v="7"/>
    <x v="0"/>
    <x v="0"/>
    <x v="0"/>
    <x v="213"/>
    <x v="0"/>
    <x v="1"/>
    <x v="0"/>
    <x v="7"/>
    <x v="13"/>
    <n v="0.42"/>
    <x v="15"/>
    <n v="0"/>
    <n v="12"/>
    <n v="12"/>
  </r>
  <r>
    <n v="234"/>
    <x v="40"/>
    <x v="0"/>
    <x v="0"/>
    <x v="0"/>
    <x v="214"/>
    <x v="0"/>
    <x v="3"/>
    <x v="0"/>
    <x v="3"/>
    <x v="14"/>
    <n v="0.59"/>
    <x v="8"/>
    <n v="2"/>
    <n v="10"/>
    <n v="12"/>
  </r>
  <r>
    <n v="327"/>
    <x v="11"/>
    <x v="0"/>
    <x v="0"/>
    <x v="0"/>
    <x v="215"/>
    <x v="0"/>
    <x v="0"/>
    <x v="1"/>
    <x v="2"/>
    <x v="5"/>
    <n v="0.59"/>
    <x v="1"/>
    <n v="0"/>
    <n v="12"/>
    <n v="12"/>
  </r>
  <r>
    <n v="481"/>
    <x v="34"/>
    <x v="0"/>
    <x v="0"/>
    <x v="0"/>
    <x v="216"/>
    <x v="0"/>
    <x v="0"/>
    <x v="1"/>
    <x v="11"/>
    <x v="18"/>
    <n v="0.41"/>
    <x v="3"/>
    <n v="3"/>
    <n v="9"/>
    <n v="12"/>
  </r>
  <r>
    <n v="649"/>
    <x v="21"/>
    <x v="0"/>
    <x v="0"/>
    <x v="0"/>
    <x v="217"/>
    <x v="0"/>
    <x v="1"/>
    <x v="1"/>
    <x v="3"/>
    <x v="6"/>
    <n v="0.86"/>
    <x v="0"/>
    <n v="1"/>
    <n v="11"/>
    <n v="12"/>
  </r>
  <r>
    <n v="736"/>
    <x v="24"/>
    <x v="0"/>
    <x v="0"/>
    <x v="1"/>
    <x v="218"/>
    <x v="0"/>
    <x v="4"/>
    <x v="0"/>
    <x v="4"/>
    <x v="14"/>
    <n v="0.4"/>
    <x v="16"/>
    <n v="1"/>
    <n v="11"/>
    <n v="12"/>
  </r>
  <r>
    <n v="877"/>
    <x v="28"/>
    <x v="0"/>
    <x v="0"/>
    <x v="1"/>
    <x v="219"/>
    <x v="0"/>
    <x v="3"/>
    <x v="0"/>
    <x v="8"/>
    <x v="20"/>
    <n v="0.33"/>
    <x v="13"/>
    <n v="3"/>
    <n v="9"/>
    <n v="12"/>
  </r>
  <r>
    <n v="973"/>
    <x v="38"/>
    <x v="0"/>
    <x v="0"/>
    <x v="1"/>
    <x v="220"/>
    <x v="0"/>
    <x v="1"/>
    <x v="1"/>
    <x v="4"/>
    <x v="9"/>
    <n v="0.69"/>
    <x v="8"/>
    <n v="4"/>
    <n v="8"/>
    <n v="12"/>
  </r>
  <r>
    <n v="977"/>
    <x v="38"/>
    <x v="0"/>
    <x v="0"/>
    <x v="1"/>
    <x v="221"/>
    <x v="0"/>
    <x v="1"/>
    <x v="1"/>
    <x v="10"/>
    <x v="9"/>
    <n v="0.64"/>
    <x v="2"/>
    <n v="1"/>
    <n v="11"/>
    <n v="12"/>
  </r>
  <r>
    <n v="4"/>
    <x v="0"/>
    <x v="0"/>
    <x v="0"/>
    <x v="0"/>
    <x v="222"/>
    <x v="0"/>
    <x v="0"/>
    <x v="0"/>
    <x v="0"/>
    <x v="0"/>
    <n v="0.75"/>
    <x v="0"/>
    <n v="3"/>
    <n v="10"/>
    <n v="13"/>
  </r>
  <r>
    <n v="380"/>
    <x v="13"/>
    <x v="0"/>
    <x v="0"/>
    <x v="0"/>
    <x v="223"/>
    <x v="1"/>
    <x v="2"/>
    <x v="1"/>
    <x v="2"/>
    <x v="15"/>
    <n v="0.5"/>
    <x v="4"/>
    <n v="4"/>
    <n v="9"/>
    <n v="13"/>
  </r>
  <r>
    <n v="395"/>
    <x v="13"/>
    <x v="0"/>
    <x v="0"/>
    <x v="0"/>
    <x v="224"/>
    <x v="1"/>
    <x v="2"/>
    <x v="2"/>
    <x v="3"/>
    <x v="8"/>
    <n v="0.93"/>
    <x v="10"/>
    <n v="0"/>
    <n v="13"/>
    <n v="13"/>
  </r>
  <r>
    <n v="432"/>
    <x v="14"/>
    <x v="0"/>
    <x v="0"/>
    <x v="0"/>
    <x v="225"/>
    <x v="0"/>
    <x v="4"/>
    <x v="0"/>
    <x v="9"/>
    <x v="9"/>
    <n v="0.56000000000000005"/>
    <x v="3"/>
    <n v="5"/>
    <n v="8"/>
    <n v="13"/>
  </r>
  <r>
    <n v="480"/>
    <x v="34"/>
    <x v="0"/>
    <x v="0"/>
    <x v="0"/>
    <x v="226"/>
    <x v="0"/>
    <x v="0"/>
    <x v="0"/>
    <x v="11"/>
    <x v="12"/>
    <n v="0.45"/>
    <x v="10"/>
    <n v="0"/>
    <n v="13"/>
    <n v="13"/>
  </r>
  <r>
    <n v="504"/>
    <x v="16"/>
    <x v="0"/>
    <x v="0"/>
    <x v="0"/>
    <x v="227"/>
    <x v="0"/>
    <x v="1"/>
    <x v="0"/>
    <x v="11"/>
    <x v="10"/>
    <n v="0.56999999999999995"/>
    <x v="8"/>
    <n v="1"/>
    <n v="12"/>
    <n v="13"/>
  </r>
  <r>
    <n v="759"/>
    <x v="25"/>
    <x v="0"/>
    <x v="0"/>
    <x v="1"/>
    <x v="228"/>
    <x v="0"/>
    <x v="5"/>
    <x v="1"/>
    <x v="4"/>
    <x v="1"/>
    <n v="0.44"/>
    <x v="0"/>
    <n v="3"/>
    <n v="10"/>
    <n v="13"/>
  </r>
  <r>
    <n v="809"/>
    <x v="26"/>
    <x v="0"/>
    <x v="0"/>
    <x v="1"/>
    <x v="229"/>
    <x v="0"/>
    <x v="1"/>
    <x v="0"/>
    <x v="9"/>
    <x v="0"/>
    <n v="0.6"/>
    <x v="1"/>
    <n v="3"/>
    <n v="10"/>
    <n v="13"/>
  </r>
  <r>
    <n v="10"/>
    <x v="0"/>
    <x v="0"/>
    <x v="0"/>
    <x v="0"/>
    <x v="230"/>
    <x v="0"/>
    <x v="0"/>
    <x v="0"/>
    <x v="18"/>
    <x v="27"/>
    <n v="0.76"/>
    <x v="0"/>
    <n v="8"/>
    <n v="6"/>
    <n v="14"/>
  </r>
  <r>
    <n v="302"/>
    <x v="10"/>
    <x v="0"/>
    <x v="0"/>
    <x v="0"/>
    <x v="231"/>
    <x v="0"/>
    <x v="5"/>
    <x v="0"/>
    <x v="8"/>
    <x v="3"/>
    <n v="0.5"/>
    <x v="2"/>
    <n v="0"/>
    <n v="14"/>
    <n v="14"/>
  </r>
  <r>
    <n v="924"/>
    <x v="42"/>
    <x v="0"/>
    <x v="0"/>
    <x v="1"/>
    <x v="232"/>
    <x v="0"/>
    <x v="5"/>
    <x v="0"/>
    <x v="7"/>
    <x v="3"/>
    <n v="0.49"/>
    <x v="8"/>
    <n v="2"/>
    <n v="12"/>
    <n v="14"/>
  </r>
  <r>
    <n v="161"/>
    <x v="5"/>
    <x v="0"/>
    <x v="0"/>
    <x v="0"/>
    <x v="233"/>
    <x v="0"/>
    <x v="5"/>
    <x v="1"/>
    <x v="5"/>
    <x v="5"/>
    <n v="0.51"/>
    <x v="6"/>
    <n v="1"/>
    <n v="14"/>
    <n v="15"/>
  </r>
  <r>
    <n v="170"/>
    <x v="6"/>
    <x v="0"/>
    <x v="0"/>
    <x v="0"/>
    <x v="234"/>
    <x v="0"/>
    <x v="0"/>
    <x v="2"/>
    <x v="2"/>
    <x v="15"/>
    <n v="0.93"/>
    <x v="8"/>
    <n v="0"/>
    <n v="15"/>
    <n v="15"/>
  </r>
  <r>
    <n v="208"/>
    <x v="7"/>
    <x v="0"/>
    <x v="0"/>
    <x v="0"/>
    <x v="235"/>
    <x v="0"/>
    <x v="1"/>
    <x v="0"/>
    <x v="3"/>
    <x v="8"/>
    <n v="0.46"/>
    <x v="9"/>
    <n v="5"/>
    <n v="10"/>
    <n v="15"/>
  </r>
  <r>
    <n v="301"/>
    <x v="32"/>
    <x v="0"/>
    <x v="0"/>
    <x v="0"/>
    <x v="236"/>
    <x v="0"/>
    <x v="4"/>
    <x v="0"/>
    <x v="8"/>
    <x v="3"/>
    <n v="0.5"/>
    <x v="2"/>
    <n v="1"/>
    <n v="14"/>
    <n v="15"/>
  </r>
  <r>
    <n v="352"/>
    <x v="12"/>
    <x v="0"/>
    <x v="0"/>
    <x v="0"/>
    <x v="237"/>
    <x v="0"/>
    <x v="1"/>
    <x v="0"/>
    <x v="10"/>
    <x v="16"/>
    <n v="0.69"/>
    <x v="0"/>
    <n v="9"/>
    <n v="6"/>
    <n v="15"/>
  </r>
  <r>
    <n v="531"/>
    <x v="17"/>
    <x v="0"/>
    <x v="0"/>
    <x v="0"/>
    <x v="238"/>
    <x v="0"/>
    <x v="2"/>
    <x v="0"/>
    <x v="12"/>
    <x v="10"/>
    <n v="0.48"/>
    <x v="1"/>
    <n v="0"/>
    <n v="15"/>
    <n v="15"/>
  </r>
  <r>
    <n v="621"/>
    <x v="35"/>
    <x v="0"/>
    <x v="0"/>
    <x v="0"/>
    <x v="239"/>
    <x v="0"/>
    <x v="0"/>
    <x v="0"/>
    <x v="10"/>
    <x v="9"/>
    <n v="0.64"/>
    <x v="6"/>
    <n v="0"/>
    <n v="15"/>
    <n v="15"/>
  </r>
  <r>
    <n v="830"/>
    <x v="27"/>
    <x v="0"/>
    <x v="0"/>
    <x v="1"/>
    <x v="240"/>
    <x v="0"/>
    <x v="2"/>
    <x v="0"/>
    <x v="0"/>
    <x v="0"/>
    <n v="0.65"/>
    <x v="0"/>
    <n v="1"/>
    <n v="14"/>
    <n v="15"/>
  </r>
  <r>
    <n v="948"/>
    <x v="30"/>
    <x v="0"/>
    <x v="0"/>
    <x v="1"/>
    <x v="241"/>
    <x v="0"/>
    <x v="0"/>
    <x v="0"/>
    <x v="3"/>
    <x v="6"/>
    <n v="0.8"/>
    <x v="0"/>
    <n v="2"/>
    <n v="13"/>
    <n v="15"/>
  </r>
  <r>
    <n v="1"/>
    <x v="0"/>
    <x v="0"/>
    <x v="0"/>
    <x v="0"/>
    <x v="242"/>
    <x v="0"/>
    <x v="0"/>
    <x v="0"/>
    <x v="0"/>
    <x v="0"/>
    <n v="0.81"/>
    <x v="0"/>
    <n v="3"/>
    <n v="13"/>
    <n v="16"/>
  </r>
  <r>
    <n v="163"/>
    <x v="6"/>
    <x v="0"/>
    <x v="0"/>
    <x v="0"/>
    <x v="243"/>
    <x v="0"/>
    <x v="0"/>
    <x v="1"/>
    <x v="5"/>
    <x v="6"/>
    <n v="0.55000000000000004"/>
    <x v="1"/>
    <n v="1"/>
    <n v="15"/>
    <n v="16"/>
  </r>
  <r>
    <n v="164"/>
    <x v="6"/>
    <x v="0"/>
    <x v="0"/>
    <x v="0"/>
    <x v="244"/>
    <x v="0"/>
    <x v="0"/>
    <x v="1"/>
    <x v="5"/>
    <x v="19"/>
    <n v="0.55000000000000004"/>
    <x v="0"/>
    <n v="3"/>
    <n v="13"/>
    <n v="16"/>
  </r>
  <r>
    <n v="260"/>
    <x v="9"/>
    <x v="0"/>
    <x v="0"/>
    <x v="0"/>
    <x v="245"/>
    <x v="0"/>
    <x v="6"/>
    <x v="0"/>
    <x v="8"/>
    <x v="4"/>
    <n v="0.93"/>
    <x v="4"/>
    <n v="0"/>
    <n v="16"/>
    <n v="16"/>
  </r>
  <r>
    <n v="351"/>
    <x v="12"/>
    <x v="0"/>
    <x v="0"/>
    <x v="0"/>
    <x v="246"/>
    <x v="0"/>
    <x v="1"/>
    <x v="0"/>
    <x v="9"/>
    <x v="0"/>
    <n v="0.56000000000000005"/>
    <x v="1"/>
    <n v="3"/>
    <n v="13"/>
    <n v="16"/>
  </r>
  <r>
    <n v="374"/>
    <x v="13"/>
    <x v="0"/>
    <x v="0"/>
    <x v="0"/>
    <x v="247"/>
    <x v="1"/>
    <x v="2"/>
    <x v="1"/>
    <x v="4"/>
    <x v="5"/>
    <n v="0.44"/>
    <x v="2"/>
    <n v="1"/>
    <n v="15"/>
    <n v="16"/>
  </r>
  <r>
    <n v="595"/>
    <x v="44"/>
    <x v="0"/>
    <x v="0"/>
    <x v="0"/>
    <x v="248"/>
    <x v="0"/>
    <x v="4"/>
    <x v="0"/>
    <x v="5"/>
    <x v="5"/>
    <n v="0.8"/>
    <x v="6"/>
    <n v="0"/>
    <n v="16"/>
    <n v="16"/>
  </r>
  <r>
    <n v="601"/>
    <x v="20"/>
    <x v="0"/>
    <x v="0"/>
    <x v="0"/>
    <x v="249"/>
    <x v="0"/>
    <x v="5"/>
    <x v="1"/>
    <x v="5"/>
    <x v="5"/>
    <n v="0.8"/>
    <x v="4"/>
    <n v="0"/>
    <n v="16"/>
    <n v="16"/>
  </r>
  <r>
    <n v="711"/>
    <x v="36"/>
    <x v="0"/>
    <x v="0"/>
    <x v="1"/>
    <x v="250"/>
    <x v="0"/>
    <x v="3"/>
    <x v="2"/>
    <x v="4"/>
    <x v="5"/>
    <n v="0.93"/>
    <x v="2"/>
    <n v="1"/>
    <n v="15"/>
    <n v="16"/>
  </r>
  <r>
    <n v="901"/>
    <x v="29"/>
    <x v="0"/>
    <x v="0"/>
    <x v="1"/>
    <x v="251"/>
    <x v="0"/>
    <x v="4"/>
    <x v="2"/>
    <x v="3"/>
    <x v="3"/>
    <n v="0.86"/>
    <x v="2"/>
    <n v="0"/>
    <n v="16"/>
    <n v="16"/>
  </r>
  <r>
    <n v="25"/>
    <x v="1"/>
    <x v="0"/>
    <x v="0"/>
    <x v="0"/>
    <x v="252"/>
    <x v="0"/>
    <x v="1"/>
    <x v="1"/>
    <x v="19"/>
    <x v="25"/>
    <n v="0.88"/>
    <x v="9"/>
    <n v="4"/>
    <n v="13"/>
    <n v="17"/>
  </r>
  <r>
    <n v="26"/>
    <x v="1"/>
    <x v="0"/>
    <x v="0"/>
    <x v="0"/>
    <x v="253"/>
    <x v="0"/>
    <x v="1"/>
    <x v="1"/>
    <x v="21"/>
    <x v="28"/>
    <n v="0.94"/>
    <x v="10"/>
    <n v="1"/>
    <n v="16"/>
    <n v="17"/>
  </r>
  <r>
    <n v="139"/>
    <x v="5"/>
    <x v="0"/>
    <x v="0"/>
    <x v="0"/>
    <x v="254"/>
    <x v="0"/>
    <x v="5"/>
    <x v="1"/>
    <x v="4"/>
    <x v="5"/>
    <n v="0.64"/>
    <x v="2"/>
    <n v="4"/>
    <n v="13"/>
    <n v="17"/>
  </r>
  <r>
    <n v="307"/>
    <x v="10"/>
    <x v="0"/>
    <x v="0"/>
    <x v="0"/>
    <x v="255"/>
    <x v="0"/>
    <x v="5"/>
    <x v="0"/>
    <x v="7"/>
    <x v="15"/>
    <n v="0.54"/>
    <x v="0"/>
    <n v="0"/>
    <n v="17"/>
    <n v="17"/>
  </r>
  <r>
    <n v="373"/>
    <x v="13"/>
    <x v="0"/>
    <x v="0"/>
    <x v="0"/>
    <x v="256"/>
    <x v="1"/>
    <x v="2"/>
    <x v="1"/>
    <x v="4"/>
    <x v="5"/>
    <n v="0.47"/>
    <x v="5"/>
    <n v="1"/>
    <n v="16"/>
    <n v="17"/>
  </r>
  <r>
    <n v="572"/>
    <x v="19"/>
    <x v="0"/>
    <x v="0"/>
    <x v="0"/>
    <x v="257"/>
    <x v="0"/>
    <x v="6"/>
    <x v="1"/>
    <x v="10"/>
    <x v="9"/>
    <n v="0.69"/>
    <x v="4"/>
    <n v="3"/>
    <n v="14"/>
    <n v="17"/>
  </r>
  <r>
    <n v="688"/>
    <x v="22"/>
    <x v="0"/>
    <x v="0"/>
    <x v="0"/>
    <x v="258"/>
    <x v="0"/>
    <x v="2"/>
    <x v="1"/>
    <x v="2"/>
    <x v="5"/>
    <n v="0.64"/>
    <x v="1"/>
    <n v="2"/>
    <n v="15"/>
    <n v="17"/>
  </r>
  <r>
    <n v="784"/>
    <x v="43"/>
    <x v="0"/>
    <x v="0"/>
    <x v="1"/>
    <x v="259"/>
    <x v="0"/>
    <x v="0"/>
    <x v="1"/>
    <x v="0"/>
    <x v="19"/>
    <n v="0.75"/>
    <x v="6"/>
    <n v="5"/>
    <n v="12"/>
    <n v="17"/>
  </r>
  <r>
    <n v="878"/>
    <x v="37"/>
    <x v="0"/>
    <x v="0"/>
    <x v="1"/>
    <x v="260"/>
    <x v="0"/>
    <x v="6"/>
    <x v="0"/>
    <x v="7"/>
    <x v="10"/>
    <n v="0.36"/>
    <x v="12"/>
    <n v="0"/>
    <n v="17"/>
    <n v="17"/>
  </r>
  <r>
    <n v="233"/>
    <x v="8"/>
    <x v="0"/>
    <x v="0"/>
    <x v="0"/>
    <x v="261"/>
    <x v="0"/>
    <x v="2"/>
    <x v="0"/>
    <x v="3"/>
    <x v="4"/>
    <n v="0.59"/>
    <x v="6"/>
    <n v="0"/>
    <n v="18"/>
    <n v="18"/>
  </r>
  <r>
    <n v="357"/>
    <x v="12"/>
    <x v="0"/>
    <x v="0"/>
    <x v="0"/>
    <x v="262"/>
    <x v="0"/>
    <x v="1"/>
    <x v="0"/>
    <x v="10"/>
    <x v="6"/>
    <n v="0.55000000000000004"/>
    <x v="7"/>
    <n v="0"/>
    <n v="18"/>
    <n v="18"/>
  </r>
  <r>
    <n v="372"/>
    <x v="12"/>
    <x v="0"/>
    <x v="0"/>
    <x v="0"/>
    <x v="263"/>
    <x v="0"/>
    <x v="1"/>
    <x v="1"/>
    <x v="4"/>
    <x v="9"/>
    <n v="0.4"/>
    <x v="8"/>
    <n v="0"/>
    <n v="18"/>
    <n v="18"/>
  </r>
  <r>
    <n v="505"/>
    <x v="16"/>
    <x v="0"/>
    <x v="0"/>
    <x v="0"/>
    <x v="264"/>
    <x v="0"/>
    <x v="1"/>
    <x v="0"/>
    <x v="12"/>
    <x v="13"/>
    <n v="0.62"/>
    <x v="4"/>
    <n v="3"/>
    <n v="15"/>
    <n v="18"/>
  </r>
  <r>
    <n v="718"/>
    <x v="23"/>
    <x v="0"/>
    <x v="0"/>
    <x v="1"/>
    <x v="265"/>
    <x v="0"/>
    <x v="6"/>
    <x v="2"/>
    <x v="10"/>
    <x v="19"/>
    <n v="0.93"/>
    <x v="8"/>
    <n v="1"/>
    <n v="17"/>
    <n v="18"/>
  </r>
  <r>
    <n v="783"/>
    <x v="43"/>
    <x v="0"/>
    <x v="0"/>
    <x v="1"/>
    <x v="266"/>
    <x v="0"/>
    <x v="0"/>
    <x v="1"/>
    <x v="0"/>
    <x v="19"/>
    <n v="0.65"/>
    <x v="6"/>
    <n v="1"/>
    <n v="17"/>
    <n v="18"/>
  </r>
  <r>
    <n v="115"/>
    <x v="31"/>
    <x v="0"/>
    <x v="0"/>
    <x v="0"/>
    <x v="267"/>
    <x v="0"/>
    <x v="6"/>
    <x v="0"/>
    <x v="4"/>
    <x v="1"/>
    <n v="0.47"/>
    <x v="0"/>
    <n v="1"/>
    <n v="18"/>
    <n v="19"/>
  </r>
  <r>
    <n v="195"/>
    <x v="7"/>
    <x v="0"/>
    <x v="0"/>
    <x v="0"/>
    <x v="268"/>
    <x v="0"/>
    <x v="1"/>
    <x v="0"/>
    <x v="8"/>
    <x v="10"/>
    <n v="0.46"/>
    <x v="14"/>
    <n v="0"/>
    <n v="19"/>
    <n v="19"/>
  </r>
  <r>
    <n v="255"/>
    <x v="40"/>
    <x v="0"/>
    <x v="0"/>
    <x v="0"/>
    <x v="269"/>
    <x v="0"/>
    <x v="3"/>
    <x v="2"/>
    <x v="2"/>
    <x v="5"/>
    <n v="0.93"/>
    <x v="1"/>
    <n v="1"/>
    <n v="18"/>
    <n v="19"/>
  </r>
  <r>
    <n v="510"/>
    <x v="16"/>
    <x v="0"/>
    <x v="0"/>
    <x v="0"/>
    <x v="270"/>
    <x v="0"/>
    <x v="1"/>
    <x v="0"/>
    <x v="15"/>
    <x v="10"/>
    <n v="0.62"/>
    <x v="6"/>
    <n v="2"/>
    <n v="17"/>
    <n v="19"/>
  </r>
  <r>
    <n v="33"/>
    <x v="1"/>
    <x v="0"/>
    <x v="0"/>
    <x v="0"/>
    <x v="271"/>
    <x v="0"/>
    <x v="1"/>
    <x v="1"/>
    <x v="20"/>
    <x v="18"/>
    <n v="0.76"/>
    <x v="5"/>
    <n v="1"/>
    <n v="19"/>
    <n v="20"/>
  </r>
  <r>
    <n v="68"/>
    <x v="2"/>
    <x v="0"/>
    <x v="0"/>
    <x v="0"/>
    <x v="272"/>
    <x v="0"/>
    <x v="2"/>
    <x v="0"/>
    <x v="3"/>
    <x v="4"/>
    <n v="0.69"/>
    <x v="4"/>
    <n v="0"/>
    <n v="20"/>
    <n v="20"/>
  </r>
  <r>
    <n v="171"/>
    <x v="6"/>
    <x v="0"/>
    <x v="0"/>
    <x v="0"/>
    <x v="273"/>
    <x v="0"/>
    <x v="0"/>
    <x v="2"/>
    <x v="2"/>
    <x v="15"/>
    <n v="0.93"/>
    <x v="8"/>
    <n v="0"/>
    <n v="20"/>
    <n v="20"/>
  </r>
  <r>
    <n v="207"/>
    <x v="7"/>
    <x v="0"/>
    <x v="0"/>
    <x v="0"/>
    <x v="274"/>
    <x v="0"/>
    <x v="1"/>
    <x v="0"/>
    <x v="3"/>
    <x v="20"/>
    <n v="0.46"/>
    <x v="11"/>
    <n v="1"/>
    <n v="19"/>
    <n v="20"/>
  </r>
  <r>
    <n v="253"/>
    <x v="40"/>
    <x v="0"/>
    <x v="0"/>
    <x v="0"/>
    <x v="275"/>
    <x v="0"/>
    <x v="3"/>
    <x v="2"/>
    <x v="2"/>
    <x v="5"/>
    <n v="0.86"/>
    <x v="1"/>
    <n v="0"/>
    <n v="20"/>
    <n v="20"/>
  </r>
  <r>
    <n v="277"/>
    <x v="9"/>
    <x v="0"/>
    <x v="0"/>
    <x v="0"/>
    <x v="276"/>
    <x v="0"/>
    <x v="6"/>
    <x v="0"/>
    <x v="3"/>
    <x v="20"/>
    <n v="0.59"/>
    <x v="11"/>
    <n v="1"/>
    <n v="19"/>
    <n v="20"/>
  </r>
  <r>
    <n v="326"/>
    <x v="11"/>
    <x v="0"/>
    <x v="0"/>
    <x v="0"/>
    <x v="277"/>
    <x v="0"/>
    <x v="0"/>
    <x v="1"/>
    <x v="2"/>
    <x v="5"/>
    <n v="0.59"/>
    <x v="1"/>
    <n v="2"/>
    <n v="18"/>
    <n v="20"/>
  </r>
  <r>
    <n v="408"/>
    <x v="41"/>
    <x v="0"/>
    <x v="0"/>
    <x v="0"/>
    <x v="278"/>
    <x v="0"/>
    <x v="3"/>
    <x v="1"/>
    <x v="10"/>
    <x v="16"/>
    <n v="0.93"/>
    <x v="0"/>
    <n v="1"/>
    <n v="19"/>
    <n v="20"/>
  </r>
  <r>
    <n v="620"/>
    <x v="35"/>
    <x v="0"/>
    <x v="0"/>
    <x v="0"/>
    <x v="279"/>
    <x v="0"/>
    <x v="0"/>
    <x v="0"/>
    <x v="10"/>
    <x v="9"/>
    <n v="0.64"/>
    <x v="2"/>
    <n v="0"/>
    <n v="20"/>
    <n v="20"/>
  </r>
  <r>
    <n v="791"/>
    <x v="43"/>
    <x v="0"/>
    <x v="0"/>
    <x v="1"/>
    <x v="280"/>
    <x v="0"/>
    <x v="0"/>
    <x v="2"/>
    <x v="4"/>
    <x v="9"/>
    <n v="1"/>
    <x v="1"/>
    <n v="3"/>
    <n v="17"/>
    <n v="20"/>
  </r>
  <r>
    <n v="808"/>
    <x v="26"/>
    <x v="0"/>
    <x v="0"/>
    <x v="1"/>
    <x v="281"/>
    <x v="0"/>
    <x v="1"/>
    <x v="0"/>
    <x v="9"/>
    <x v="9"/>
    <n v="0.6"/>
    <x v="13"/>
    <n v="0"/>
    <n v="20"/>
    <n v="20"/>
  </r>
  <r>
    <n v="972"/>
    <x v="38"/>
    <x v="0"/>
    <x v="0"/>
    <x v="1"/>
    <x v="282"/>
    <x v="0"/>
    <x v="1"/>
    <x v="1"/>
    <x v="4"/>
    <x v="9"/>
    <n v="0.75"/>
    <x v="1"/>
    <n v="1"/>
    <n v="19"/>
    <n v="20"/>
  </r>
  <r>
    <n v="371"/>
    <x v="12"/>
    <x v="0"/>
    <x v="0"/>
    <x v="0"/>
    <x v="283"/>
    <x v="0"/>
    <x v="1"/>
    <x v="1"/>
    <x v="4"/>
    <x v="6"/>
    <n v="0.49"/>
    <x v="4"/>
    <n v="2"/>
    <n v="19"/>
    <n v="21"/>
  </r>
  <r>
    <n v="456"/>
    <x v="15"/>
    <x v="0"/>
    <x v="0"/>
    <x v="0"/>
    <x v="284"/>
    <x v="0"/>
    <x v="5"/>
    <x v="1"/>
    <x v="0"/>
    <x v="9"/>
    <n v="0.7"/>
    <x v="10"/>
    <n v="1"/>
    <n v="20"/>
    <n v="21"/>
  </r>
  <r>
    <n v="525"/>
    <x v="16"/>
    <x v="0"/>
    <x v="0"/>
    <x v="0"/>
    <x v="285"/>
    <x v="0"/>
    <x v="1"/>
    <x v="0"/>
    <x v="15"/>
    <x v="13"/>
    <n v="0.41"/>
    <x v="5"/>
    <n v="4"/>
    <n v="17"/>
    <n v="21"/>
  </r>
  <r>
    <n v="663"/>
    <x v="21"/>
    <x v="0"/>
    <x v="0"/>
    <x v="0"/>
    <x v="286"/>
    <x v="0"/>
    <x v="1"/>
    <x v="1"/>
    <x v="0"/>
    <x v="9"/>
    <n v="0.7"/>
    <x v="2"/>
    <n v="2"/>
    <n v="19"/>
    <n v="21"/>
  </r>
  <r>
    <n v="664"/>
    <x v="21"/>
    <x v="0"/>
    <x v="0"/>
    <x v="0"/>
    <x v="287"/>
    <x v="0"/>
    <x v="1"/>
    <x v="1"/>
    <x v="0"/>
    <x v="6"/>
    <n v="0.65"/>
    <x v="7"/>
    <n v="5"/>
    <n v="16"/>
    <n v="21"/>
  </r>
  <r>
    <n v="825"/>
    <x v="26"/>
    <x v="0"/>
    <x v="0"/>
    <x v="1"/>
    <x v="288"/>
    <x v="0"/>
    <x v="1"/>
    <x v="0"/>
    <x v="13"/>
    <x v="0"/>
    <n v="0.61"/>
    <x v="4"/>
    <n v="1"/>
    <n v="20"/>
    <n v="21"/>
  </r>
  <r>
    <n v="44"/>
    <x v="1"/>
    <x v="0"/>
    <x v="0"/>
    <x v="0"/>
    <x v="289"/>
    <x v="0"/>
    <x v="1"/>
    <x v="0"/>
    <x v="22"/>
    <x v="18"/>
    <n v="0.39"/>
    <x v="12"/>
    <n v="5"/>
    <n v="17"/>
    <n v="22"/>
  </r>
  <r>
    <n v="185"/>
    <x v="6"/>
    <x v="0"/>
    <x v="0"/>
    <x v="0"/>
    <x v="290"/>
    <x v="0"/>
    <x v="0"/>
    <x v="0"/>
    <x v="7"/>
    <x v="13"/>
    <n v="0.39"/>
    <x v="16"/>
    <n v="0"/>
    <n v="22"/>
    <n v="22"/>
  </r>
  <r>
    <n v="398"/>
    <x v="41"/>
    <x v="0"/>
    <x v="0"/>
    <x v="0"/>
    <x v="291"/>
    <x v="0"/>
    <x v="3"/>
    <x v="1"/>
    <x v="4"/>
    <x v="5"/>
    <n v="0.86"/>
    <x v="5"/>
    <n v="0"/>
    <n v="22"/>
    <n v="22"/>
  </r>
  <r>
    <n v="503"/>
    <x v="16"/>
    <x v="0"/>
    <x v="0"/>
    <x v="0"/>
    <x v="292"/>
    <x v="0"/>
    <x v="1"/>
    <x v="0"/>
    <x v="11"/>
    <x v="10"/>
    <n v="0.56999999999999995"/>
    <x v="8"/>
    <n v="2"/>
    <n v="20"/>
    <n v="22"/>
  </r>
  <r>
    <n v="694"/>
    <x v="36"/>
    <x v="0"/>
    <x v="0"/>
    <x v="1"/>
    <x v="293"/>
    <x v="0"/>
    <x v="3"/>
    <x v="2"/>
    <x v="3"/>
    <x v="6"/>
    <n v="0.93"/>
    <x v="0"/>
    <n v="0"/>
    <n v="22"/>
    <n v="22"/>
  </r>
  <r>
    <n v="138"/>
    <x v="4"/>
    <x v="0"/>
    <x v="0"/>
    <x v="0"/>
    <x v="294"/>
    <x v="0"/>
    <x v="4"/>
    <x v="1"/>
    <x v="4"/>
    <x v="5"/>
    <n v="0.59"/>
    <x v="2"/>
    <n v="4"/>
    <n v="19"/>
    <n v="23"/>
  </r>
  <r>
    <n v="333"/>
    <x v="11"/>
    <x v="0"/>
    <x v="0"/>
    <x v="0"/>
    <x v="295"/>
    <x v="0"/>
    <x v="0"/>
    <x v="0"/>
    <x v="3"/>
    <x v="4"/>
    <n v="0.63"/>
    <x v="4"/>
    <n v="1"/>
    <n v="22"/>
    <n v="23"/>
  </r>
  <r>
    <n v="350"/>
    <x v="12"/>
    <x v="0"/>
    <x v="0"/>
    <x v="0"/>
    <x v="296"/>
    <x v="0"/>
    <x v="1"/>
    <x v="0"/>
    <x v="9"/>
    <x v="16"/>
    <n v="0.56000000000000005"/>
    <x v="4"/>
    <n v="4"/>
    <n v="19"/>
    <n v="23"/>
  </r>
  <r>
    <n v="618"/>
    <x v="20"/>
    <x v="0"/>
    <x v="0"/>
    <x v="0"/>
    <x v="297"/>
    <x v="0"/>
    <x v="5"/>
    <x v="0"/>
    <x v="0"/>
    <x v="9"/>
    <n v="0.6"/>
    <x v="5"/>
    <n v="1"/>
    <n v="22"/>
    <n v="23"/>
  </r>
  <r>
    <n v="814"/>
    <x v="26"/>
    <x v="0"/>
    <x v="0"/>
    <x v="1"/>
    <x v="298"/>
    <x v="0"/>
    <x v="1"/>
    <x v="0"/>
    <x v="0"/>
    <x v="1"/>
    <n v="0.65"/>
    <x v="8"/>
    <n v="2"/>
    <n v="21"/>
    <n v="23"/>
  </r>
  <r>
    <n v="232"/>
    <x v="8"/>
    <x v="0"/>
    <x v="0"/>
    <x v="0"/>
    <x v="299"/>
    <x v="0"/>
    <x v="2"/>
    <x v="0"/>
    <x v="3"/>
    <x v="4"/>
    <n v="0.59"/>
    <x v="6"/>
    <n v="2"/>
    <n v="22"/>
    <n v="24"/>
  </r>
  <r>
    <n v="548"/>
    <x v="17"/>
    <x v="0"/>
    <x v="0"/>
    <x v="0"/>
    <x v="300"/>
    <x v="0"/>
    <x v="2"/>
    <x v="1"/>
    <x v="2"/>
    <x v="4"/>
    <n v="0.64"/>
    <x v="10"/>
    <n v="3"/>
    <n v="21"/>
    <n v="24"/>
  </r>
  <r>
    <n v="588"/>
    <x v="44"/>
    <x v="0"/>
    <x v="0"/>
    <x v="0"/>
    <x v="301"/>
    <x v="0"/>
    <x v="4"/>
    <x v="0"/>
    <x v="10"/>
    <x v="9"/>
    <n v="0.55000000000000004"/>
    <x v="2"/>
    <n v="1"/>
    <n v="23"/>
    <n v="24"/>
  </r>
  <r>
    <n v="928"/>
    <x v="42"/>
    <x v="0"/>
    <x v="0"/>
    <x v="1"/>
    <x v="302"/>
    <x v="0"/>
    <x v="5"/>
    <x v="0"/>
    <x v="7"/>
    <x v="15"/>
    <n v="0.68"/>
    <x v="0"/>
    <n v="1"/>
    <n v="23"/>
    <n v="24"/>
  </r>
  <r>
    <n v="947"/>
    <x v="30"/>
    <x v="0"/>
    <x v="0"/>
    <x v="1"/>
    <x v="303"/>
    <x v="0"/>
    <x v="0"/>
    <x v="0"/>
    <x v="3"/>
    <x v="6"/>
    <n v="0.86"/>
    <x v="0"/>
    <n v="2"/>
    <n v="22"/>
    <n v="24"/>
  </r>
  <r>
    <n v="971"/>
    <x v="38"/>
    <x v="0"/>
    <x v="0"/>
    <x v="1"/>
    <x v="304"/>
    <x v="0"/>
    <x v="1"/>
    <x v="0"/>
    <x v="4"/>
    <x v="9"/>
    <n v="0.59"/>
    <x v="1"/>
    <n v="1"/>
    <n v="23"/>
    <n v="24"/>
  </r>
  <r>
    <n v="162"/>
    <x v="6"/>
    <x v="0"/>
    <x v="0"/>
    <x v="0"/>
    <x v="305"/>
    <x v="0"/>
    <x v="0"/>
    <x v="1"/>
    <x v="5"/>
    <x v="5"/>
    <n v="0.51"/>
    <x v="6"/>
    <n v="1"/>
    <n v="24"/>
    <n v="25"/>
  </r>
  <r>
    <n v="186"/>
    <x v="7"/>
    <x v="0"/>
    <x v="0"/>
    <x v="0"/>
    <x v="306"/>
    <x v="0"/>
    <x v="1"/>
    <x v="0"/>
    <x v="7"/>
    <x v="10"/>
    <n v="0.42"/>
    <x v="3"/>
    <n v="1"/>
    <n v="24"/>
    <n v="25"/>
  </r>
  <r>
    <n v="523"/>
    <x v="16"/>
    <x v="0"/>
    <x v="0"/>
    <x v="0"/>
    <x v="307"/>
    <x v="0"/>
    <x v="1"/>
    <x v="0"/>
    <x v="7"/>
    <x v="20"/>
    <n v="0.36"/>
    <x v="2"/>
    <n v="5"/>
    <n v="20"/>
    <n v="25"/>
  </r>
  <r>
    <n v="853"/>
    <x v="27"/>
    <x v="0"/>
    <x v="0"/>
    <x v="1"/>
    <x v="308"/>
    <x v="0"/>
    <x v="2"/>
    <x v="1"/>
    <x v="22"/>
    <x v="21"/>
    <n v="0.81"/>
    <x v="0"/>
    <n v="6"/>
    <n v="19"/>
    <n v="25"/>
  </r>
  <r>
    <n v="347"/>
    <x v="11"/>
    <x v="0"/>
    <x v="0"/>
    <x v="0"/>
    <x v="309"/>
    <x v="0"/>
    <x v="0"/>
    <x v="1"/>
    <x v="22"/>
    <x v="22"/>
    <n v="0.42"/>
    <x v="8"/>
    <n v="0"/>
    <n v="26"/>
    <n v="26"/>
  </r>
  <r>
    <n v="587"/>
    <x v="19"/>
    <x v="0"/>
    <x v="0"/>
    <x v="0"/>
    <x v="310"/>
    <x v="0"/>
    <x v="6"/>
    <x v="2"/>
    <x v="4"/>
    <x v="15"/>
    <n v="0.93"/>
    <x v="12"/>
    <n v="0"/>
    <n v="26"/>
    <n v="26"/>
  </r>
  <r>
    <n v="617"/>
    <x v="20"/>
    <x v="0"/>
    <x v="0"/>
    <x v="0"/>
    <x v="311"/>
    <x v="0"/>
    <x v="5"/>
    <x v="0"/>
    <x v="0"/>
    <x v="6"/>
    <n v="0.65"/>
    <x v="12"/>
    <n v="0"/>
    <n v="26"/>
    <n v="26"/>
  </r>
  <r>
    <n v="826"/>
    <x v="26"/>
    <x v="0"/>
    <x v="0"/>
    <x v="1"/>
    <x v="312"/>
    <x v="0"/>
    <x v="1"/>
    <x v="0"/>
    <x v="13"/>
    <x v="0"/>
    <n v="0.61"/>
    <x v="8"/>
    <n v="5"/>
    <n v="21"/>
    <n v="26"/>
  </r>
  <r>
    <n v="906"/>
    <x v="29"/>
    <x v="0"/>
    <x v="0"/>
    <x v="1"/>
    <x v="313"/>
    <x v="0"/>
    <x v="4"/>
    <x v="1"/>
    <x v="8"/>
    <x v="8"/>
    <n v="0.54"/>
    <x v="7"/>
    <n v="0"/>
    <n v="26"/>
    <n v="26"/>
  </r>
  <r>
    <n v="999"/>
    <x v="39"/>
    <x v="0"/>
    <x v="0"/>
    <x v="1"/>
    <x v="314"/>
    <x v="0"/>
    <x v="2"/>
    <x v="0"/>
    <x v="17"/>
    <x v="23"/>
    <n v="0.46"/>
    <x v="9"/>
    <n v="1"/>
    <n v="25"/>
    <n v="26"/>
  </r>
  <r>
    <n v="238"/>
    <x v="40"/>
    <x v="0"/>
    <x v="0"/>
    <x v="0"/>
    <x v="315"/>
    <x v="0"/>
    <x v="3"/>
    <x v="1"/>
    <x v="2"/>
    <x v="15"/>
    <n v="0.55000000000000004"/>
    <x v="4"/>
    <n v="0"/>
    <n v="27"/>
    <n v="27"/>
  </r>
  <r>
    <n v="324"/>
    <x v="10"/>
    <x v="0"/>
    <x v="0"/>
    <x v="0"/>
    <x v="316"/>
    <x v="0"/>
    <x v="5"/>
    <x v="1"/>
    <x v="5"/>
    <x v="19"/>
    <n v="0.55000000000000004"/>
    <x v="0"/>
    <n v="1"/>
    <n v="26"/>
    <n v="27"/>
  </r>
  <r>
    <n v="394"/>
    <x v="13"/>
    <x v="0"/>
    <x v="0"/>
    <x v="0"/>
    <x v="317"/>
    <x v="1"/>
    <x v="2"/>
    <x v="2"/>
    <x v="2"/>
    <x v="4"/>
    <n v="0.8"/>
    <x v="2"/>
    <n v="3"/>
    <n v="24"/>
    <n v="27"/>
  </r>
  <r>
    <n v="462"/>
    <x v="15"/>
    <x v="0"/>
    <x v="0"/>
    <x v="0"/>
    <x v="318"/>
    <x v="0"/>
    <x v="5"/>
    <x v="0"/>
    <x v="10"/>
    <x v="6"/>
    <n v="0.55000000000000004"/>
    <x v="10"/>
    <n v="0"/>
    <n v="27"/>
    <n v="27"/>
  </r>
  <r>
    <n v="479"/>
    <x v="15"/>
    <x v="0"/>
    <x v="0"/>
    <x v="0"/>
    <x v="319"/>
    <x v="0"/>
    <x v="5"/>
    <x v="0"/>
    <x v="15"/>
    <x v="11"/>
    <n v="0.38"/>
    <x v="13"/>
    <n v="0"/>
    <n v="27"/>
    <n v="27"/>
  </r>
  <r>
    <n v="487"/>
    <x v="34"/>
    <x v="0"/>
    <x v="0"/>
    <x v="0"/>
    <x v="320"/>
    <x v="0"/>
    <x v="0"/>
    <x v="0"/>
    <x v="12"/>
    <x v="18"/>
    <n v="0.44"/>
    <x v="13"/>
    <n v="1"/>
    <n v="26"/>
    <n v="27"/>
  </r>
  <r>
    <n v="594"/>
    <x v="44"/>
    <x v="0"/>
    <x v="0"/>
    <x v="0"/>
    <x v="321"/>
    <x v="0"/>
    <x v="4"/>
    <x v="0"/>
    <x v="5"/>
    <x v="6"/>
    <n v="0.74"/>
    <x v="1"/>
    <n v="0"/>
    <n v="27"/>
    <n v="27"/>
  </r>
  <r>
    <n v="827"/>
    <x v="26"/>
    <x v="0"/>
    <x v="0"/>
    <x v="1"/>
    <x v="322"/>
    <x v="0"/>
    <x v="1"/>
    <x v="0"/>
    <x v="9"/>
    <x v="23"/>
    <n v="0.6"/>
    <x v="0"/>
    <n v="5"/>
    <n v="22"/>
    <n v="27"/>
  </r>
  <r>
    <n v="23"/>
    <x v="0"/>
    <x v="0"/>
    <x v="0"/>
    <x v="0"/>
    <x v="323"/>
    <x v="0"/>
    <x v="0"/>
    <x v="1"/>
    <x v="1"/>
    <x v="2"/>
    <n v="0.94"/>
    <x v="5"/>
    <n v="11"/>
    <n v="17"/>
    <n v="28"/>
  </r>
  <r>
    <n v="182"/>
    <x v="6"/>
    <x v="0"/>
    <x v="0"/>
    <x v="0"/>
    <x v="324"/>
    <x v="0"/>
    <x v="0"/>
    <x v="0"/>
    <x v="8"/>
    <x v="8"/>
    <n v="0.36"/>
    <x v="10"/>
    <n v="0"/>
    <n v="28"/>
    <n v="28"/>
  </r>
  <r>
    <n v="284"/>
    <x v="32"/>
    <x v="0"/>
    <x v="0"/>
    <x v="0"/>
    <x v="325"/>
    <x v="0"/>
    <x v="4"/>
    <x v="0"/>
    <x v="8"/>
    <x v="4"/>
    <n v="0.54"/>
    <x v="4"/>
    <n v="0"/>
    <n v="28"/>
    <n v="28"/>
  </r>
  <r>
    <n v="325"/>
    <x v="11"/>
    <x v="0"/>
    <x v="0"/>
    <x v="0"/>
    <x v="326"/>
    <x v="0"/>
    <x v="0"/>
    <x v="0"/>
    <x v="5"/>
    <x v="19"/>
    <n v="0.55000000000000004"/>
    <x v="0"/>
    <n v="3"/>
    <n v="25"/>
    <n v="28"/>
  </r>
  <r>
    <n v="370"/>
    <x v="12"/>
    <x v="0"/>
    <x v="0"/>
    <x v="0"/>
    <x v="327"/>
    <x v="0"/>
    <x v="1"/>
    <x v="0"/>
    <x v="5"/>
    <x v="5"/>
    <n v="0.51"/>
    <x v="6"/>
    <n v="6"/>
    <n v="22"/>
    <n v="28"/>
  </r>
  <r>
    <n v="399"/>
    <x v="41"/>
    <x v="0"/>
    <x v="0"/>
    <x v="0"/>
    <x v="328"/>
    <x v="0"/>
    <x v="3"/>
    <x v="1"/>
    <x v="10"/>
    <x v="9"/>
    <n v="0.8"/>
    <x v="6"/>
    <n v="2"/>
    <n v="26"/>
    <n v="28"/>
  </r>
  <r>
    <n v="431"/>
    <x v="33"/>
    <x v="0"/>
    <x v="0"/>
    <x v="0"/>
    <x v="329"/>
    <x v="0"/>
    <x v="6"/>
    <x v="0"/>
    <x v="22"/>
    <x v="16"/>
    <n v="0.52"/>
    <x v="15"/>
    <n v="1"/>
    <n v="27"/>
    <n v="28"/>
  </r>
  <r>
    <n v="511"/>
    <x v="16"/>
    <x v="0"/>
    <x v="0"/>
    <x v="0"/>
    <x v="330"/>
    <x v="0"/>
    <x v="1"/>
    <x v="0"/>
    <x v="7"/>
    <x v="10"/>
    <n v="0.54"/>
    <x v="12"/>
    <n v="3"/>
    <n v="25"/>
    <n v="28"/>
  </r>
  <r>
    <n v="524"/>
    <x v="16"/>
    <x v="0"/>
    <x v="0"/>
    <x v="0"/>
    <x v="331"/>
    <x v="0"/>
    <x v="1"/>
    <x v="0"/>
    <x v="6"/>
    <x v="7"/>
    <n v="0.38"/>
    <x v="2"/>
    <n v="5"/>
    <n v="23"/>
    <n v="28"/>
  </r>
  <r>
    <n v="580"/>
    <x v="19"/>
    <x v="0"/>
    <x v="0"/>
    <x v="0"/>
    <x v="332"/>
    <x v="0"/>
    <x v="6"/>
    <x v="2"/>
    <x v="10"/>
    <x v="6"/>
    <n v="0.93"/>
    <x v="7"/>
    <n v="2"/>
    <n v="26"/>
    <n v="28"/>
  </r>
  <r>
    <n v="619"/>
    <x v="35"/>
    <x v="0"/>
    <x v="0"/>
    <x v="0"/>
    <x v="333"/>
    <x v="0"/>
    <x v="0"/>
    <x v="0"/>
    <x v="10"/>
    <x v="5"/>
    <n v="0.64"/>
    <x v="12"/>
    <n v="2"/>
    <n v="26"/>
    <n v="28"/>
  </r>
  <r>
    <n v="662"/>
    <x v="21"/>
    <x v="0"/>
    <x v="0"/>
    <x v="0"/>
    <x v="334"/>
    <x v="0"/>
    <x v="1"/>
    <x v="1"/>
    <x v="0"/>
    <x v="19"/>
    <n v="0.7"/>
    <x v="6"/>
    <n v="3"/>
    <n v="25"/>
    <n v="28"/>
  </r>
  <r>
    <n v="764"/>
    <x v="25"/>
    <x v="0"/>
    <x v="0"/>
    <x v="1"/>
    <x v="335"/>
    <x v="0"/>
    <x v="5"/>
    <x v="1"/>
    <x v="2"/>
    <x v="9"/>
    <n v="0.55000000000000004"/>
    <x v="0"/>
    <n v="2"/>
    <n v="26"/>
    <n v="28"/>
  </r>
  <r>
    <n v="254"/>
    <x v="40"/>
    <x v="0"/>
    <x v="0"/>
    <x v="0"/>
    <x v="336"/>
    <x v="0"/>
    <x v="3"/>
    <x v="2"/>
    <x v="2"/>
    <x v="15"/>
    <n v="0.93"/>
    <x v="8"/>
    <n v="1"/>
    <n v="28"/>
    <n v="29"/>
  </r>
  <r>
    <n v="607"/>
    <x v="20"/>
    <x v="0"/>
    <x v="0"/>
    <x v="0"/>
    <x v="337"/>
    <x v="0"/>
    <x v="5"/>
    <x v="2"/>
    <x v="5"/>
    <x v="6"/>
    <n v="0.93"/>
    <x v="8"/>
    <n v="1"/>
    <n v="28"/>
    <n v="29"/>
  </r>
  <r>
    <n v="643"/>
    <x v="21"/>
    <x v="0"/>
    <x v="0"/>
    <x v="0"/>
    <x v="338"/>
    <x v="0"/>
    <x v="1"/>
    <x v="0"/>
    <x v="3"/>
    <x v="6"/>
    <n v="0.8"/>
    <x v="0"/>
    <n v="7"/>
    <n v="22"/>
    <n v="29"/>
  </r>
  <r>
    <n v="876"/>
    <x v="28"/>
    <x v="0"/>
    <x v="0"/>
    <x v="1"/>
    <x v="339"/>
    <x v="0"/>
    <x v="3"/>
    <x v="0"/>
    <x v="8"/>
    <x v="20"/>
    <n v="0.33"/>
    <x v="12"/>
    <n v="0"/>
    <n v="29"/>
    <n v="29"/>
  </r>
  <r>
    <n v="43"/>
    <x v="1"/>
    <x v="0"/>
    <x v="0"/>
    <x v="0"/>
    <x v="340"/>
    <x v="0"/>
    <x v="1"/>
    <x v="0"/>
    <x v="18"/>
    <x v="0"/>
    <n v="0.42"/>
    <x v="16"/>
    <n v="1"/>
    <n v="29"/>
    <n v="30"/>
  </r>
  <r>
    <n v="52"/>
    <x v="2"/>
    <x v="0"/>
    <x v="0"/>
    <x v="0"/>
    <x v="341"/>
    <x v="0"/>
    <x v="2"/>
    <x v="0"/>
    <x v="3"/>
    <x v="20"/>
    <n v="0.5"/>
    <x v="3"/>
    <n v="0"/>
    <n v="30"/>
    <n v="30"/>
  </r>
  <r>
    <n v="181"/>
    <x v="6"/>
    <x v="0"/>
    <x v="0"/>
    <x v="0"/>
    <x v="342"/>
    <x v="0"/>
    <x v="0"/>
    <x v="0"/>
    <x v="3"/>
    <x v="8"/>
    <n v="0.36"/>
    <x v="10"/>
    <n v="4"/>
    <n v="26"/>
    <n v="30"/>
  </r>
  <r>
    <n v="221"/>
    <x v="8"/>
    <x v="0"/>
    <x v="0"/>
    <x v="0"/>
    <x v="343"/>
    <x v="0"/>
    <x v="2"/>
    <x v="1"/>
    <x v="2"/>
    <x v="3"/>
    <n v="0.47"/>
    <x v="7"/>
    <n v="2"/>
    <n v="28"/>
    <n v="30"/>
  </r>
  <r>
    <n v="300"/>
    <x v="32"/>
    <x v="0"/>
    <x v="0"/>
    <x v="0"/>
    <x v="344"/>
    <x v="0"/>
    <x v="4"/>
    <x v="0"/>
    <x v="3"/>
    <x v="8"/>
    <n v="0.46"/>
    <x v="13"/>
    <n v="0"/>
    <n v="30"/>
    <n v="30"/>
  </r>
  <r>
    <n v="501"/>
    <x v="34"/>
    <x v="0"/>
    <x v="0"/>
    <x v="0"/>
    <x v="345"/>
    <x v="0"/>
    <x v="0"/>
    <x v="0"/>
    <x v="15"/>
    <x v="4"/>
    <n v="0.49"/>
    <x v="0"/>
    <n v="7"/>
    <n v="23"/>
    <n v="30"/>
  </r>
  <r>
    <n v="577"/>
    <x v="19"/>
    <x v="0"/>
    <x v="0"/>
    <x v="0"/>
    <x v="346"/>
    <x v="0"/>
    <x v="6"/>
    <x v="2"/>
    <x v="10"/>
    <x v="6"/>
    <n v="0.87"/>
    <x v="9"/>
    <n v="1"/>
    <n v="29"/>
    <n v="30"/>
  </r>
  <r>
    <n v="606"/>
    <x v="20"/>
    <x v="0"/>
    <x v="0"/>
    <x v="0"/>
    <x v="347"/>
    <x v="0"/>
    <x v="5"/>
    <x v="2"/>
    <x v="5"/>
    <x v="6"/>
    <n v="0.93"/>
    <x v="8"/>
    <n v="0"/>
    <n v="30"/>
    <n v="30"/>
  </r>
  <r>
    <n v="829"/>
    <x v="26"/>
    <x v="0"/>
    <x v="0"/>
    <x v="1"/>
    <x v="348"/>
    <x v="0"/>
    <x v="1"/>
    <x v="0"/>
    <x v="0"/>
    <x v="0"/>
    <n v="0.65"/>
    <x v="0"/>
    <n v="4"/>
    <n v="26"/>
    <n v="30"/>
  </r>
  <r>
    <n v="836"/>
    <x v="27"/>
    <x v="0"/>
    <x v="0"/>
    <x v="1"/>
    <x v="349"/>
    <x v="0"/>
    <x v="2"/>
    <x v="0"/>
    <x v="5"/>
    <x v="19"/>
    <n v="0.93"/>
    <x v="0"/>
    <n v="1"/>
    <n v="29"/>
    <n v="30"/>
  </r>
  <r>
    <n v="946"/>
    <x v="30"/>
    <x v="0"/>
    <x v="0"/>
    <x v="1"/>
    <x v="350"/>
    <x v="0"/>
    <x v="0"/>
    <x v="0"/>
    <x v="2"/>
    <x v="5"/>
    <n v="0.69"/>
    <x v="1"/>
    <n v="3"/>
    <n v="27"/>
    <n v="30"/>
  </r>
  <r>
    <n v="954"/>
    <x v="30"/>
    <x v="0"/>
    <x v="0"/>
    <x v="1"/>
    <x v="351"/>
    <x v="0"/>
    <x v="0"/>
    <x v="0"/>
    <x v="3"/>
    <x v="4"/>
    <n v="0.86"/>
    <x v="4"/>
    <n v="2"/>
    <n v="28"/>
    <n v="30"/>
  </r>
  <r>
    <n v="992"/>
    <x v="38"/>
    <x v="0"/>
    <x v="0"/>
    <x v="1"/>
    <x v="352"/>
    <x v="0"/>
    <x v="1"/>
    <x v="0"/>
    <x v="1"/>
    <x v="2"/>
    <n v="0.35"/>
    <x v="12"/>
    <n v="3"/>
    <n v="27"/>
    <n v="30"/>
  </r>
  <r>
    <n v="45"/>
    <x v="1"/>
    <x v="0"/>
    <x v="0"/>
    <x v="0"/>
    <x v="353"/>
    <x v="0"/>
    <x v="1"/>
    <x v="0"/>
    <x v="9"/>
    <x v="9"/>
    <n v="0.44"/>
    <x v="13"/>
    <n v="11"/>
    <n v="20"/>
    <n v="31"/>
  </r>
  <r>
    <n v="216"/>
    <x v="8"/>
    <x v="0"/>
    <x v="0"/>
    <x v="0"/>
    <x v="354"/>
    <x v="0"/>
    <x v="2"/>
    <x v="0"/>
    <x v="8"/>
    <x v="8"/>
    <n v="0.5"/>
    <x v="7"/>
    <n v="0"/>
    <n v="31"/>
    <n v="31"/>
  </r>
  <r>
    <n v="220"/>
    <x v="8"/>
    <x v="0"/>
    <x v="0"/>
    <x v="0"/>
    <x v="355"/>
    <x v="0"/>
    <x v="2"/>
    <x v="1"/>
    <x v="3"/>
    <x v="8"/>
    <n v="0.5"/>
    <x v="9"/>
    <n v="0"/>
    <n v="31"/>
    <n v="31"/>
  </r>
  <r>
    <n v="455"/>
    <x v="14"/>
    <x v="0"/>
    <x v="0"/>
    <x v="0"/>
    <x v="356"/>
    <x v="0"/>
    <x v="4"/>
    <x v="1"/>
    <x v="0"/>
    <x v="6"/>
    <n v="0.65"/>
    <x v="13"/>
    <n v="3"/>
    <n v="28"/>
    <n v="31"/>
  </r>
  <r>
    <n v="608"/>
    <x v="20"/>
    <x v="0"/>
    <x v="0"/>
    <x v="0"/>
    <x v="357"/>
    <x v="0"/>
    <x v="5"/>
    <x v="2"/>
    <x v="5"/>
    <x v="6"/>
    <n v="0.93"/>
    <x v="8"/>
    <n v="0"/>
    <n v="31"/>
    <n v="31"/>
  </r>
  <r>
    <n v="781"/>
    <x v="25"/>
    <x v="0"/>
    <x v="0"/>
    <x v="1"/>
    <x v="358"/>
    <x v="0"/>
    <x v="5"/>
    <x v="1"/>
    <x v="0"/>
    <x v="19"/>
    <n v="0.7"/>
    <x v="4"/>
    <n v="1"/>
    <n v="30"/>
    <n v="31"/>
  </r>
  <r>
    <n v="3"/>
    <x v="0"/>
    <x v="0"/>
    <x v="0"/>
    <x v="0"/>
    <x v="359"/>
    <x v="0"/>
    <x v="0"/>
    <x v="0"/>
    <x v="10"/>
    <x v="16"/>
    <n v="0.8"/>
    <x v="0"/>
    <n v="5"/>
    <n v="27"/>
    <n v="32"/>
  </r>
  <r>
    <n v="252"/>
    <x v="40"/>
    <x v="0"/>
    <x v="0"/>
    <x v="0"/>
    <x v="360"/>
    <x v="0"/>
    <x v="3"/>
    <x v="2"/>
    <x v="2"/>
    <x v="4"/>
    <n v="0.93"/>
    <x v="2"/>
    <n v="0"/>
    <n v="32"/>
    <n v="32"/>
  </r>
  <r>
    <n v="358"/>
    <x v="12"/>
    <x v="0"/>
    <x v="0"/>
    <x v="0"/>
    <x v="361"/>
    <x v="0"/>
    <x v="1"/>
    <x v="0"/>
    <x v="10"/>
    <x v="6"/>
    <n v="0.51"/>
    <x v="10"/>
    <n v="3"/>
    <n v="29"/>
    <n v="32"/>
  </r>
  <r>
    <n v="414"/>
    <x v="33"/>
    <x v="0"/>
    <x v="0"/>
    <x v="0"/>
    <x v="362"/>
    <x v="0"/>
    <x v="6"/>
    <x v="1"/>
    <x v="10"/>
    <x v="1"/>
    <n v="0.93"/>
    <x v="1"/>
    <n v="0"/>
    <n v="32"/>
    <n v="32"/>
  </r>
  <r>
    <n v="640"/>
    <x v="35"/>
    <x v="0"/>
    <x v="0"/>
    <x v="0"/>
    <x v="363"/>
    <x v="0"/>
    <x v="0"/>
    <x v="0"/>
    <x v="2"/>
    <x v="5"/>
    <n v="0.8"/>
    <x v="1"/>
    <n v="4"/>
    <n v="28"/>
    <n v="32"/>
  </r>
  <r>
    <n v="735"/>
    <x v="23"/>
    <x v="0"/>
    <x v="0"/>
    <x v="1"/>
    <x v="364"/>
    <x v="0"/>
    <x v="6"/>
    <x v="0"/>
    <x v="4"/>
    <x v="14"/>
    <n v="0.44"/>
    <x v="16"/>
    <n v="3"/>
    <n v="29"/>
    <n v="32"/>
  </r>
  <r>
    <n v="969"/>
    <x v="30"/>
    <x v="0"/>
    <x v="0"/>
    <x v="1"/>
    <x v="365"/>
    <x v="0"/>
    <x v="0"/>
    <x v="0"/>
    <x v="10"/>
    <x v="9"/>
    <n v="0.51"/>
    <x v="4"/>
    <n v="1"/>
    <n v="31"/>
    <n v="32"/>
  </r>
  <r>
    <n v="98"/>
    <x v="31"/>
    <x v="0"/>
    <x v="0"/>
    <x v="0"/>
    <x v="366"/>
    <x v="0"/>
    <x v="6"/>
    <x v="0"/>
    <x v="4"/>
    <x v="5"/>
    <n v="0.47"/>
    <x v="5"/>
    <n v="0"/>
    <n v="33"/>
    <n v="33"/>
  </r>
  <r>
    <n v="276"/>
    <x v="9"/>
    <x v="0"/>
    <x v="0"/>
    <x v="0"/>
    <x v="367"/>
    <x v="0"/>
    <x v="6"/>
    <x v="0"/>
    <x v="2"/>
    <x v="8"/>
    <n v="0.55000000000000004"/>
    <x v="16"/>
    <n v="1"/>
    <n v="32"/>
    <n v="33"/>
  </r>
  <r>
    <n v="334"/>
    <x v="11"/>
    <x v="0"/>
    <x v="0"/>
    <x v="0"/>
    <x v="368"/>
    <x v="0"/>
    <x v="0"/>
    <x v="0"/>
    <x v="2"/>
    <x v="15"/>
    <n v="0.64"/>
    <x v="4"/>
    <n v="2"/>
    <n v="31"/>
    <n v="33"/>
  </r>
  <r>
    <n v="381"/>
    <x v="13"/>
    <x v="0"/>
    <x v="0"/>
    <x v="0"/>
    <x v="369"/>
    <x v="1"/>
    <x v="2"/>
    <x v="1"/>
    <x v="2"/>
    <x v="4"/>
    <n v="0.47"/>
    <x v="5"/>
    <n v="3"/>
    <n v="30"/>
    <n v="33"/>
  </r>
  <r>
    <n v="393"/>
    <x v="13"/>
    <x v="0"/>
    <x v="0"/>
    <x v="0"/>
    <x v="370"/>
    <x v="1"/>
    <x v="2"/>
    <x v="2"/>
    <x v="2"/>
    <x v="4"/>
    <n v="0.8"/>
    <x v="2"/>
    <n v="4"/>
    <n v="29"/>
    <n v="33"/>
  </r>
  <r>
    <n v="407"/>
    <x v="41"/>
    <x v="0"/>
    <x v="0"/>
    <x v="0"/>
    <x v="371"/>
    <x v="0"/>
    <x v="3"/>
    <x v="1"/>
    <x v="10"/>
    <x v="1"/>
    <n v="0.93"/>
    <x v="1"/>
    <n v="0"/>
    <n v="33"/>
    <n v="33"/>
  </r>
  <r>
    <n v="502"/>
    <x v="34"/>
    <x v="0"/>
    <x v="0"/>
    <x v="0"/>
    <x v="372"/>
    <x v="0"/>
    <x v="0"/>
    <x v="0"/>
    <x v="11"/>
    <x v="10"/>
    <n v="0.56999999999999995"/>
    <x v="8"/>
    <n v="2"/>
    <n v="31"/>
    <n v="33"/>
  </r>
  <r>
    <n v="641"/>
    <x v="35"/>
    <x v="0"/>
    <x v="0"/>
    <x v="0"/>
    <x v="373"/>
    <x v="0"/>
    <x v="0"/>
    <x v="0"/>
    <x v="2"/>
    <x v="5"/>
    <n v="0.8"/>
    <x v="1"/>
    <n v="3"/>
    <n v="30"/>
    <n v="33"/>
  </r>
  <r>
    <n v="642"/>
    <x v="21"/>
    <x v="0"/>
    <x v="0"/>
    <x v="0"/>
    <x v="374"/>
    <x v="0"/>
    <x v="1"/>
    <x v="0"/>
    <x v="2"/>
    <x v="15"/>
    <n v="0.8"/>
    <x v="8"/>
    <n v="0"/>
    <n v="33"/>
    <n v="33"/>
  </r>
  <r>
    <n v="661"/>
    <x v="21"/>
    <x v="0"/>
    <x v="0"/>
    <x v="0"/>
    <x v="375"/>
    <x v="0"/>
    <x v="1"/>
    <x v="1"/>
    <x v="9"/>
    <x v="16"/>
    <n v="0.65"/>
    <x v="8"/>
    <n v="3"/>
    <n v="30"/>
    <n v="33"/>
  </r>
  <r>
    <n v="22"/>
    <x v="0"/>
    <x v="0"/>
    <x v="0"/>
    <x v="0"/>
    <x v="376"/>
    <x v="0"/>
    <x v="0"/>
    <x v="1"/>
    <x v="1"/>
    <x v="2"/>
    <n v="0.87"/>
    <x v="2"/>
    <n v="3"/>
    <n v="31"/>
    <n v="34"/>
  </r>
  <r>
    <n v="144"/>
    <x v="5"/>
    <x v="0"/>
    <x v="0"/>
    <x v="0"/>
    <x v="377"/>
    <x v="0"/>
    <x v="5"/>
    <x v="1"/>
    <x v="4"/>
    <x v="1"/>
    <n v="0.69"/>
    <x v="0"/>
    <n v="8"/>
    <n v="26"/>
    <n v="34"/>
  </r>
  <r>
    <n v="184"/>
    <x v="6"/>
    <x v="0"/>
    <x v="0"/>
    <x v="0"/>
    <x v="378"/>
    <x v="0"/>
    <x v="0"/>
    <x v="0"/>
    <x v="8"/>
    <x v="20"/>
    <n v="0.36"/>
    <x v="3"/>
    <n v="1"/>
    <n v="33"/>
    <n v="34"/>
  </r>
  <r>
    <n v="478"/>
    <x v="15"/>
    <x v="0"/>
    <x v="0"/>
    <x v="0"/>
    <x v="379"/>
    <x v="0"/>
    <x v="5"/>
    <x v="0"/>
    <x v="15"/>
    <x v="12"/>
    <n v="0.41"/>
    <x v="3"/>
    <n v="1"/>
    <n v="33"/>
    <n v="34"/>
  </r>
  <r>
    <n v="626"/>
    <x v="35"/>
    <x v="0"/>
    <x v="0"/>
    <x v="0"/>
    <x v="380"/>
    <x v="0"/>
    <x v="0"/>
    <x v="0"/>
    <x v="5"/>
    <x v="5"/>
    <n v="0.55000000000000004"/>
    <x v="6"/>
    <n v="3"/>
    <n v="31"/>
    <n v="34"/>
  </r>
  <r>
    <n v="627"/>
    <x v="35"/>
    <x v="0"/>
    <x v="0"/>
    <x v="0"/>
    <x v="381"/>
    <x v="0"/>
    <x v="0"/>
    <x v="0"/>
    <x v="5"/>
    <x v="6"/>
    <n v="0.59"/>
    <x v="1"/>
    <n v="0"/>
    <n v="34"/>
    <n v="34"/>
  </r>
  <r>
    <n v="687"/>
    <x v="22"/>
    <x v="0"/>
    <x v="0"/>
    <x v="0"/>
    <x v="382"/>
    <x v="0"/>
    <x v="2"/>
    <x v="1"/>
    <x v="2"/>
    <x v="15"/>
    <n v="0.59"/>
    <x v="8"/>
    <n v="0"/>
    <n v="34"/>
    <n v="34"/>
  </r>
  <r>
    <n v="792"/>
    <x v="43"/>
    <x v="0"/>
    <x v="0"/>
    <x v="1"/>
    <x v="383"/>
    <x v="0"/>
    <x v="0"/>
    <x v="2"/>
    <x v="4"/>
    <x v="6"/>
    <n v="1"/>
    <x v="4"/>
    <n v="3"/>
    <n v="31"/>
    <n v="34"/>
  </r>
  <r>
    <n v="923"/>
    <x v="29"/>
    <x v="0"/>
    <x v="0"/>
    <x v="1"/>
    <x v="384"/>
    <x v="0"/>
    <x v="4"/>
    <x v="0"/>
    <x v="8"/>
    <x v="4"/>
    <n v="0.42"/>
    <x v="8"/>
    <n v="1"/>
    <n v="33"/>
    <n v="34"/>
  </r>
  <r>
    <n v="19"/>
    <x v="0"/>
    <x v="0"/>
    <x v="0"/>
    <x v="0"/>
    <x v="385"/>
    <x v="0"/>
    <x v="0"/>
    <x v="2"/>
    <x v="14"/>
    <x v="17"/>
    <n v="0.88"/>
    <x v="10"/>
    <n v="9"/>
    <n v="26"/>
    <n v="35"/>
  </r>
  <r>
    <n v="91"/>
    <x v="3"/>
    <x v="0"/>
    <x v="0"/>
    <x v="0"/>
    <x v="386"/>
    <x v="0"/>
    <x v="3"/>
    <x v="0"/>
    <x v="10"/>
    <x v="1"/>
    <n v="0.64"/>
    <x v="1"/>
    <n v="1"/>
    <n v="34"/>
    <n v="35"/>
  </r>
  <r>
    <n v="243"/>
    <x v="40"/>
    <x v="0"/>
    <x v="0"/>
    <x v="0"/>
    <x v="387"/>
    <x v="0"/>
    <x v="3"/>
    <x v="1"/>
    <x v="4"/>
    <x v="6"/>
    <n v="0.47"/>
    <x v="4"/>
    <n v="4"/>
    <n v="31"/>
    <n v="35"/>
  </r>
  <r>
    <n v="265"/>
    <x v="9"/>
    <x v="0"/>
    <x v="0"/>
    <x v="0"/>
    <x v="388"/>
    <x v="0"/>
    <x v="6"/>
    <x v="0"/>
    <x v="4"/>
    <x v="15"/>
    <n v="0.51"/>
    <x v="3"/>
    <n v="3"/>
    <n v="32"/>
    <n v="35"/>
  </r>
  <r>
    <n v="400"/>
    <x v="41"/>
    <x v="0"/>
    <x v="0"/>
    <x v="0"/>
    <x v="389"/>
    <x v="0"/>
    <x v="3"/>
    <x v="1"/>
    <x v="10"/>
    <x v="9"/>
    <n v="0.87"/>
    <x v="6"/>
    <n v="3"/>
    <n v="32"/>
    <n v="35"/>
  </r>
  <r>
    <n v="438"/>
    <x v="14"/>
    <x v="0"/>
    <x v="0"/>
    <x v="0"/>
    <x v="390"/>
    <x v="0"/>
    <x v="4"/>
    <x v="0"/>
    <x v="10"/>
    <x v="6"/>
    <n v="0.6"/>
    <x v="5"/>
    <n v="0"/>
    <n v="35"/>
    <n v="35"/>
  </r>
  <r>
    <n v="522"/>
    <x v="16"/>
    <x v="0"/>
    <x v="0"/>
    <x v="0"/>
    <x v="391"/>
    <x v="0"/>
    <x v="1"/>
    <x v="0"/>
    <x v="7"/>
    <x v="20"/>
    <n v="0.36"/>
    <x v="10"/>
    <n v="4"/>
    <n v="31"/>
    <n v="35"/>
  </r>
  <r>
    <n v="547"/>
    <x v="17"/>
    <x v="0"/>
    <x v="0"/>
    <x v="0"/>
    <x v="392"/>
    <x v="0"/>
    <x v="2"/>
    <x v="1"/>
    <x v="3"/>
    <x v="3"/>
    <n v="0.63"/>
    <x v="5"/>
    <n v="3"/>
    <n v="32"/>
    <n v="35"/>
  </r>
  <r>
    <n v="910"/>
    <x v="29"/>
    <x v="0"/>
    <x v="0"/>
    <x v="1"/>
    <x v="393"/>
    <x v="0"/>
    <x v="4"/>
    <x v="0"/>
    <x v="8"/>
    <x v="20"/>
    <n v="0.42"/>
    <x v="9"/>
    <n v="1"/>
    <n v="34"/>
    <n v="35"/>
  </r>
  <r>
    <n v="11"/>
    <x v="0"/>
    <x v="0"/>
    <x v="0"/>
    <x v="0"/>
    <x v="394"/>
    <x v="0"/>
    <x v="0"/>
    <x v="0"/>
    <x v="20"/>
    <x v="26"/>
    <n v="0.76"/>
    <x v="10"/>
    <n v="12"/>
    <n v="24"/>
    <n v="36"/>
  </r>
  <r>
    <n v="21"/>
    <x v="0"/>
    <x v="0"/>
    <x v="0"/>
    <x v="0"/>
    <x v="395"/>
    <x v="0"/>
    <x v="0"/>
    <x v="1"/>
    <x v="1"/>
    <x v="2"/>
    <n v="0.87"/>
    <x v="10"/>
    <n v="11"/>
    <n v="25"/>
    <n v="36"/>
  </r>
  <r>
    <n v="75"/>
    <x v="3"/>
    <x v="0"/>
    <x v="0"/>
    <x v="0"/>
    <x v="396"/>
    <x v="0"/>
    <x v="3"/>
    <x v="0"/>
    <x v="8"/>
    <x v="4"/>
    <n v="0.74"/>
    <x v="8"/>
    <n v="0"/>
    <n v="36"/>
    <n v="36"/>
  </r>
  <r>
    <n v="121"/>
    <x v="4"/>
    <x v="0"/>
    <x v="0"/>
    <x v="0"/>
    <x v="397"/>
    <x v="0"/>
    <x v="4"/>
    <x v="1"/>
    <x v="3"/>
    <x v="14"/>
    <n v="0.63"/>
    <x v="8"/>
    <n v="0"/>
    <n v="36"/>
    <n v="36"/>
  </r>
  <r>
    <n v="160"/>
    <x v="5"/>
    <x v="0"/>
    <x v="0"/>
    <x v="0"/>
    <x v="398"/>
    <x v="0"/>
    <x v="5"/>
    <x v="1"/>
    <x v="5"/>
    <x v="5"/>
    <n v="0.43"/>
    <x v="6"/>
    <n v="2"/>
    <n v="34"/>
    <n v="36"/>
  </r>
  <r>
    <n v="323"/>
    <x v="10"/>
    <x v="0"/>
    <x v="0"/>
    <x v="0"/>
    <x v="399"/>
    <x v="0"/>
    <x v="5"/>
    <x v="1"/>
    <x v="2"/>
    <x v="9"/>
    <n v="0.69"/>
    <x v="0"/>
    <n v="2"/>
    <n v="34"/>
    <n v="36"/>
  </r>
  <r>
    <n v="554"/>
    <x v="18"/>
    <x v="0"/>
    <x v="0"/>
    <x v="0"/>
    <x v="400"/>
    <x v="0"/>
    <x v="3"/>
    <x v="0"/>
    <x v="2"/>
    <x v="15"/>
    <n v="0.74"/>
    <x v="8"/>
    <n v="1"/>
    <n v="35"/>
    <n v="36"/>
  </r>
  <r>
    <n v="584"/>
    <x v="19"/>
    <x v="0"/>
    <x v="0"/>
    <x v="0"/>
    <x v="401"/>
    <x v="0"/>
    <x v="6"/>
    <x v="2"/>
    <x v="10"/>
    <x v="5"/>
    <n v="0.93"/>
    <x v="12"/>
    <n v="0"/>
    <n v="36"/>
    <n v="36"/>
  </r>
  <r>
    <n v="586"/>
    <x v="19"/>
    <x v="0"/>
    <x v="0"/>
    <x v="0"/>
    <x v="402"/>
    <x v="0"/>
    <x v="6"/>
    <x v="3"/>
    <x v="10"/>
    <x v="5"/>
    <n v="0.93"/>
    <x v="13"/>
    <n v="1"/>
    <n v="35"/>
    <n v="36"/>
  </r>
  <r>
    <n v="639"/>
    <x v="35"/>
    <x v="0"/>
    <x v="0"/>
    <x v="0"/>
    <x v="403"/>
    <x v="0"/>
    <x v="0"/>
    <x v="0"/>
    <x v="5"/>
    <x v="6"/>
    <n v="0.74"/>
    <x v="1"/>
    <n v="1"/>
    <n v="35"/>
    <n v="36"/>
  </r>
  <r>
    <n v="710"/>
    <x v="36"/>
    <x v="0"/>
    <x v="0"/>
    <x v="1"/>
    <x v="404"/>
    <x v="0"/>
    <x v="3"/>
    <x v="1"/>
    <x v="10"/>
    <x v="1"/>
    <n v="0.87"/>
    <x v="1"/>
    <n v="2"/>
    <n v="34"/>
    <n v="36"/>
  </r>
  <r>
    <n v="991"/>
    <x v="38"/>
    <x v="0"/>
    <x v="0"/>
    <x v="1"/>
    <x v="405"/>
    <x v="0"/>
    <x v="1"/>
    <x v="0"/>
    <x v="1"/>
    <x v="2"/>
    <n v="0.35"/>
    <x v="9"/>
    <n v="5"/>
    <n v="31"/>
    <n v="36"/>
  </r>
  <r>
    <n v="20"/>
    <x v="0"/>
    <x v="0"/>
    <x v="0"/>
    <x v="0"/>
    <x v="406"/>
    <x v="0"/>
    <x v="0"/>
    <x v="2"/>
    <x v="14"/>
    <x v="17"/>
    <n v="0.88"/>
    <x v="10"/>
    <n v="6"/>
    <n v="31"/>
    <n v="37"/>
  </r>
  <r>
    <n v="183"/>
    <x v="6"/>
    <x v="0"/>
    <x v="0"/>
    <x v="0"/>
    <x v="407"/>
    <x v="0"/>
    <x v="0"/>
    <x v="0"/>
    <x v="8"/>
    <x v="20"/>
    <n v="0.39"/>
    <x v="12"/>
    <n v="2"/>
    <n v="35"/>
    <n v="37"/>
  </r>
  <r>
    <n v="289"/>
    <x v="32"/>
    <x v="0"/>
    <x v="0"/>
    <x v="0"/>
    <x v="408"/>
    <x v="0"/>
    <x v="4"/>
    <x v="1"/>
    <x v="4"/>
    <x v="14"/>
    <n v="0.44"/>
    <x v="16"/>
    <n v="4"/>
    <n v="33"/>
    <n v="37"/>
  </r>
  <r>
    <n v="671"/>
    <x v="22"/>
    <x v="0"/>
    <x v="0"/>
    <x v="0"/>
    <x v="409"/>
    <x v="0"/>
    <x v="2"/>
    <x v="0"/>
    <x v="2"/>
    <x v="3"/>
    <n v="0.69"/>
    <x v="13"/>
    <n v="0"/>
    <n v="37"/>
    <n v="37"/>
  </r>
  <r>
    <n v="852"/>
    <x v="27"/>
    <x v="0"/>
    <x v="0"/>
    <x v="1"/>
    <x v="410"/>
    <x v="0"/>
    <x v="2"/>
    <x v="0"/>
    <x v="13"/>
    <x v="23"/>
    <n v="0.81"/>
    <x v="1"/>
    <n v="3"/>
    <n v="34"/>
    <n v="37"/>
  </r>
  <r>
    <n v="900"/>
    <x v="37"/>
    <x v="0"/>
    <x v="0"/>
    <x v="1"/>
    <x v="411"/>
    <x v="0"/>
    <x v="6"/>
    <x v="2"/>
    <x v="2"/>
    <x v="4"/>
    <n v="0.8"/>
    <x v="2"/>
    <n v="0"/>
    <n v="37"/>
    <n v="37"/>
  </r>
  <r>
    <n v="206"/>
    <x v="7"/>
    <x v="0"/>
    <x v="0"/>
    <x v="0"/>
    <x v="412"/>
    <x v="0"/>
    <x v="1"/>
    <x v="0"/>
    <x v="3"/>
    <x v="8"/>
    <n v="0.46"/>
    <x v="10"/>
    <n v="0"/>
    <n v="38"/>
    <n v="38"/>
  </r>
  <r>
    <n v="231"/>
    <x v="8"/>
    <x v="0"/>
    <x v="0"/>
    <x v="0"/>
    <x v="413"/>
    <x v="0"/>
    <x v="2"/>
    <x v="0"/>
    <x v="3"/>
    <x v="3"/>
    <n v="0.59"/>
    <x v="2"/>
    <n v="1"/>
    <n v="37"/>
    <n v="38"/>
  </r>
  <r>
    <n v="288"/>
    <x v="32"/>
    <x v="0"/>
    <x v="0"/>
    <x v="0"/>
    <x v="414"/>
    <x v="0"/>
    <x v="4"/>
    <x v="1"/>
    <x v="2"/>
    <x v="3"/>
    <n v="0.5"/>
    <x v="12"/>
    <n v="2"/>
    <n v="36"/>
    <n v="38"/>
  </r>
  <r>
    <n v="593"/>
    <x v="44"/>
    <x v="0"/>
    <x v="0"/>
    <x v="0"/>
    <x v="415"/>
    <x v="0"/>
    <x v="4"/>
    <x v="0"/>
    <x v="5"/>
    <x v="6"/>
    <n v="0.74"/>
    <x v="1"/>
    <n v="2"/>
    <n v="36"/>
    <n v="38"/>
  </r>
  <r>
    <n v="609"/>
    <x v="20"/>
    <x v="0"/>
    <x v="0"/>
    <x v="0"/>
    <x v="416"/>
    <x v="0"/>
    <x v="5"/>
    <x v="2"/>
    <x v="10"/>
    <x v="16"/>
    <n v="0.8"/>
    <x v="0"/>
    <n v="2"/>
    <n v="36"/>
    <n v="38"/>
  </r>
  <r>
    <n v="650"/>
    <x v="21"/>
    <x v="0"/>
    <x v="0"/>
    <x v="0"/>
    <x v="417"/>
    <x v="0"/>
    <x v="1"/>
    <x v="1"/>
    <x v="2"/>
    <x v="9"/>
    <n v="0.8"/>
    <x v="0"/>
    <n v="4"/>
    <n v="34"/>
    <n v="38"/>
  </r>
  <r>
    <n v="758"/>
    <x v="24"/>
    <x v="0"/>
    <x v="0"/>
    <x v="1"/>
    <x v="418"/>
    <x v="0"/>
    <x v="4"/>
    <x v="0"/>
    <x v="4"/>
    <x v="9"/>
    <n v="0.47"/>
    <x v="8"/>
    <n v="4"/>
    <n v="34"/>
    <n v="38"/>
  </r>
  <r>
    <n v="24"/>
    <x v="0"/>
    <x v="0"/>
    <x v="0"/>
    <x v="0"/>
    <x v="419"/>
    <x v="0"/>
    <x v="0"/>
    <x v="1"/>
    <x v="19"/>
    <x v="18"/>
    <n v="0.88"/>
    <x v="9"/>
    <n v="15"/>
    <n v="24"/>
    <n v="39"/>
  </r>
  <r>
    <n v="159"/>
    <x v="5"/>
    <x v="0"/>
    <x v="0"/>
    <x v="0"/>
    <x v="420"/>
    <x v="0"/>
    <x v="5"/>
    <x v="0"/>
    <x v="5"/>
    <x v="5"/>
    <n v="0.47"/>
    <x v="4"/>
    <n v="0"/>
    <n v="39"/>
    <n v="39"/>
  </r>
  <r>
    <n v="264"/>
    <x v="9"/>
    <x v="0"/>
    <x v="0"/>
    <x v="0"/>
    <x v="421"/>
    <x v="0"/>
    <x v="6"/>
    <x v="0"/>
    <x v="5"/>
    <x v="15"/>
    <n v="0.55000000000000004"/>
    <x v="5"/>
    <n v="0"/>
    <n v="39"/>
    <n v="39"/>
  </r>
  <r>
    <n v="349"/>
    <x v="12"/>
    <x v="0"/>
    <x v="0"/>
    <x v="0"/>
    <x v="422"/>
    <x v="0"/>
    <x v="1"/>
    <x v="0"/>
    <x v="9"/>
    <x v="23"/>
    <n v="0.56000000000000005"/>
    <x v="0"/>
    <n v="6"/>
    <n v="33"/>
    <n v="39"/>
  </r>
  <r>
    <n v="500"/>
    <x v="34"/>
    <x v="0"/>
    <x v="0"/>
    <x v="0"/>
    <x v="423"/>
    <x v="0"/>
    <x v="0"/>
    <x v="0"/>
    <x v="15"/>
    <x v="20"/>
    <n v="0.41"/>
    <x v="1"/>
    <n v="0"/>
    <n v="39"/>
    <n v="39"/>
  </r>
  <r>
    <n v="741"/>
    <x v="24"/>
    <x v="0"/>
    <x v="0"/>
    <x v="1"/>
    <x v="424"/>
    <x v="0"/>
    <x v="4"/>
    <x v="0"/>
    <x v="2"/>
    <x v="3"/>
    <n v="0.43"/>
    <x v="12"/>
    <n v="0"/>
    <n v="39"/>
    <n v="39"/>
  </r>
  <r>
    <n v="782"/>
    <x v="43"/>
    <x v="0"/>
    <x v="0"/>
    <x v="1"/>
    <x v="425"/>
    <x v="0"/>
    <x v="0"/>
    <x v="1"/>
    <x v="0"/>
    <x v="19"/>
    <n v="0.7"/>
    <x v="6"/>
    <n v="3"/>
    <n v="36"/>
    <n v="39"/>
  </r>
  <r>
    <n v="806"/>
    <x v="26"/>
    <x v="0"/>
    <x v="0"/>
    <x v="1"/>
    <x v="426"/>
    <x v="0"/>
    <x v="1"/>
    <x v="0"/>
    <x v="9"/>
    <x v="1"/>
    <n v="0.7"/>
    <x v="2"/>
    <n v="2"/>
    <n v="37"/>
    <n v="39"/>
  </r>
  <r>
    <n v="860"/>
    <x v="28"/>
    <x v="0"/>
    <x v="0"/>
    <x v="1"/>
    <x v="427"/>
    <x v="0"/>
    <x v="3"/>
    <x v="0"/>
    <x v="9"/>
    <x v="9"/>
    <n v="0.7"/>
    <x v="13"/>
    <n v="0"/>
    <n v="39"/>
    <n v="39"/>
  </r>
  <r>
    <n v="970"/>
    <x v="38"/>
    <x v="0"/>
    <x v="0"/>
    <x v="1"/>
    <x v="428"/>
    <x v="0"/>
    <x v="1"/>
    <x v="0"/>
    <x v="4"/>
    <x v="9"/>
    <n v="0.64"/>
    <x v="8"/>
    <n v="5"/>
    <n v="34"/>
    <n v="39"/>
  </r>
  <r>
    <n v="2"/>
    <x v="0"/>
    <x v="0"/>
    <x v="0"/>
    <x v="1"/>
    <x v="429"/>
    <x v="0"/>
    <x v="0"/>
    <x v="0"/>
    <x v="10"/>
    <x v="16"/>
    <n v="0.8"/>
    <x v="0"/>
    <n v="8"/>
    <n v="32"/>
    <n v="40"/>
  </r>
  <r>
    <n v="299"/>
    <x v="32"/>
    <x v="0"/>
    <x v="0"/>
    <x v="0"/>
    <x v="430"/>
    <x v="0"/>
    <x v="4"/>
    <x v="0"/>
    <x v="3"/>
    <x v="8"/>
    <n v="0.46"/>
    <x v="9"/>
    <n v="0"/>
    <n v="40"/>
    <n v="40"/>
  </r>
  <r>
    <n v="488"/>
    <x v="34"/>
    <x v="0"/>
    <x v="0"/>
    <x v="0"/>
    <x v="431"/>
    <x v="0"/>
    <x v="0"/>
    <x v="0"/>
    <x v="11"/>
    <x v="12"/>
    <n v="0.41"/>
    <x v="10"/>
    <n v="3"/>
    <n v="37"/>
    <n v="40"/>
  </r>
  <r>
    <n v="535"/>
    <x v="17"/>
    <x v="0"/>
    <x v="0"/>
    <x v="0"/>
    <x v="432"/>
    <x v="0"/>
    <x v="2"/>
    <x v="0"/>
    <x v="7"/>
    <x v="3"/>
    <n v="0.42"/>
    <x v="0"/>
    <n v="6"/>
    <n v="34"/>
    <n v="40"/>
  </r>
  <r>
    <n v="571"/>
    <x v="18"/>
    <x v="0"/>
    <x v="0"/>
    <x v="0"/>
    <x v="433"/>
    <x v="0"/>
    <x v="3"/>
    <x v="1"/>
    <x v="10"/>
    <x v="9"/>
    <n v="0.64"/>
    <x v="6"/>
    <n v="3"/>
    <n v="37"/>
    <n v="40"/>
  </r>
  <r>
    <n v="734"/>
    <x v="23"/>
    <x v="0"/>
    <x v="0"/>
    <x v="1"/>
    <x v="434"/>
    <x v="0"/>
    <x v="6"/>
    <x v="0"/>
    <x v="10"/>
    <x v="6"/>
    <n v="0.44"/>
    <x v="10"/>
    <n v="5"/>
    <n v="35"/>
    <n v="40"/>
  </r>
  <r>
    <n v="966"/>
    <x v="30"/>
    <x v="0"/>
    <x v="0"/>
    <x v="1"/>
    <x v="435"/>
    <x v="0"/>
    <x v="0"/>
    <x v="0"/>
    <x v="9"/>
    <x v="1"/>
    <n v="0.41"/>
    <x v="5"/>
    <n v="1"/>
    <n v="39"/>
    <n v="40"/>
  </r>
  <r>
    <n v="205"/>
    <x v="7"/>
    <x v="0"/>
    <x v="0"/>
    <x v="0"/>
    <x v="436"/>
    <x v="0"/>
    <x v="1"/>
    <x v="0"/>
    <x v="2"/>
    <x v="3"/>
    <n v="0.43"/>
    <x v="13"/>
    <n v="1"/>
    <n v="40"/>
    <n v="41"/>
  </r>
  <r>
    <n v="345"/>
    <x v="11"/>
    <x v="0"/>
    <x v="0"/>
    <x v="0"/>
    <x v="437"/>
    <x v="0"/>
    <x v="0"/>
    <x v="1"/>
    <x v="18"/>
    <x v="23"/>
    <n v="0.39"/>
    <x v="10"/>
    <n v="6"/>
    <n v="35"/>
    <n v="41"/>
  </r>
  <r>
    <n v="406"/>
    <x v="41"/>
    <x v="0"/>
    <x v="0"/>
    <x v="0"/>
    <x v="438"/>
    <x v="0"/>
    <x v="3"/>
    <x v="1"/>
    <x v="10"/>
    <x v="19"/>
    <n v="0.93"/>
    <x v="8"/>
    <n v="0"/>
    <n v="41"/>
    <n v="41"/>
  </r>
  <r>
    <n v="477"/>
    <x v="15"/>
    <x v="0"/>
    <x v="0"/>
    <x v="0"/>
    <x v="439"/>
    <x v="0"/>
    <x v="5"/>
    <x v="0"/>
    <x v="6"/>
    <x v="10"/>
    <n v="0.38"/>
    <x v="7"/>
    <n v="0"/>
    <n v="41"/>
    <n v="41"/>
  </r>
  <r>
    <n v="581"/>
    <x v="19"/>
    <x v="0"/>
    <x v="0"/>
    <x v="0"/>
    <x v="440"/>
    <x v="0"/>
    <x v="6"/>
    <x v="2"/>
    <x v="10"/>
    <x v="5"/>
    <n v="0.93"/>
    <x v="13"/>
    <n v="6"/>
    <n v="35"/>
    <n v="41"/>
  </r>
  <r>
    <n v="610"/>
    <x v="20"/>
    <x v="0"/>
    <x v="0"/>
    <x v="0"/>
    <x v="441"/>
    <x v="0"/>
    <x v="5"/>
    <x v="1"/>
    <x v="4"/>
    <x v="1"/>
    <n v="0.86"/>
    <x v="0"/>
    <n v="1"/>
    <n v="40"/>
    <n v="41"/>
  </r>
  <r>
    <n v="757"/>
    <x v="24"/>
    <x v="0"/>
    <x v="0"/>
    <x v="1"/>
    <x v="442"/>
    <x v="0"/>
    <x v="4"/>
    <x v="0"/>
    <x v="5"/>
    <x v="6"/>
    <n v="0.51"/>
    <x v="1"/>
    <n v="2"/>
    <n v="39"/>
    <n v="41"/>
  </r>
  <r>
    <n v="888"/>
    <x v="37"/>
    <x v="0"/>
    <x v="0"/>
    <x v="1"/>
    <x v="443"/>
    <x v="0"/>
    <x v="6"/>
    <x v="1"/>
    <x v="3"/>
    <x v="4"/>
    <n v="0.43"/>
    <x v="6"/>
    <n v="1"/>
    <n v="40"/>
    <n v="41"/>
  </r>
  <r>
    <n v="965"/>
    <x v="30"/>
    <x v="0"/>
    <x v="0"/>
    <x v="1"/>
    <x v="444"/>
    <x v="0"/>
    <x v="0"/>
    <x v="0"/>
    <x v="13"/>
    <x v="16"/>
    <n v="0.38"/>
    <x v="6"/>
    <n v="2"/>
    <n v="39"/>
    <n v="41"/>
  </r>
  <r>
    <n v="79"/>
    <x v="3"/>
    <x v="0"/>
    <x v="0"/>
    <x v="0"/>
    <x v="445"/>
    <x v="0"/>
    <x v="3"/>
    <x v="1"/>
    <x v="2"/>
    <x v="3"/>
    <n v="0.69"/>
    <x v="13"/>
    <n v="5"/>
    <n v="37"/>
    <n v="42"/>
  </r>
  <r>
    <n v="114"/>
    <x v="31"/>
    <x v="0"/>
    <x v="0"/>
    <x v="0"/>
    <x v="446"/>
    <x v="0"/>
    <x v="6"/>
    <x v="0"/>
    <x v="5"/>
    <x v="5"/>
    <n v="0.55000000000000004"/>
    <x v="4"/>
    <n v="1"/>
    <n v="41"/>
    <n v="42"/>
  </r>
  <r>
    <n v="292"/>
    <x v="32"/>
    <x v="0"/>
    <x v="0"/>
    <x v="0"/>
    <x v="447"/>
    <x v="0"/>
    <x v="4"/>
    <x v="0"/>
    <x v="10"/>
    <x v="5"/>
    <n v="0.41"/>
    <x v="3"/>
    <n v="3"/>
    <n v="39"/>
    <n v="42"/>
  </r>
  <r>
    <n v="113"/>
    <x v="31"/>
    <x v="0"/>
    <x v="0"/>
    <x v="0"/>
    <x v="448"/>
    <x v="0"/>
    <x v="6"/>
    <x v="0"/>
    <x v="4"/>
    <x v="5"/>
    <n v="0.51"/>
    <x v="2"/>
    <n v="3"/>
    <n v="40"/>
    <n v="43"/>
  </r>
  <r>
    <n v="585"/>
    <x v="19"/>
    <x v="0"/>
    <x v="0"/>
    <x v="0"/>
    <x v="449"/>
    <x v="0"/>
    <x v="6"/>
    <x v="2"/>
    <x v="10"/>
    <x v="15"/>
    <n v="0.93"/>
    <x v="15"/>
    <n v="1"/>
    <n v="42"/>
    <n v="43"/>
  </r>
  <r>
    <n v="638"/>
    <x v="35"/>
    <x v="0"/>
    <x v="0"/>
    <x v="0"/>
    <x v="450"/>
    <x v="0"/>
    <x v="0"/>
    <x v="0"/>
    <x v="5"/>
    <x v="6"/>
    <n v="0.74"/>
    <x v="1"/>
    <n v="1"/>
    <n v="42"/>
    <n v="43"/>
  </r>
  <r>
    <n v="779"/>
    <x v="25"/>
    <x v="0"/>
    <x v="0"/>
    <x v="1"/>
    <x v="451"/>
    <x v="0"/>
    <x v="5"/>
    <x v="1"/>
    <x v="0"/>
    <x v="19"/>
    <n v="0.7"/>
    <x v="6"/>
    <n v="2"/>
    <n v="41"/>
    <n v="43"/>
  </r>
  <r>
    <n v="883"/>
    <x v="37"/>
    <x v="0"/>
    <x v="0"/>
    <x v="1"/>
    <x v="452"/>
    <x v="0"/>
    <x v="6"/>
    <x v="0"/>
    <x v="15"/>
    <x v="4"/>
    <n v="0.45"/>
    <x v="0"/>
    <n v="0"/>
    <n v="43"/>
    <n v="43"/>
  </r>
  <r>
    <n v="944"/>
    <x v="42"/>
    <x v="0"/>
    <x v="0"/>
    <x v="1"/>
    <x v="453"/>
    <x v="0"/>
    <x v="5"/>
    <x v="0"/>
    <x v="4"/>
    <x v="9"/>
    <n v="0.64"/>
    <x v="1"/>
    <n v="2"/>
    <n v="41"/>
    <n v="43"/>
  </r>
  <r>
    <n v="955"/>
    <x v="30"/>
    <x v="0"/>
    <x v="0"/>
    <x v="1"/>
    <x v="454"/>
    <x v="0"/>
    <x v="0"/>
    <x v="0"/>
    <x v="2"/>
    <x v="15"/>
    <n v="0.64"/>
    <x v="4"/>
    <n v="5"/>
    <n v="38"/>
    <n v="43"/>
  </r>
  <r>
    <n v="56"/>
    <x v="2"/>
    <x v="0"/>
    <x v="0"/>
    <x v="0"/>
    <x v="455"/>
    <x v="0"/>
    <x v="2"/>
    <x v="0"/>
    <x v="5"/>
    <x v="14"/>
    <n v="0.43"/>
    <x v="10"/>
    <n v="11"/>
    <n v="33"/>
    <n v="44"/>
  </r>
  <r>
    <n v="268"/>
    <x v="9"/>
    <x v="0"/>
    <x v="0"/>
    <x v="0"/>
    <x v="456"/>
    <x v="0"/>
    <x v="6"/>
    <x v="0"/>
    <x v="4"/>
    <x v="15"/>
    <n v="0.47"/>
    <x v="13"/>
    <n v="0"/>
    <n v="44"/>
    <n v="44"/>
  </r>
  <r>
    <n v="311"/>
    <x v="10"/>
    <x v="0"/>
    <x v="0"/>
    <x v="0"/>
    <x v="457"/>
    <x v="0"/>
    <x v="5"/>
    <x v="0"/>
    <x v="5"/>
    <x v="15"/>
    <n v="0.55000000000000004"/>
    <x v="2"/>
    <n v="4"/>
    <n v="40"/>
    <n v="44"/>
  </r>
  <r>
    <n v="348"/>
    <x v="11"/>
    <x v="0"/>
    <x v="0"/>
    <x v="0"/>
    <x v="458"/>
    <x v="0"/>
    <x v="0"/>
    <x v="0"/>
    <x v="22"/>
    <x v="0"/>
    <n v="0.45"/>
    <x v="7"/>
    <n v="5"/>
    <n v="39"/>
    <n v="44"/>
  </r>
  <r>
    <n v="680"/>
    <x v="22"/>
    <x v="0"/>
    <x v="0"/>
    <x v="0"/>
    <x v="459"/>
    <x v="0"/>
    <x v="2"/>
    <x v="1"/>
    <x v="2"/>
    <x v="15"/>
    <n v="0.59"/>
    <x v="4"/>
    <n v="3"/>
    <n v="41"/>
    <n v="44"/>
  </r>
  <r>
    <n v="807"/>
    <x v="26"/>
    <x v="0"/>
    <x v="0"/>
    <x v="1"/>
    <x v="460"/>
    <x v="0"/>
    <x v="1"/>
    <x v="0"/>
    <x v="9"/>
    <x v="9"/>
    <n v="0.65"/>
    <x v="11"/>
    <n v="4"/>
    <n v="40"/>
    <n v="44"/>
  </r>
  <r>
    <n v="932"/>
    <x v="42"/>
    <x v="0"/>
    <x v="0"/>
    <x v="1"/>
    <x v="461"/>
    <x v="0"/>
    <x v="5"/>
    <x v="0"/>
    <x v="3"/>
    <x v="3"/>
    <n v="0.69"/>
    <x v="2"/>
    <n v="5"/>
    <n v="39"/>
    <n v="44"/>
  </r>
  <r>
    <n v="125"/>
    <x v="4"/>
    <x v="0"/>
    <x v="0"/>
    <x v="0"/>
    <x v="462"/>
    <x v="0"/>
    <x v="4"/>
    <x v="0"/>
    <x v="4"/>
    <x v="1"/>
    <n v="0.47"/>
    <x v="0"/>
    <n v="3"/>
    <n v="42"/>
    <n v="45"/>
  </r>
  <r>
    <n v="225"/>
    <x v="8"/>
    <x v="0"/>
    <x v="0"/>
    <x v="0"/>
    <x v="463"/>
    <x v="0"/>
    <x v="2"/>
    <x v="1"/>
    <x v="4"/>
    <x v="5"/>
    <n v="0.4"/>
    <x v="5"/>
    <n v="2"/>
    <n v="43"/>
    <n v="45"/>
  </r>
  <r>
    <n v="499"/>
    <x v="34"/>
    <x v="0"/>
    <x v="0"/>
    <x v="0"/>
    <x v="464"/>
    <x v="0"/>
    <x v="0"/>
    <x v="0"/>
    <x v="15"/>
    <x v="10"/>
    <n v="0.45"/>
    <x v="6"/>
    <n v="1"/>
    <n v="44"/>
    <n v="45"/>
  </r>
  <r>
    <n v="539"/>
    <x v="17"/>
    <x v="0"/>
    <x v="0"/>
    <x v="0"/>
    <x v="465"/>
    <x v="0"/>
    <x v="2"/>
    <x v="1"/>
    <x v="3"/>
    <x v="3"/>
    <n v="0.46"/>
    <x v="5"/>
    <n v="2"/>
    <n v="43"/>
    <n v="45"/>
  </r>
  <r>
    <n v="569"/>
    <x v="18"/>
    <x v="0"/>
    <x v="0"/>
    <x v="0"/>
    <x v="466"/>
    <x v="0"/>
    <x v="3"/>
    <x v="0"/>
    <x v="0"/>
    <x v="9"/>
    <n v="0.65"/>
    <x v="2"/>
    <n v="5"/>
    <n v="40"/>
    <n v="45"/>
  </r>
  <r>
    <n v="804"/>
    <x v="43"/>
    <x v="0"/>
    <x v="0"/>
    <x v="1"/>
    <x v="467"/>
    <x v="0"/>
    <x v="0"/>
    <x v="0"/>
    <x v="9"/>
    <x v="16"/>
    <n v="0.93"/>
    <x v="4"/>
    <n v="2"/>
    <n v="43"/>
    <n v="45"/>
  </r>
  <r>
    <n v="815"/>
    <x v="26"/>
    <x v="0"/>
    <x v="0"/>
    <x v="1"/>
    <x v="468"/>
    <x v="0"/>
    <x v="1"/>
    <x v="0"/>
    <x v="13"/>
    <x v="0"/>
    <n v="0.56000000000000005"/>
    <x v="8"/>
    <n v="7"/>
    <n v="38"/>
    <n v="45"/>
  </r>
  <r>
    <n v="911"/>
    <x v="29"/>
    <x v="0"/>
    <x v="0"/>
    <x v="1"/>
    <x v="469"/>
    <x v="0"/>
    <x v="4"/>
    <x v="0"/>
    <x v="3"/>
    <x v="8"/>
    <n v="0.39"/>
    <x v="12"/>
    <n v="1"/>
    <n v="44"/>
    <n v="45"/>
  </r>
  <r>
    <n v="968"/>
    <x v="30"/>
    <x v="0"/>
    <x v="0"/>
    <x v="1"/>
    <x v="470"/>
    <x v="0"/>
    <x v="0"/>
    <x v="0"/>
    <x v="0"/>
    <x v="1"/>
    <n v="0.44"/>
    <x v="1"/>
    <n v="6"/>
    <n v="39"/>
    <n v="45"/>
  </r>
  <r>
    <n v="103"/>
    <x v="31"/>
    <x v="0"/>
    <x v="0"/>
    <x v="0"/>
    <x v="471"/>
    <x v="0"/>
    <x v="6"/>
    <x v="0"/>
    <x v="9"/>
    <x v="9"/>
    <n v="0.33"/>
    <x v="13"/>
    <n v="12"/>
    <n v="34"/>
    <n v="46"/>
  </r>
  <r>
    <n v="536"/>
    <x v="17"/>
    <x v="0"/>
    <x v="0"/>
    <x v="0"/>
    <x v="472"/>
    <x v="0"/>
    <x v="2"/>
    <x v="0"/>
    <x v="7"/>
    <x v="8"/>
    <n v="0.46"/>
    <x v="4"/>
    <n v="3"/>
    <n v="43"/>
    <n v="46"/>
  </r>
  <r>
    <n v="780"/>
    <x v="25"/>
    <x v="0"/>
    <x v="0"/>
    <x v="1"/>
    <x v="473"/>
    <x v="0"/>
    <x v="5"/>
    <x v="1"/>
    <x v="0"/>
    <x v="19"/>
    <n v="0.65"/>
    <x v="6"/>
    <n v="1"/>
    <n v="45"/>
    <n v="46"/>
  </r>
  <r>
    <n v="899"/>
    <x v="37"/>
    <x v="0"/>
    <x v="0"/>
    <x v="1"/>
    <x v="474"/>
    <x v="0"/>
    <x v="6"/>
    <x v="2"/>
    <x v="2"/>
    <x v="14"/>
    <n v="0.8"/>
    <x v="6"/>
    <n v="4"/>
    <n v="42"/>
    <n v="46"/>
  </r>
  <r>
    <n v="224"/>
    <x v="8"/>
    <x v="0"/>
    <x v="0"/>
    <x v="0"/>
    <x v="475"/>
    <x v="0"/>
    <x v="2"/>
    <x v="1"/>
    <x v="4"/>
    <x v="5"/>
    <n v="0.4"/>
    <x v="5"/>
    <n v="0"/>
    <n v="47"/>
    <n v="47"/>
  </r>
  <r>
    <n v="247"/>
    <x v="40"/>
    <x v="0"/>
    <x v="0"/>
    <x v="0"/>
    <x v="476"/>
    <x v="0"/>
    <x v="3"/>
    <x v="1"/>
    <x v="2"/>
    <x v="5"/>
    <n v="0.8"/>
    <x v="1"/>
    <n v="2"/>
    <n v="45"/>
    <n v="47"/>
  </r>
  <r>
    <n v="382"/>
    <x v="13"/>
    <x v="0"/>
    <x v="0"/>
    <x v="0"/>
    <x v="477"/>
    <x v="1"/>
    <x v="2"/>
    <x v="1"/>
    <x v="2"/>
    <x v="4"/>
    <n v="0.47"/>
    <x v="5"/>
    <n v="8"/>
    <n v="39"/>
    <n v="47"/>
  </r>
  <r>
    <n v="418"/>
    <x v="33"/>
    <x v="0"/>
    <x v="0"/>
    <x v="0"/>
    <x v="478"/>
    <x v="0"/>
    <x v="6"/>
    <x v="1"/>
    <x v="9"/>
    <x v="16"/>
    <n v="0.93"/>
    <x v="4"/>
    <n v="1"/>
    <n v="46"/>
    <n v="47"/>
  </r>
  <r>
    <n v="583"/>
    <x v="19"/>
    <x v="0"/>
    <x v="0"/>
    <x v="0"/>
    <x v="479"/>
    <x v="0"/>
    <x v="6"/>
    <x v="2"/>
    <x v="10"/>
    <x v="5"/>
    <n v="0.93"/>
    <x v="13"/>
    <n v="4"/>
    <n v="43"/>
    <n v="47"/>
  </r>
  <r>
    <n v="698"/>
    <x v="36"/>
    <x v="0"/>
    <x v="0"/>
    <x v="1"/>
    <x v="480"/>
    <x v="0"/>
    <x v="3"/>
    <x v="1"/>
    <x v="2"/>
    <x v="9"/>
    <n v="0.93"/>
    <x v="0"/>
    <n v="0"/>
    <n v="47"/>
    <n v="47"/>
  </r>
  <r>
    <n v="749"/>
    <x v="24"/>
    <x v="0"/>
    <x v="0"/>
    <x v="1"/>
    <x v="481"/>
    <x v="0"/>
    <x v="4"/>
    <x v="0"/>
    <x v="10"/>
    <x v="5"/>
    <n v="0.37"/>
    <x v="3"/>
    <n v="4"/>
    <n v="43"/>
    <n v="47"/>
  </r>
  <r>
    <n v="793"/>
    <x v="43"/>
    <x v="0"/>
    <x v="0"/>
    <x v="1"/>
    <x v="482"/>
    <x v="0"/>
    <x v="0"/>
    <x v="2"/>
    <x v="10"/>
    <x v="9"/>
    <n v="1"/>
    <x v="4"/>
    <n v="1"/>
    <n v="46"/>
    <n v="47"/>
  </r>
  <r>
    <n v="841"/>
    <x v="27"/>
    <x v="0"/>
    <x v="0"/>
    <x v="1"/>
    <x v="483"/>
    <x v="0"/>
    <x v="2"/>
    <x v="0"/>
    <x v="22"/>
    <x v="22"/>
    <n v="0.65"/>
    <x v="1"/>
    <n v="11"/>
    <n v="36"/>
    <n v="47"/>
  </r>
  <r>
    <n v="943"/>
    <x v="42"/>
    <x v="0"/>
    <x v="0"/>
    <x v="1"/>
    <x v="484"/>
    <x v="0"/>
    <x v="5"/>
    <x v="0"/>
    <x v="4"/>
    <x v="6"/>
    <n v="0.59"/>
    <x v="4"/>
    <n v="1"/>
    <n v="46"/>
    <n v="47"/>
  </r>
  <r>
    <n v="978"/>
    <x v="38"/>
    <x v="0"/>
    <x v="0"/>
    <x v="1"/>
    <x v="485"/>
    <x v="0"/>
    <x v="1"/>
    <x v="1"/>
    <x v="0"/>
    <x v="9"/>
    <n v="0.6"/>
    <x v="5"/>
    <n v="12"/>
    <n v="35"/>
    <n v="47"/>
  </r>
  <r>
    <n v="989"/>
    <x v="38"/>
    <x v="0"/>
    <x v="0"/>
    <x v="1"/>
    <x v="486"/>
    <x v="0"/>
    <x v="1"/>
    <x v="0"/>
    <x v="1"/>
    <x v="2"/>
    <n v="0.35"/>
    <x v="13"/>
    <n v="15"/>
    <n v="32"/>
    <n v="47"/>
  </r>
  <r>
    <n v="90"/>
    <x v="3"/>
    <x v="0"/>
    <x v="0"/>
    <x v="0"/>
    <x v="487"/>
    <x v="0"/>
    <x v="3"/>
    <x v="0"/>
    <x v="10"/>
    <x v="16"/>
    <n v="0.64"/>
    <x v="0"/>
    <n v="0"/>
    <n v="48"/>
    <n v="48"/>
  </r>
  <r>
    <n v="136"/>
    <x v="4"/>
    <x v="0"/>
    <x v="0"/>
    <x v="0"/>
    <x v="488"/>
    <x v="0"/>
    <x v="4"/>
    <x v="1"/>
    <x v="10"/>
    <x v="6"/>
    <n v="0.55000000000000004"/>
    <x v="5"/>
    <n v="0"/>
    <n v="48"/>
    <n v="48"/>
  </r>
  <r>
    <n v="204"/>
    <x v="7"/>
    <x v="0"/>
    <x v="0"/>
    <x v="0"/>
    <x v="489"/>
    <x v="0"/>
    <x v="1"/>
    <x v="0"/>
    <x v="2"/>
    <x v="3"/>
    <n v="0.4"/>
    <x v="13"/>
    <n v="4"/>
    <n v="44"/>
    <n v="48"/>
  </r>
  <r>
    <n v="582"/>
    <x v="19"/>
    <x v="0"/>
    <x v="0"/>
    <x v="0"/>
    <x v="490"/>
    <x v="0"/>
    <x v="6"/>
    <x v="2"/>
    <x v="10"/>
    <x v="5"/>
    <n v="0.93"/>
    <x v="13"/>
    <n v="7"/>
    <n v="41"/>
    <n v="48"/>
  </r>
  <r>
    <n v="676"/>
    <x v="22"/>
    <x v="0"/>
    <x v="0"/>
    <x v="0"/>
    <x v="491"/>
    <x v="0"/>
    <x v="2"/>
    <x v="1"/>
    <x v="2"/>
    <x v="4"/>
    <n v="0.59"/>
    <x v="2"/>
    <n v="2"/>
    <n v="46"/>
    <n v="48"/>
  </r>
  <r>
    <n v="864"/>
    <x v="28"/>
    <x v="0"/>
    <x v="0"/>
    <x v="1"/>
    <x v="492"/>
    <x v="0"/>
    <x v="3"/>
    <x v="0"/>
    <x v="10"/>
    <x v="15"/>
    <n v="0.47"/>
    <x v="17"/>
    <n v="4"/>
    <n v="44"/>
    <n v="48"/>
  </r>
  <r>
    <n v="914"/>
    <x v="29"/>
    <x v="0"/>
    <x v="0"/>
    <x v="1"/>
    <x v="493"/>
    <x v="0"/>
    <x v="4"/>
    <x v="0"/>
    <x v="4"/>
    <x v="15"/>
    <n v="0.27"/>
    <x v="7"/>
    <n v="6"/>
    <n v="42"/>
    <n v="48"/>
  </r>
  <r>
    <n v="196"/>
    <x v="7"/>
    <x v="0"/>
    <x v="0"/>
    <x v="0"/>
    <x v="494"/>
    <x v="0"/>
    <x v="1"/>
    <x v="0"/>
    <x v="3"/>
    <x v="20"/>
    <n v="0.43"/>
    <x v="3"/>
    <n v="0"/>
    <n v="49"/>
    <n v="49"/>
  </r>
  <r>
    <n v="197"/>
    <x v="7"/>
    <x v="0"/>
    <x v="0"/>
    <x v="0"/>
    <x v="495"/>
    <x v="0"/>
    <x v="1"/>
    <x v="0"/>
    <x v="2"/>
    <x v="8"/>
    <n v="0.4"/>
    <x v="14"/>
    <n v="2"/>
    <n v="47"/>
    <n v="49"/>
  </r>
  <r>
    <n v="267"/>
    <x v="9"/>
    <x v="0"/>
    <x v="0"/>
    <x v="0"/>
    <x v="496"/>
    <x v="0"/>
    <x v="6"/>
    <x v="0"/>
    <x v="10"/>
    <x v="5"/>
    <n v="0.44"/>
    <x v="12"/>
    <n v="0"/>
    <n v="49"/>
    <n v="49"/>
  </r>
  <r>
    <n v="269"/>
    <x v="9"/>
    <x v="0"/>
    <x v="0"/>
    <x v="0"/>
    <x v="497"/>
    <x v="0"/>
    <x v="6"/>
    <x v="0"/>
    <x v="4"/>
    <x v="14"/>
    <n v="0.47"/>
    <x v="11"/>
    <n v="1"/>
    <n v="48"/>
    <n v="49"/>
  </r>
  <r>
    <n v="520"/>
    <x v="16"/>
    <x v="0"/>
    <x v="0"/>
    <x v="0"/>
    <x v="498"/>
    <x v="0"/>
    <x v="1"/>
    <x v="0"/>
    <x v="8"/>
    <x v="8"/>
    <n v="0.3"/>
    <x v="10"/>
    <n v="5"/>
    <n v="44"/>
    <n v="49"/>
  </r>
  <r>
    <n v="605"/>
    <x v="20"/>
    <x v="0"/>
    <x v="0"/>
    <x v="0"/>
    <x v="499"/>
    <x v="0"/>
    <x v="5"/>
    <x v="2"/>
    <x v="5"/>
    <x v="6"/>
    <n v="0.86"/>
    <x v="8"/>
    <n v="0"/>
    <n v="49"/>
    <n v="49"/>
  </r>
  <r>
    <n v="719"/>
    <x v="23"/>
    <x v="0"/>
    <x v="0"/>
    <x v="1"/>
    <x v="500"/>
    <x v="0"/>
    <x v="6"/>
    <x v="2"/>
    <x v="10"/>
    <x v="6"/>
    <n v="0.93"/>
    <x v="5"/>
    <n v="1"/>
    <n v="48"/>
    <n v="49"/>
  </r>
  <r>
    <n v="152"/>
    <x v="5"/>
    <x v="0"/>
    <x v="0"/>
    <x v="0"/>
    <x v="501"/>
    <x v="0"/>
    <x v="5"/>
    <x v="1"/>
    <x v="4"/>
    <x v="5"/>
    <n v="0.4"/>
    <x v="10"/>
    <n v="7"/>
    <n v="43"/>
    <n v="50"/>
  </r>
  <r>
    <n v="521"/>
    <x v="16"/>
    <x v="0"/>
    <x v="0"/>
    <x v="0"/>
    <x v="502"/>
    <x v="0"/>
    <x v="1"/>
    <x v="0"/>
    <x v="8"/>
    <x v="8"/>
    <n v="0.3"/>
    <x v="7"/>
    <n v="5"/>
    <n v="45"/>
    <n v="50"/>
  </r>
  <r>
    <n v="845"/>
    <x v="27"/>
    <x v="0"/>
    <x v="0"/>
    <x v="1"/>
    <x v="503"/>
    <x v="0"/>
    <x v="2"/>
    <x v="1"/>
    <x v="20"/>
    <x v="26"/>
    <n v="0.54"/>
    <x v="1"/>
    <n v="4"/>
    <n v="46"/>
    <n v="50"/>
  </r>
  <r>
    <n v="865"/>
    <x v="28"/>
    <x v="0"/>
    <x v="0"/>
    <x v="1"/>
    <x v="504"/>
    <x v="0"/>
    <x v="3"/>
    <x v="0"/>
    <x v="10"/>
    <x v="15"/>
    <n v="0.47"/>
    <x v="15"/>
    <n v="1"/>
    <n v="49"/>
    <n v="50"/>
  </r>
  <r>
    <n v="867"/>
    <x v="28"/>
    <x v="0"/>
    <x v="0"/>
    <x v="1"/>
    <x v="505"/>
    <x v="0"/>
    <x v="3"/>
    <x v="1"/>
    <x v="0"/>
    <x v="5"/>
    <n v="0.32"/>
    <x v="16"/>
    <n v="2"/>
    <n v="48"/>
    <n v="50"/>
  </r>
  <r>
    <n v="915"/>
    <x v="29"/>
    <x v="0"/>
    <x v="0"/>
    <x v="1"/>
    <x v="506"/>
    <x v="0"/>
    <x v="4"/>
    <x v="0"/>
    <x v="4"/>
    <x v="5"/>
    <n v="0.25"/>
    <x v="10"/>
    <n v="0"/>
    <n v="50"/>
    <n v="50"/>
  </r>
  <r>
    <n v="57"/>
    <x v="2"/>
    <x v="0"/>
    <x v="0"/>
    <x v="0"/>
    <x v="507"/>
    <x v="0"/>
    <x v="2"/>
    <x v="0"/>
    <x v="4"/>
    <x v="15"/>
    <n v="0.4"/>
    <x v="13"/>
    <n v="10"/>
    <n v="41"/>
    <n v="51"/>
  </r>
  <r>
    <n v="158"/>
    <x v="5"/>
    <x v="0"/>
    <x v="0"/>
    <x v="0"/>
    <x v="508"/>
    <x v="0"/>
    <x v="5"/>
    <x v="0"/>
    <x v="5"/>
    <x v="6"/>
    <n v="0.47"/>
    <x v="8"/>
    <n v="1"/>
    <n v="50"/>
    <n v="51"/>
  </r>
  <r>
    <n v="251"/>
    <x v="40"/>
    <x v="0"/>
    <x v="0"/>
    <x v="0"/>
    <x v="509"/>
    <x v="0"/>
    <x v="3"/>
    <x v="2"/>
    <x v="2"/>
    <x v="9"/>
    <n v="0.93"/>
    <x v="0"/>
    <n v="0"/>
    <n v="51"/>
    <n v="51"/>
  </r>
  <r>
    <n v="699"/>
    <x v="36"/>
    <x v="0"/>
    <x v="0"/>
    <x v="1"/>
    <x v="510"/>
    <x v="0"/>
    <x v="3"/>
    <x v="1"/>
    <x v="5"/>
    <x v="19"/>
    <n v="0.86"/>
    <x v="0"/>
    <n v="2"/>
    <n v="49"/>
    <n v="51"/>
  </r>
  <r>
    <n v="748"/>
    <x v="24"/>
    <x v="0"/>
    <x v="0"/>
    <x v="1"/>
    <x v="511"/>
    <x v="0"/>
    <x v="4"/>
    <x v="0"/>
    <x v="4"/>
    <x v="14"/>
    <n v="0.4"/>
    <x v="11"/>
    <n v="4"/>
    <n v="47"/>
    <n v="51"/>
  </r>
  <r>
    <n v="768"/>
    <x v="25"/>
    <x v="0"/>
    <x v="0"/>
    <x v="1"/>
    <x v="512"/>
    <x v="0"/>
    <x v="5"/>
    <x v="1"/>
    <x v="4"/>
    <x v="6"/>
    <n v="0.51"/>
    <x v="4"/>
    <n v="5"/>
    <n v="46"/>
    <n v="51"/>
  </r>
  <r>
    <n v="869"/>
    <x v="28"/>
    <x v="0"/>
    <x v="0"/>
    <x v="1"/>
    <x v="513"/>
    <x v="0"/>
    <x v="3"/>
    <x v="0"/>
    <x v="10"/>
    <x v="5"/>
    <n v="0.35"/>
    <x v="3"/>
    <n v="6"/>
    <n v="45"/>
    <n v="51"/>
  </r>
  <r>
    <n v="922"/>
    <x v="29"/>
    <x v="0"/>
    <x v="0"/>
    <x v="1"/>
    <x v="514"/>
    <x v="0"/>
    <x v="4"/>
    <x v="0"/>
    <x v="8"/>
    <x v="5"/>
    <n v="0.39"/>
    <x v="0"/>
    <n v="4"/>
    <n v="47"/>
    <n v="51"/>
  </r>
  <r>
    <n v="967"/>
    <x v="30"/>
    <x v="0"/>
    <x v="0"/>
    <x v="1"/>
    <x v="515"/>
    <x v="0"/>
    <x v="0"/>
    <x v="0"/>
    <x v="9"/>
    <x v="23"/>
    <n v="0.41"/>
    <x v="0"/>
    <n v="9"/>
    <n v="42"/>
    <n v="51"/>
  </r>
  <r>
    <n v="990"/>
    <x v="38"/>
    <x v="0"/>
    <x v="0"/>
    <x v="1"/>
    <x v="516"/>
    <x v="0"/>
    <x v="1"/>
    <x v="0"/>
    <x v="1"/>
    <x v="2"/>
    <n v="0.35"/>
    <x v="12"/>
    <n v="6"/>
    <n v="45"/>
    <n v="51"/>
  </r>
  <r>
    <n v="66"/>
    <x v="2"/>
    <x v="0"/>
    <x v="0"/>
    <x v="0"/>
    <x v="517"/>
    <x v="0"/>
    <x v="2"/>
    <x v="0"/>
    <x v="4"/>
    <x v="18"/>
    <n v="0.47"/>
    <x v="8"/>
    <n v="3"/>
    <n v="49"/>
    <n v="52"/>
  </r>
  <r>
    <n v="67"/>
    <x v="2"/>
    <x v="0"/>
    <x v="0"/>
    <x v="0"/>
    <x v="518"/>
    <x v="0"/>
    <x v="2"/>
    <x v="0"/>
    <x v="5"/>
    <x v="5"/>
    <n v="0.64"/>
    <x v="4"/>
    <n v="3"/>
    <n v="49"/>
    <n v="52"/>
  </r>
  <r>
    <n v="137"/>
    <x v="4"/>
    <x v="0"/>
    <x v="0"/>
    <x v="0"/>
    <x v="519"/>
    <x v="0"/>
    <x v="4"/>
    <x v="1"/>
    <x v="10"/>
    <x v="6"/>
    <n v="0.51"/>
    <x v="7"/>
    <n v="1"/>
    <n v="51"/>
    <n v="52"/>
  </r>
  <r>
    <n v="222"/>
    <x v="8"/>
    <x v="0"/>
    <x v="0"/>
    <x v="0"/>
    <x v="520"/>
    <x v="0"/>
    <x v="2"/>
    <x v="1"/>
    <x v="4"/>
    <x v="15"/>
    <n v="0.4"/>
    <x v="7"/>
    <n v="5"/>
    <n v="47"/>
    <n v="52"/>
  </r>
  <r>
    <n v="245"/>
    <x v="40"/>
    <x v="0"/>
    <x v="0"/>
    <x v="0"/>
    <x v="521"/>
    <x v="0"/>
    <x v="3"/>
    <x v="1"/>
    <x v="4"/>
    <x v="9"/>
    <n v="0.59"/>
    <x v="1"/>
    <n v="6"/>
    <n v="46"/>
    <n v="52"/>
  </r>
  <r>
    <n v="290"/>
    <x v="32"/>
    <x v="0"/>
    <x v="0"/>
    <x v="0"/>
    <x v="522"/>
    <x v="0"/>
    <x v="4"/>
    <x v="0"/>
    <x v="4"/>
    <x v="14"/>
    <n v="0.44"/>
    <x v="11"/>
    <n v="3"/>
    <n v="49"/>
    <n v="52"/>
  </r>
  <r>
    <n v="322"/>
    <x v="10"/>
    <x v="0"/>
    <x v="0"/>
    <x v="0"/>
    <x v="523"/>
    <x v="0"/>
    <x v="5"/>
    <x v="0"/>
    <x v="2"/>
    <x v="9"/>
    <n v="0.69"/>
    <x v="0"/>
    <n v="4"/>
    <n v="48"/>
    <n v="52"/>
  </r>
  <r>
    <n v="419"/>
    <x v="33"/>
    <x v="0"/>
    <x v="0"/>
    <x v="0"/>
    <x v="524"/>
    <x v="0"/>
    <x v="6"/>
    <x v="1"/>
    <x v="13"/>
    <x v="23"/>
    <n v="0.87"/>
    <x v="1"/>
    <n v="5"/>
    <n v="47"/>
    <n v="52"/>
  </r>
  <r>
    <n v="695"/>
    <x v="36"/>
    <x v="0"/>
    <x v="0"/>
    <x v="1"/>
    <x v="525"/>
    <x v="0"/>
    <x v="3"/>
    <x v="2"/>
    <x v="2"/>
    <x v="9"/>
    <n v="0.93"/>
    <x v="0"/>
    <n v="0"/>
    <n v="52"/>
    <n v="52"/>
  </r>
  <r>
    <n v="701"/>
    <x v="36"/>
    <x v="0"/>
    <x v="0"/>
    <x v="1"/>
    <x v="526"/>
    <x v="0"/>
    <x v="3"/>
    <x v="1"/>
    <x v="4"/>
    <x v="1"/>
    <n v="0.86"/>
    <x v="0"/>
    <n v="3"/>
    <n v="49"/>
    <n v="52"/>
  </r>
  <r>
    <n v="703"/>
    <x v="36"/>
    <x v="0"/>
    <x v="0"/>
    <x v="1"/>
    <x v="527"/>
    <x v="0"/>
    <x v="3"/>
    <x v="1"/>
    <x v="0"/>
    <x v="0"/>
    <n v="0.75"/>
    <x v="0"/>
    <n v="7"/>
    <n v="45"/>
    <n v="52"/>
  </r>
  <r>
    <n v="723"/>
    <x v="23"/>
    <x v="0"/>
    <x v="0"/>
    <x v="1"/>
    <x v="528"/>
    <x v="0"/>
    <x v="6"/>
    <x v="1"/>
    <x v="0"/>
    <x v="9"/>
    <n v="0.93"/>
    <x v="2"/>
    <n v="5"/>
    <n v="47"/>
    <n v="52"/>
  </r>
  <r>
    <n v="745"/>
    <x v="24"/>
    <x v="0"/>
    <x v="0"/>
    <x v="1"/>
    <x v="529"/>
    <x v="0"/>
    <x v="4"/>
    <x v="0"/>
    <x v="5"/>
    <x v="4"/>
    <n v="0.43"/>
    <x v="13"/>
    <n v="2"/>
    <n v="50"/>
    <n v="52"/>
  </r>
  <r>
    <n v="794"/>
    <x v="43"/>
    <x v="0"/>
    <x v="0"/>
    <x v="1"/>
    <x v="530"/>
    <x v="0"/>
    <x v="0"/>
    <x v="2"/>
    <x v="10"/>
    <x v="9"/>
    <n v="1"/>
    <x v="6"/>
    <n v="10"/>
    <n v="42"/>
    <n v="52"/>
  </r>
  <r>
    <n v="34"/>
    <x v="1"/>
    <x v="0"/>
    <x v="0"/>
    <x v="0"/>
    <x v="531"/>
    <x v="0"/>
    <x v="1"/>
    <x v="1"/>
    <x v="16"/>
    <x v="27"/>
    <n v="0.81"/>
    <x v="5"/>
    <n v="7"/>
    <n v="46"/>
    <n v="53"/>
  </r>
  <r>
    <n v="42"/>
    <x v="1"/>
    <x v="0"/>
    <x v="0"/>
    <x v="0"/>
    <x v="532"/>
    <x v="0"/>
    <x v="1"/>
    <x v="1"/>
    <x v="16"/>
    <x v="21"/>
    <n v="0.46"/>
    <x v="13"/>
    <n v="10"/>
    <n v="43"/>
    <n v="53"/>
  </r>
  <r>
    <n v="312"/>
    <x v="10"/>
    <x v="0"/>
    <x v="0"/>
    <x v="0"/>
    <x v="533"/>
    <x v="0"/>
    <x v="5"/>
    <x v="0"/>
    <x v="5"/>
    <x v="14"/>
    <n v="0.51"/>
    <x v="7"/>
    <n v="6"/>
    <n v="47"/>
    <n v="53"/>
  </r>
  <r>
    <n v="476"/>
    <x v="15"/>
    <x v="0"/>
    <x v="0"/>
    <x v="0"/>
    <x v="534"/>
    <x v="0"/>
    <x v="5"/>
    <x v="0"/>
    <x v="7"/>
    <x v="10"/>
    <n v="0.33"/>
    <x v="11"/>
    <n v="1"/>
    <n v="52"/>
    <n v="53"/>
  </r>
  <r>
    <n v="489"/>
    <x v="34"/>
    <x v="0"/>
    <x v="0"/>
    <x v="0"/>
    <x v="535"/>
    <x v="0"/>
    <x v="0"/>
    <x v="1"/>
    <x v="11"/>
    <x v="13"/>
    <n v="0.41"/>
    <x v="6"/>
    <n v="3"/>
    <n v="50"/>
    <n v="53"/>
  </r>
  <r>
    <n v="570"/>
    <x v="18"/>
    <x v="0"/>
    <x v="0"/>
    <x v="0"/>
    <x v="536"/>
    <x v="0"/>
    <x v="3"/>
    <x v="0"/>
    <x v="10"/>
    <x v="9"/>
    <n v="0.64"/>
    <x v="6"/>
    <n v="4"/>
    <n v="49"/>
    <n v="53"/>
  </r>
  <r>
    <n v="945"/>
    <x v="42"/>
    <x v="0"/>
    <x v="0"/>
    <x v="1"/>
    <x v="537"/>
    <x v="0"/>
    <x v="5"/>
    <x v="0"/>
    <x v="5"/>
    <x v="19"/>
    <n v="0.69"/>
    <x v="0"/>
    <n v="5"/>
    <n v="48"/>
    <n v="53"/>
  </r>
  <r>
    <n v="89"/>
    <x v="3"/>
    <x v="0"/>
    <x v="0"/>
    <x v="0"/>
    <x v="538"/>
    <x v="0"/>
    <x v="3"/>
    <x v="0"/>
    <x v="0"/>
    <x v="1"/>
    <n v="0.48"/>
    <x v="8"/>
    <n v="1"/>
    <n v="53"/>
    <n v="54"/>
  </r>
  <r>
    <n v="223"/>
    <x v="8"/>
    <x v="0"/>
    <x v="0"/>
    <x v="0"/>
    <x v="539"/>
    <x v="0"/>
    <x v="2"/>
    <x v="1"/>
    <x v="4"/>
    <x v="15"/>
    <n v="0.4"/>
    <x v="7"/>
    <n v="4"/>
    <n v="50"/>
    <n v="54"/>
  </r>
  <r>
    <n v="242"/>
    <x v="40"/>
    <x v="0"/>
    <x v="0"/>
    <x v="0"/>
    <x v="540"/>
    <x v="0"/>
    <x v="3"/>
    <x v="1"/>
    <x v="4"/>
    <x v="6"/>
    <n v="0.51"/>
    <x v="6"/>
    <n v="3"/>
    <n v="51"/>
    <n v="54"/>
  </r>
  <r>
    <n v="261"/>
    <x v="9"/>
    <x v="0"/>
    <x v="0"/>
    <x v="0"/>
    <x v="541"/>
    <x v="0"/>
    <x v="6"/>
    <x v="0"/>
    <x v="3"/>
    <x v="4"/>
    <n v="0.69"/>
    <x v="4"/>
    <n v="0"/>
    <n v="54"/>
    <n v="54"/>
  </r>
  <r>
    <n v="497"/>
    <x v="34"/>
    <x v="0"/>
    <x v="0"/>
    <x v="0"/>
    <x v="542"/>
    <x v="0"/>
    <x v="0"/>
    <x v="0"/>
    <x v="6"/>
    <x v="7"/>
    <n v="0.35"/>
    <x v="2"/>
    <n v="0"/>
    <n v="54"/>
    <n v="54"/>
  </r>
  <r>
    <n v="678"/>
    <x v="22"/>
    <x v="0"/>
    <x v="0"/>
    <x v="0"/>
    <x v="543"/>
    <x v="0"/>
    <x v="2"/>
    <x v="1"/>
    <x v="2"/>
    <x v="9"/>
    <n v="0.59"/>
    <x v="0"/>
    <n v="2"/>
    <n v="52"/>
    <n v="54"/>
  </r>
  <r>
    <n v="702"/>
    <x v="36"/>
    <x v="0"/>
    <x v="0"/>
    <x v="1"/>
    <x v="544"/>
    <x v="0"/>
    <x v="3"/>
    <x v="1"/>
    <x v="10"/>
    <x v="1"/>
    <n v="0.8"/>
    <x v="1"/>
    <n v="5"/>
    <n v="49"/>
    <n v="54"/>
  </r>
  <r>
    <n v="756"/>
    <x v="24"/>
    <x v="0"/>
    <x v="0"/>
    <x v="1"/>
    <x v="545"/>
    <x v="0"/>
    <x v="4"/>
    <x v="0"/>
    <x v="5"/>
    <x v="6"/>
    <n v="0.55000000000000004"/>
    <x v="8"/>
    <n v="1"/>
    <n v="53"/>
    <n v="54"/>
  </r>
  <r>
    <n v="875"/>
    <x v="28"/>
    <x v="0"/>
    <x v="0"/>
    <x v="1"/>
    <x v="546"/>
    <x v="0"/>
    <x v="3"/>
    <x v="0"/>
    <x v="3"/>
    <x v="20"/>
    <n v="0.33"/>
    <x v="15"/>
    <n v="8"/>
    <n v="46"/>
    <n v="54"/>
  </r>
  <r>
    <n v="180"/>
    <x v="6"/>
    <x v="0"/>
    <x v="0"/>
    <x v="0"/>
    <x v="547"/>
    <x v="0"/>
    <x v="0"/>
    <x v="0"/>
    <x v="3"/>
    <x v="8"/>
    <n v="0.39"/>
    <x v="9"/>
    <n v="3"/>
    <n v="52"/>
    <n v="55"/>
  </r>
  <r>
    <n v="266"/>
    <x v="9"/>
    <x v="0"/>
    <x v="0"/>
    <x v="0"/>
    <x v="548"/>
    <x v="0"/>
    <x v="6"/>
    <x v="0"/>
    <x v="4"/>
    <x v="4"/>
    <n v="0.47"/>
    <x v="18"/>
    <n v="3"/>
    <n v="52"/>
    <n v="55"/>
  </r>
  <r>
    <n v="519"/>
    <x v="16"/>
    <x v="0"/>
    <x v="0"/>
    <x v="0"/>
    <x v="549"/>
    <x v="0"/>
    <x v="1"/>
    <x v="0"/>
    <x v="3"/>
    <x v="20"/>
    <n v="0.26"/>
    <x v="3"/>
    <n v="5"/>
    <n v="50"/>
    <n v="55"/>
  </r>
  <r>
    <n v="558"/>
    <x v="18"/>
    <x v="0"/>
    <x v="0"/>
    <x v="0"/>
    <x v="550"/>
    <x v="0"/>
    <x v="3"/>
    <x v="1"/>
    <x v="10"/>
    <x v="19"/>
    <n v="0.6"/>
    <x v="8"/>
    <n v="6"/>
    <n v="49"/>
    <n v="55"/>
  </r>
  <r>
    <n v="628"/>
    <x v="35"/>
    <x v="0"/>
    <x v="0"/>
    <x v="0"/>
    <x v="551"/>
    <x v="0"/>
    <x v="0"/>
    <x v="1"/>
    <x v="5"/>
    <x v="6"/>
    <n v="0.64"/>
    <x v="8"/>
    <n v="4"/>
    <n v="51"/>
    <n v="55"/>
  </r>
  <r>
    <n v="660"/>
    <x v="21"/>
    <x v="0"/>
    <x v="0"/>
    <x v="0"/>
    <x v="552"/>
    <x v="0"/>
    <x v="1"/>
    <x v="0"/>
    <x v="9"/>
    <x v="1"/>
    <n v="0.65"/>
    <x v="2"/>
    <n v="9"/>
    <n v="46"/>
    <n v="55"/>
  </r>
  <r>
    <n v="700"/>
    <x v="36"/>
    <x v="0"/>
    <x v="0"/>
    <x v="1"/>
    <x v="553"/>
    <x v="0"/>
    <x v="3"/>
    <x v="1"/>
    <x v="4"/>
    <x v="1"/>
    <n v="0.86"/>
    <x v="0"/>
    <n v="2"/>
    <n v="53"/>
    <n v="55"/>
  </r>
  <r>
    <n v="796"/>
    <x v="43"/>
    <x v="0"/>
    <x v="0"/>
    <x v="1"/>
    <x v="554"/>
    <x v="0"/>
    <x v="0"/>
    <x v="2"/>
    <x v="10"/>
    <x v="16"/>
    <n v="1"/>
    <x v="0"/>
    <n v="5"/>
    <n v="50"/>
    <n v="55"/>
  </r>
  <r>
    <n v="840"/>
    <x v="27"/>
    <x v="0"/>
    <x v="0"/>
    <x v="1"/>
    <x v="555"/>
    <x v="0"/>
    <x v="2"/>
    <x v="0"/>
    <x v="0"/>
    <x v="1"/>
    <n v="0.75"/>
    <x v="8"/>
    <n v="6"/>
    <n v="49"/>
    <n v="55"/>
  </r>
  <r>
    <n v="12"/>
    <x v="0"/>
    <x v="0"/>
    <x v="0"/>
    <x v="0"/>
    <x v="556"/>
    <x v="0"/>
    <x v="0"/>
    <x v="0"/>
    <x v="16"/>
    <x v="21"/>
    <n v="0.81"/>
    <x v="7"/>
    <n v="26"/>
    <n v="30"/>
    <n v="56"/>
  </r>
  <r>
    <n v="274"/>
    <x v="9"/>
    <x v="0"/>
    <x v="0"/>
    <x v="0"/>
    <x v="557"/>
    <x v="0"/>
    <x v="6"/>
    <x v="0"/>
    <x v="2"/>
    <x v="3"/>
    <n v="0.5"/>
    <x v="13"/>
    <n v="2"/>
    <n v="54"/>
    <n v="56"/>
  </r>
  <r>
    <n v="454"/>
    <x v="14"/>
    <x v="0"/>
    <x v="0"/>
    <x v="0"/>
    <x v="558"/>
    <x v="0"/>
    <x v="4"/>
    <x v="1"/>
    <x v="0"/>
    <x v="6"/>
    <n v="0.65"/>
    <x v="7"/>
    <n v="0"/>
    <n v="56"/>
    <n v="56"/>
  </r>
  <r>
    <n v="686"/>
    <x v="22"/>
    <x v="0"/>
    <x v="0"/>
    <x v="0"/>
    <x v="559"/>
    <x v="0"/>
    <x v="2"/>
    <x v="2"/>
    <x v="2"/>
    <x v="5"/>
    <n v="0.59"/>
    <x v="1"/>
    <n v="3"/>
    <n v="53"/>
    <n v="56"/>
  </r>
  <r>
    <n v="803"/>
    <x v="43"/>
    <x v="0"/>
    <x v="0"/>
    <x v="1"/>
    <x v="560"/>
    <x v="0"/>
    <x v="0"/>
    <x v="0"/>
    <x v="9"/>
    <x v="1"/>
    <n v="1"/>
    <x v="2"/>
    <n v="3"/>
    <n v="53"/>
    <n v="56"/>
  </r>
  <r>
    <n v="874"/>
    <x v="28"/>
    <x v="0"/>
    <x v="0"/>
    <x v="1"/>
    <x v="561"/>
    <x v="0"/>
    <x v="3"/>
    <x v="0"/>
    <x v="2"/>
    <x v="3"/>
    <n v="0.4"/>
    <x v="13"/>
    <n v="3"/>
    <n v="53"/>
    <n v="56"/>
  </r>
  <r>
    <n v="80"/>
    <x v="3"/>
    <x v="0"/>
    <x v="0"/>
    <x v="0"/>
    <x v="562"/>
    <x v="0"/>
    <x v="3"/>
    <x v="0"/>
    <x v="10"/>
    <x v="6"/>
    <n v="0.51"/>
    <x v="9"/>
    <n v="7"/>
    <n v="50"/>
    <n v="57"/>
  </r>
  <r>
    <n v="102"/>
    <x v="31"/>
    <x v="0"/>
    <x v="0"/>
    <x v="0"/>
    <x v="563"/>
    <x v="0"/>
    <x v="6"/>
    <x v="0"/>
    <x v="10"/>
    <x v="5"/>
    <n v="0.37"/>
    <x v="13"/>
    <n v="4"/>
    <n v="53"/>
    <n v="57"/>
  </r>
  <r>
    <n v="244"/>
    <x v="40"/>
    <x v="0"/>
    <x v="0"/>
    <x v="0"/>
    <x v="564"/>
    <x v="0"/>
    <x v="3"/>
    <x v="1"/>
    <x v="4"/>
    <x v="9"/>
    <n v="0.51"/>
    <x v="8"/>
    <n v="2"/>
    <n v="55"/>
    <n v="57"/>
  </r>
  <r>
    <n v="275"/>
    <x v="9"/>
    <x v="0"/>
    <x v="0"/>
    <x v="0"/>
    <x v="565"/>
    <x v="0"/>
    <x v="6"/>
    <x v="0"/>
    <x v="2"/>
    <x v="3"/>
    <n v="0.55000000000000004"/>
    <x v="13"/>
    <n v="0"/>
    <n v="57"/>
    <n v="57"/>
  </r>
  <r>
    <n v="346"/>
    <x v="11"/>
    <x v="0"/>
    <x v="0"/>
    <x v="0"/>
    <x v="566"/>
    <x v="0"/>
    <x v="0"/>
    <x v="1"/>
    <x v="18"/>
    <x v="23"/>
    <n v="0.39"/>
    <x v="5"/>
    <n v="6"/>
    <n v="51"/>
    <n v="57"/>
  </r>
  <r>
    <n v="369"/>
    <x v="12"/>
    <x v="0"/>
    <x v="0"/>
    <x v="0"/>
    <x v="567"/>
    <x v="0"/>
    <x v="1"/>
    <x v="0"/>
    <x v="5"/>
    <x v="5"/>
    <n v="0.47"/>
    <x v="6"/>
    <n v="7"/>
    <n v="50"/>
    <n v="57"/>
  </r>
  <r>
    <n v="383"/>
    <x v="13"/>
    <x v="0"/>
    <x v="0"/>
    <x v="0"/>
    <x v="568"/>
    <x v="1"/>
    <x v="2"/>
    <x v="1"/>
    <x v="2"/>
    <x v="4"/>
    <n v="0.5"/>
    <x v="10"/>
    <n v="7"/>
    <n v="50"/>
    <n v="57"/>
  </r>
  <r>
    <n v="442"/>
    <x v="14"/>
    <x v="0"/>
    <x v="0"/>
    <x v="0"/>
    <x v="569"/>
    <x v="0"/>
    <x v="4"/>
    <x v="0"/>
    <x v="9"/>
    <x v="9"/>
    <n v="0.48"/>
    <x v="9"/>
    <n v="1"/>
    <n v="56"/>
    <n v="57"/>
  </r>
  <r>
    <n v="453"/>
    <x v="14"/>
    <x v="0"/>
    <x v="0"/>
    <x v="0"/>
    <x v="570"/>
    <x v="0"/>
    <x v="4"/>
    <x v="1"/>
    <x v="0"/>
    <x v="9"/>
    <n v="0.6"/>
    <x v="10"/>
    <n v="3"/>
    <n v="54"/>
    <n v="57"/>
  </r>
  <r>
    <n v="540"/>
    <x v="17"/>
    <x v="0"/>
    <x v="0"/>
    <x v="0"/>
    <x v="571"/>
    <x v="0"/>
    <x v="2"/>
    <x v="0"/>
    <x v="2"/>
    <x v="14"/>
    <n v="0.4"/>
    <x v="6"/>
    <n v="7"/>
    <n v="50"/>
    <n v="57"/>
  </r>
  <r>
    <n v="512"/>
    <x v="16"/>
    <x v="0"/>
    <x v="0"/>
    <x v="0"/>
    <x v="572"/>
    <x v="0"/>
    <x v="1"/>
    <x v="0"/>
    <x v="3"/>
    <x v="20"/>
    <n v="0.46"/>
    <x v="3"/>
    <n v="7"/>
    <n v="51"/>
    <n v="58"/>
  </r>
  <r>
    <n v="579"/>
    <x v="19"/>
    <x v="0"/>
    <x v="0"/>
    <x v="0"/>
    <x v="573"/>
    <x v="0"/>
    <x v="6"/>
    <x v="2"/>
    <x v="10"/>
    <x v="6"/>
    <n v="0.87"/>
    <x v="9"/>
    <n v="3"/>
    <n v="55"/>
    <n v="58"/>
  </r>
  <r>
    <n v="616"/>
    <x v="20"/>
    <x v="0"/>
    <x v="0"/>
    <x v="0"/>
    <x v="574"/>
    <x v="0"/>
    <x v="5"/>
    <x v="1"/>
    <x v="10"/>
    <x v="9"/>
    <n v="0.75"/>
    <x v="4"/>
    <n v="1"/>
    <n v="57"/>
    <n v="58"/>
  </r>
  <r>
    <n v="637"/>
    <x v="35"/>
    <x v="0"/>
    <x v="0"/>
    <x v="0"/>
    <x v="575"/>
    <x v="0"/>
    <x v="0"/>
    <x v="1"/>
    <x v="10"/>
    <x v="6"/>
    <n v="0.69"/>
    <x v="10"/>
    <n v="6"/>
    <n v="52"/>
    <n v="58"/>
  </r>
  <r>
    <n v="891"/>
    <x v="37"/>
    <x v="0"/>
    <x v="0"/>
    <x v="1"/>
    <x v="576"/>
    <x v="0"/>
    <x v="6"/>
    <x v="0"/>
    <x v="4"/>
    <x v="15"/>
    <n v="0.34"/>
    <x v="9"/>
    <n v="2"/>
    <n v="56"/>
    <n v="58"/>
  </r>
  <r>
    <n v="38"/>
    <x v="1"/>
    <x v="0"/>
    <x v="0"/>
    <x v="0"/>
    <x v="577"/>
    <x v="0"/>
    <x v="1"/>
    <x v="2"/>
    <x v="16"/>
    <x v="18"/>
    <n v="0.76"/>
    <x v="2"/>
    <n v="4"/>
    <n v="55"/>
    <n v="59"/>
  </r>
  <r>
    <n v="126"/>
    <x v="4"/>
    <x v="0"/>
    <x v="0"/>
    <x v="0"/>
    <x v="578"/>
    <x v="0"/>
    <x v="4"/>
    <x v="0"/>
    <x v="10"/>
    <x v="1"/>
    <n v="0.44"/>
    <x v="1"/>
    <n v="2"/>
    <n v="57"/>
    <n v="59"/>
  </r>
  <r>
    <n v="150"/>
    <x v="5"/>
    <x v="0"/>
    <x v="0"/>
    <x v="0"/>
    <x v="579"/>
    <x v="0"/>
    <x v="5"/>
    <x v="1"/>
    <x v="4"/>
    <x v="5"/>
    <n v="0.37"/>
    <x v="10"/>
    <n v="9"/>
    <n v="50"/>
    <n v="59"/>
  </r>
  <r>
    <n v="335"/>
    <x v="11"/>
    <x v="0"/>
    <x v="0"/>
    <x v="0"/>
    <x v="580"/>
    <x v="0"/>
    <x v="0"/>
    <x v="0"/>
    <x v="5"/>
    <x v="5"/>
    <n v="0.59"/>
    <x v="6"/>
    <n v="2"/>
    <n v="57"/>
    <n v="59"/>
  </r>
  <r>
    <n v="429"/>
    <x v="33"/>
    <x v="0"/>
    <x v="0"/>
    <x v="0"/>
    <x v="581"/>
    <x v="0"/>
    <x v="6"/>
    <x v="0"/>
    <x v="18"/>
    <x v="0"/>
    <n v="0.49"/>
    <x v="11"/>
    <n v="4"/>
    <n v="55"/>
    <n v="59"/>
  </r>
  <r>
    <n v="430"/>
    <x v="33"/>
    <x v="0"/>
    <x v="0"/>
    <x v="0"/>
    <x v="582"/>
    <x v="0"/>
    <x v="6"/>
    <x v="0"/>
    <x v="22"/>
    <x v="23"/>
    <n v="0.52"/>
    <x v="6"/>
    <n v="6"/>
    <n v="53"/>
    <n v="59"/>
  </r>
  <r>
    <n v="467"/>
    <x v="15"/>
    <x v="0"/>
    <x v="0"/>
    <x v="0"/>
    <x v="583"/>
    <x v="0"/>
    <x v="5"/>
    <x v="0"/>
    <x v="10"/>
    <x v="15"/>
    <n v="0.41"/>
    <x v="15"/>
    <n v="6"/>
    <n v="53"/>
    <n v="59"/>
  </r>
  <r>
    <n v="498"/>
    <x v="34"/>
    <x v="0"/>
    <x v="0"/>
    <x v="0"/>
    <x v="584"/>
    <x v="0"/>
    <x v="0"/>
    <x v="0"/>
    <x v="6"/>
    <x v="20"/>
    <n v="0.35"/>
    <x v="4"/>
    <n v="6"/>
    <n v="53"/>
    <n v="59"/>
  </r>
  <r>
    <n v="546"/>
    <x v="17"/>
    <x v="0"/>
    <x v="0"/>
    <x v="0"/>
    <x v="585"/>
    <x v="0"/>
    <x v="2"/>
    <x v="0"/>
    <x v="3"/>
    <x v="4"/>
    <n v="0.63"/>
    <x v="6"/>
    <n v="6"/>
    <n v="53"/>
    <n v="59"/>
  </r>
  <r>
    <n v="592"/>
    <x v="44"/>
    <x v="0"/>
    <x v="0"/>
    <x v="0"/>
    <x v="586"/>
    <x v="0"/>
    <x v="4"/>
    <x v="0"/>
    <x v="5"/>
    <x v="6"/>
    <n v="0.74"/>
    <x v="1"/>
    <n v="4"/>
    <n v="55"/>
    <n v="59"/>
  </r>
  <r>
    <n v="652"/>
    <x v="21"/>
    <x v="0"/>
    <x v="0"/>
    <x v="0"/>
    <x v="587"/>
    <x v="0"/>
    <x v="1"/>
    <x v="0"/>
    <x v="10"/>
    <x v="16"/>
    <n v="0.75"/>
    <x v="0"/>
    <n v="9"/>
    <n v="50"/>
    <n v="59"/>
  </r>
  <r>
    <n v="805"/>
    <x v="43"/>
    <x v="0"/>
    <x v="0"/>
    <x v="1"/>
    <x v="588"/>
    <x v="0"/>
    <x v="0"/>
    <x v="0"/>
    <x v="9"/>
    <x v="1"/>
    <n v="0.93"/>
    <x v="5"/>
    <n v="7"/>
    <n v="52"/>
    <n v="59"/>
  </r>
  <r>
    <n v="887"/>
    <x v="37"/>
    <x v="0"/>
    <x v="0"/>
    <x v="1"/>
    <x v="589"/>
    <x v="0"/>
    <x v="6"/>
    <x v="0"/>
    <x v="3"/>
    <x v="15"/>
    <n v="0.36"/>
    <x v="0"/>
    <n v="8"/>
    <n v="51"/>
    <n v="59"/>
  </r>
  <r>
    <n v="293"/>
    <x v="32"/>
    <x v="0"/>
    <x v="0"/>
    <x v="0"/>
    <x v="590"/>
    <x v="0"/>
    <x v="4"/>
    <x v="0"/>
    <x v="0"/>
    <x v="6"/>
    <n v="0.38"/>
    <x v="9"/>
    <n v="5"/>
    <n v="55"/>
    <n v="60"/>
  </r>
  <r>
    <n v="392"/>
    <x v="13"/>
    <x v="0"/>
    <x v="0"/>
    <x v="0"/>
    <x v="591"/>
    <x v="1"/>
    <x v="2"/>
    <x v="2"/>
    <x v="5"/>
    <x v="15"/>
    <n v="0.59"/>
    <x v="2"/>
    <n v="2"/>
    <n v="58"/>
    <n v="60"/>
  </r>
  <r>
    <n v="538"/>
    <x v="17"/>
    <x v="0"/>
    <x v="0"/>
    <x v="0"/>
    <x v="592"/>
    <x v="0"/>
    <x v="2"/>
    <x v="1"/>
    <x v="3"/>
    <x v="3"/>
    <n v="0.43"/>
    <x v="5"/>
    <n v="6"/>
    <n v="54"/>
    <n v="60"/>
  </r>
  <r>
    <n v="602"/>
    <x v="20"/>
    <x v="0"/>
    <x v="0"/>
    <x v="0"/>
    <x v="593"/>
    <x v="0"/>
    <x v="5"/>
    <x v="1"/>
    <x v="2"/>
    <x v="5"/>
    <n v="0.86"/>
    <x v="1"/>
    <n v="2"/>
    <n v="58"/>
    <n v="60"/>
  </r>
  <r>
    <n v="750"/>
    <x v="24"/>
    <x v="0"/>
    <x v="0"/>
    <x v="1"/>
    <x v="594"/>
    <x v="0"/>
    <x v="4"/>
    <x v="0"/>
    <x v="10"/>
    <x v="5"/>
    <n v="0.37"/>
    <x v="13"/>
    <n v="4"/>
    <n v="56"/>
    <n v="60"/>
  </r>
  <r>
    <n v="797"/>
    <x v="43"/>
    <x v="0"/>
    <x v="0"/>
    <x v="1"/>
    <x v="595"/>
    <x v="0"/>
    <x v="0"/>
    <x v="2"/>
    <x v="10"/>
    <x v="16"/>
    <n v="1"/>
    <x v="0"/>
    <n v="11"/>
    <n v="49"/>
    <n v="60"/>
  </r>
  <r>
    <n v="844"/>
    <x v="27"/>
    <x v="0"/>
    <x v="0"/>
    <x v="1"/>
    <x v="596"/>
    <x v="0"/>
    <x v="2"/>
    <x v="1"/>
    <x v="16"/>
    <x v="29"/>
    <n v="0.56999999999999995"/>
    <x v="1"/>
    <n v="8"/>
    <n v="52"/>
    <n v="60"/>
  </r>
  <r>
    <n v="58"/>
    <x v="2"/>
    <x v="0"/>
    <x v="0"/>
    <x v="0"/>
    <x v="597"/>
    <x v="0"/>
    <x v="2"/>
    <x v="0"/>
    <x v="10"/>
    <x v="6"/>
    <n v="0.35"/>
    <x v="9"/>
    <n v="13"/>
    <n v="48"/>
    <n v="61"/>
  </r>
  <r>
    <n v="59"/>
    <x v="2"/>
    <x v="0"/>
    <x v="0"/>
    <x v="0"/>
    <x v="598"/>
    <x v="0"/>
    <x v="2"/>
    <x v="0"/>
    <x v="0"/>
    <x v="18"/>
    <n v="0.35"/>
    <x v="7"/>
    <n v="8"/>
    <n v="53"/>
    <n v="61"/>
  </r>
  <r>
    <n v="172"/>
    <x v="6"/>
    <x v="0"/>
    <x v="0"/>
    <x v="0"/>
    <x v="599"/>
    <x v="0"/>
    <x v="0"/>
    <x v="1"/>
    <x v="5"/>
    <x v="5"/>
    <n v="0.8"/>
    <x v="6"/>
    <n v="5"/>
    <n v="56"/>
    <n v="61"/>
  </r>
  <r>
    <n v="313"/>
    <x v="10"/>
    <x v="0"/>
    <x v="0"/>
    <x v="0"/>
    <x v="600"/>
    <x v="0"/>
    <x v="5"/>
    <x v="0"/>
    <x v="4"/>
    <x v="5"/>
    <n v="0.44"/>
    <x v="10"/>
    <n v="2"/>
    <n v="59"/>
    <n v="61"/>
  </r>
  <r>
    <n v="368"/>
    <x v="12"/>
    <x v="0"/>
    <x v="0"/>
    <x v="0"/>
    <x v="601"/>
    <x v="0"/>
    <x v="1"/>
    <x v="0"/>
    <x v="5"/>
    <x v="5"/>
    <n v="0.47"/>
    <x v="4"/>
    <n v="14"/>
    <n v="47"/>
    <n v="61"/>
  </r>
  <r>
    <n v="401"/>
    <x v="41"/>
    <x v="0"/>
    <x v="0"/>
    <x v="0"/>
    <x v="602"/>
    <x v="0"/>
    <x v="3"/>
    <x v="1"/>
    <x v="10"/>
    <x v="9"/>
    <n v="0.87"/>
    <x v="2"/>
    <n v="0"/>
    <n v="61"/>
    <n v="61"/>
  </r>
  <r>
    <n v="559"/>
    <x v="18"/>
    <x v="0"/>
    <x v="0"/>
    <x v="0"/>
    <x v="603"/>
    <x v="0"/>
    <x v="3"/>
    <x v="1"/>
    <x v="0"/>
    <x v="19"/>
    <n v="0.6"/>
    <x v="4"/>
    <n v="6"/>
    <n v="55"/>
    <n v="61"/>
  </r>
  <r>
    <n v="722"/>
    <x v="23"/>
    <x v="0"/>
    <x v="0"/>
    <x v="1"/>
    <x v="604"/>
    <x v="0"/>
    <x v="6"/>
    <x v="1"/>
    <x v="10"/>
    <x v="16"/>
    <n v="1"/>
    <x v="0"/>
    <n v="2"/>
    <n v="59"/>
    <n v="61"/>
  </r>
  <r>
    <n v="889"/>
    <x v="37"/>
    <x v="0"/>
    <x v="0"/>
    <x v="1"/>
    <x v="605"/>
    <x v="0"/>
    <x v="6"/>
    <x v="1"/>
    <x v="5"/>
    <x v="15"/>
    <n v="0.4"/>
    <x v="5"/>
    <n v="4"/>
    <n v="57"/>
    <n v="61"/>
  </r>
  <r>
    <n v="988"/>
    <x v="38"/>
    <x v="0"/>
    <x v="0"/>
    <x v="1"/>
    <x v="606"/>
    <x v="0"/>
    <x v="1"/>
    <x v="0"/>
    <x v="1"/>
    <x v="2"/>
    <n v="0.35"/>
    <x v="7"/>
    <n v="11"/>
    <n v="50"/>
    <n v="61"/>
  </r>
  <r>
    <n v="106"/>
    <x v="31"/>
    <x v="0"/>
    <x v="0"/>
    <x v="0"/>
    <x v="607"/>
    <x v="0"/>
    <x v="6"/>
    <x v="0"/>
    <x v="22"/>
    <x v="0"/>
    <n v="0.28000000000000003"/>
    <x v="2"/>
    <n v="10"/>
    <n v="52"/>
    <n v="62"/>
  </r>
  <r>
    <n v="107"/>
    <x v="31"/>
    <x v="0"/>
    <x v="0"/>
    <x v="0"/>
    <x v="608"/>
    <x v="0"/>
    <x v="6"/>
    <x v="0"/>
    <x v="22"/>
    <x v="0"/>
    <n v="0.28000000000000003"/>
    <x v="2"/>
    <n v="7"/>
    <n v="55"/>
    <n v="62"/>
  </r>
  <r>
    <n v="130"/>
    <x v="4"/>
    <x v="0"/>
    <x v="0"/>
    <x v="0"/>
    <x v="609"/>
    <x v="0"/>
    <x v="4"/>
    <x v="0"/>
    <x v="13"/>
    <x v="16"/>
    <n v="0.36"/>
    <x v="0"/>
    <n v="8"/>
    <n v="54"/>
    <n v="62"/>
  </r>
  <r>
    <n v="173"/>
    <x v="6"/>
    <x v="0"/>
    <x v="0"/>
    <x v="0"/>
    <x v="610"/>
    <x v="0"/>
    <x v="0"/>
    <x v="1"/>
    <x v="4"/>
    <x v="15"/>
    <n v="0.69"/>
    <x v="3"/>
    <n v="2"/>
    <n v="60"/>
    <n v="62"/>
  </r>
  <r>
    <n v="203"/>
    <x v="7"/>
    <x v="0"/>
    <x v="0"/>
    <x v="0"/>
    <x v="611"/>
    <x v="0"/>
    <x v="1"/>
    <x v="0"/>
    <x v="5"/>
    <x v="4"/>
    <n v="0.37"/>
    <x v="3"/>
    <n v="3"/>
    <n v="59"/>
    <n v="62"/>
  </r>
  <r>
    <n v="470"/>
    <x v="15"/>
    <x v="0"/>
    <x v="0"/>
    <x v="0"/>
    <x v="612"/>
    <x v="0"/>
    <x v="5"/>
    <x v="0"/>
    <x v="4"/>
    <x v="4"/>
    <n v="0.25"/>
    <x v="14"/>
    <n v="6"/>
    <n v="56"/>
    <n v="62"/>
  </r>
  <r>
    <n v="615"/>
    <x v="20"/>
    <x v="0"/>
    <x v="0"/>
    <x v="0"/>
    <x v="613"/>
    <x v="0"/>
    <x v="5"/>
    <x v="1"/>
    <x v="0"/>
    <x v="9"/>
    <n v="0.7"/>
    <x v="2"/>
    <n v="1"/>
    <n v="61"/>
    <n v="62"/>
  </r>
  <r>
    <n v="828"/>
    <x v="26"/>
    <x v="0"/>
    <x v="0"/>
    <x v="1"/>
    <x v="614"/>
    <x v="0"/>
    <x v="1"/>
    <x v="0"/>
    <x v="9"/>
    <x v="23"/>
    <n v="0.6"/>
    <x v="0"/>
    <n v="5"/>
    <n v="57"/>
    <n v="62"/>
  </r>
  <r>
    <n v="913"/>
    <x v="29"/>
    <x v="0"/>
    <x v="0"/>
    <x v="1"/>
    <x v="615"/>
    <x v="0"/>
    <x v="4"/>
    <x v="0"/>
    <x v="5"/>
    <x v="14"/>
    <n v="0.28999999999999998"/>
    <x v="9"/>
    <n v="3"/>
    <n v="59"/>
    <n v="62"/>
  </r>
  <r>
    <n v="83"/>
    <x v="3"/>
    <x v="0"/>
    <x v="0"/>
    <x v="0"/>
    <x v="616"/>
    <x v="0"/>
    <x v="3"/>
    <x v="0"/>
    <x v="9"/>
    <x v="1"/>
    <n v="0.52"/>
    <x v="5"/>
    <n v="9"/>
    <n v="54"/>
    <n v="63"/>
  </r>
  <r>
    <n v="148"/>
    <x v="5"/>
    <x v="0"/>
    <x v="0"/>
    <x v="0"/>
    <x v="617"/>
    <x v="0"/>
    <x v="5"/>
    <x v="0"/>
    <x v="10"/>
    <x v="5"/>
    <n v="0.37"/>
    <x v="13"/>
    <n v="16"/>
    <n v="47"/>
    <n v="63"/>
  </r>
  <r>
    <n v="246"/>
    <x v="40"/>
    <x v="0"/>
    <x v="0"/>
    <x v="0"/>
    <x v="618"/>
    <x v="0"/>
    <x v="3"/>
    <x v="1"/>
    <x v="4"/>
    <x v="9"/>
    <n v="0.59"/>
    <x v="1"/>
    <n v="3"/>
    <n v="60"/>
    <n v="63"/>
  </r>
  <r>
    <n v="466"/>
    <x v="15"/>
    <x v="0"/>
    <x v="0"/>
    <x v="0"/>
    <x v="619"/>
    <x v="0"/>
    <x v="5"/>
    <x v="0"/>
    <x v="4"/>
    <x v="14"/>
    <n v="0.47"/>
    <x v="15"/>
    <n v="6"/>
    <n v="57"/>
    <n v="63"/>
  </r>
  <r>
    <n v="490"/>
    <x v="34"/>
    <x v="0"/>
    <x v="0"/>
    <x v="0"/>
    <x v="620"/>
    <x v="0"/>
    <x v="0"/>
    <x v="1"/>
    <x v="15"/>
    <x v="10"/>
    <n v="0.38"/>
    <x v="4"/>
    <n v="4"/>
    <n v="59"/>
    <n v="63"/>
  </r>
  <r>
    <n v="537"/>
    <x v="17"/>
    <x v="0"/>
    <x v="0"/>
    <x v="0"/>
    <x v="621"/>
    <x v="0"/>
    <x v="2"/>
    <x v="1"/>
    <x v="8"/>
    <x v="3"/>
    <n v="0.42"/>
    <x v="2"/>
    <n v="11"/>
    <n v="52"/>
    <n v="63"/>
  </r>
  <r>
    <n v="726"/>
    <x v="23"/>
    <x v="0"/>
    <x v="0"/>
    <x v="1"/>
    <x v="622"/>
    <x v="0"/>
    <x v="6"/>
    <x v="0"/>
    <x v="20"/>
    <x v="26"/>
    <n v="0.82"/>
    <x v="3"/>
    <n v="2"/>
    <n v="61"/>
    <n v="63"/>
  </r>
  <r>
    <n v="733"/>
    <x v="23"/>
    <x v="0"/>
    <x v="0"/>
    <x v="1"/>
    <x v="623"/>
    <x v="0"/>
    <x v="6"/>
    <x v="0"/>
    <x v="10"/>
    <x v="5"/>
    <n v="0.47"/>
    <x v="13"/>
    <n v="1"/>
    <n v="62"/>
    <n v="63"/>
  </r>
  <r>
    <n v="942"/>
    <x v="42"/>
    <x v="0"/>
    <x v="0"/>
    <x v="1"/>
    <x v="624"/>
    <x v="0"/>
    <x v="5"/>
    <x v="0"/>
    <x v="10"/>
    <x v="9"/>
    <n v="0.55000000000000004"/>
    <x v="4"/>
    <n v="2"/>
    <n v="61"/>
    <n v="63"/>
  </r>
  <r>
    <n v="53"/>
    <x v="2"/>
    <x v="0"/>
    <x v="0"/>
    <x v="0"/>
    <x v="625"/>
    <x v="0"/>
    <x v="2"/>
    <x v="0"/>
    <x v="3"/>
    <x v="3"/>
    <n v="0.5"/>
    <x v="2"/>
    <n v="1"/>
    <n v="63"/>
    <n v="64"/>
  </r>
  <r>
    <n v="298"/>
    <x v="32"/>
    <x v="0"/>
    <x v="0"/>
    <x v="0"/>
    <x v="626"/>
    <x v="0"/>
    <x v="4"/>
    <x v="0"/>
    <x v="2"/>
    <x v="4"/>
    <n v="0.47"/>
    <x v="5"/>
    <n v="0"/>
    <n v="64"/>
    <n v="64"/>
  </r>
  <r>
    <n v="315"/>
    <x v="10"/>
    <x v="0"/>
    <x v="0"/>
    <x v="0"/>
    <x v="627"/>
    <x v="0"/>
    <x v="5"/>
    <x v="0"/>
    <x v="10"/>
    <x v="6"/>
    <n v="0.41"/>
    <x v="7"/>
    <n v="5"/>
    <n v="59"/>
    <n v="64"/>
  </r>
  <r>
    <n v="384"/>
    <x v="13"/>
    <x v="0"/>
    <x v="0"/>
    <x v="0"/>
    <x v="628"/>
    <x v="1"/>
    <x v="2"/>
    <x v="1"/>
    <x v="2"/>
    <x v="4"/>
    <n v="0.55000000000000004"/>
    <x v="2"/>
    <n v="9"/>
    <n v="55"/>
    <n v="64"/>
  </r>
  <r>
    <n v="629"/>
    <x v="35"/>
    <x v="0"/>
    <x v="0"/>
    <x v="0"/>
    <x v="629"/>
    <x v="0"/>
    <x v="0"/>
    <x v="1"/>
    <x v="5"/>
    <x v="5"/>
    <n v="0.64"/>
    <x v="4"/>
    <n v="4"/>
    <n v="60"/>
    <n v="64"/>
  </r>
  <r>
    <n v="651"/>
    <x v="21"/>
    <x v="0"/>
    <x v="0"/>
    <x v="0"/>
    <x v="630"/>
    <x v="0"/>
    <x v="1"/>
    <x v="1"/>
    <x v="5"/>
    <x v="19"/>
    <n v="0.8"/>
    <x v="0"/>
    <n v="7"/>
    <n v="57"/>
    <n v="64"/>
  </r>
  <r>
    <n v="704"/>
    <x v="36"/>
    <x v="0"/>
    <x v="0"/>
    <x v="1"/>
    <x v="631"/>
    <x v="0"/>
    <x v="3"/>
    <x v="1"/>
    <x v="0"/>
    <x v="19"/>
    <n v="0.75"/>
    <x v="4"/>
    <n v="3"/>
    <n v="61"/>
    <n v="64"/>
  </r>
  <r>
    <n v="709"/>
    <x v="36"/>
    <x v="0"/>
    <x v="0"/>
    <x v="1"/>
    <x v="632"/>
    <x v="0"/>
    <x v="3"/>
    <x v="1"/>
    <x v="10"/>
    <x v="9"/>
    <n v="0.87"/>
    <x v="4"/>
    <n v="0"/>
    <n v="64"/>
    <n v="64"/>
  </r>
  <r>
    <n v="724"/>
    <x v="23"/>
    <x v="0"/>
    <x v="0"/>
    <x v="1"/>
    <x v="633"/>
    <x v="0"/>
    <x v="6"/>
    <x v="1"/>
    <x v="0"/>
    <x v="9"/>
    <n v="0.93"/>
    <x v="5"/>
    <n v="3"/>
    <n v="61"/>
    <n v="64"/>
  </r>
  <r>
    <n v="746"/>
    <x v="24"/>
    <x v="0"/>
    <x v="0"/>
    <x v="1"/>
    <x v="634"/>
    <x v="0"/>
    <x v="4"/>
    <x v="0"/>
    <x v="5"/>
    <x v="3"/>
    <n v="0.43"/>
    <x v="16"/>
    <n v="9"/>
    <n v="55"/>
    <n v="64"/>
  </r>
  <r>
    <n v="769"/>
    <x v="25"/>
    <x v="0"/>
    <x v="0"/>
    <x v="1"/>
    <x v="635"/>
    <x v="0"/>
    <x v="5"/>
    <x v="0"/>
    <x v="10"/>
    <x v="9"/>
    <n v="0.51"/>
    <x v="6"/>
    <n v="3"/>
    <n v="61"/>
    <n v="64"/>
  </r>
  <r>
    <n v="843"/>
    <x v="27"/>
    <x v="0"/>
    <x v="0"/>
    <x v="1"/>
    <x v="636"/>
    <x v="0"/>
    <x v="2"/>
    <x v="1"/>
    <x v="16"/>
    <x v="29"/>
    <n v="0.56999999999999995"/>
    <x v="1"/>
    <n v="10"/>
    <n v="54"/>
    <n v="64"/>
  </r>
  <r>
    <n v="868"/>
    <x v="28"/>
    <x v="0"/>
    <x v="0"/>
    <x v="1"/>
    <x v="637"/>
    <x v="0"/>
    <x v="3"/>
    <x v="0"/>
    <x v="10"/>
    <x v="5"/>
    <n v="0.37"/>
    <x v="11"/>
    <n v="3"/>
    <n v="61"/>
    <n v="64"/>
  </r>
  <r>
    <n v="892"/>
    <x v="37"/>
    <x v="0"/>
    <x v="0"/>
    <x v="1"/>
    <x v="638"/>
    <x v="0"/>
    <x v="6"/>
    <x v="1"/>
    <x v="4"/>
    <x v="15"/>
    <n v="0.34"/>
    <x v="7"/>
    <n v="3"/>
    <n v="61"/>
    <n v="64"/>
  </r>
  <r>
    <n v="933"/>
    <x v="42"/>
    <x v="0"/>
    <x v="0"/>
    <x v="1"/>
    <x v="639"/>
    <x v="0"/>
    <x v="5"/>
    <x v="0"/>
    <x v="10"/>
    <x v="9"/>
    <n v="0.47"/>
    <x v="4"/>
    <n v="12"/>
    <n v="52"/>
    <n v="64"/>
  </r>
  <r>
    <n v="964"/>
    <x v="30"/>
    <x v="0"/>
    <x v="0"/>
    <x v="1"/>
    <x v="640"/>
    <x v="0"/>
    <x v="0"/>
    <x v="0"/>
    <x v="13"/>
    <x v="1"/>
    <n v="0.38"/>
    <x v="13"/>
    <n v="4"/>
    <n v="60"/>
    <n v="64"/>
  </r>
  <r>
    <n v="41"/>
    <x v="1"/>
    <x v="0"/>
    <x v="0"/>
    <x v="0"/>
    <x v="641"/>
    <x v="0"/>
    <x v="1"/>
    <x v="0"/>
    <x v="17"/>
    <x v="21"/>
    <n v="0.56999999999999995"/>
    <x v="2"/>
    <n v="7"/>
    <n v="58"/>
    <n v="65"/>
  </r>
  <r>
    <n v="84"/>
    <x v="3"/>
    <x v="0"/>
    <x v="0"/>
    <x v="0"/>
    <x v="642"/>
    <x v="0"/>
    <x v="3"/>
    <x v="0"/>
    <x v="13"/>
    <x v="16"/>
    <n v="0.52"/>
    <x v="10"/>
    <n v="17"/>
    <n v="48"/>
    <n v="65"/>
  </r>
  <r>
    <n v="471"/>
    <x v="15"/>
    <x v="0"/>
    <x v="0"/>
    <x v="0"/>
    <x v="643"/>
    <x v="0"/>
    <x v="5"/>
    <x v="0"/>
    <x v="2"/>
    <x v="8"/>
    <n v="0.26"/>
    <x v="16"/>
    <n v="4"/>
    <n v="61"/>
    <n v="65"/>
  </r>
  <r>
    <n v="518"/>
    <x v="16"/>
    <x v="0"/>
    <x v="0"/>
    <x v="0"/>
    <x v="644"/>
    <x v="0"/>
    <x v="1"/>
    <x v="0"/>
    <x v="2"/>
    <x v="3"/>
    <n v="0.26"/>
    <x v="13"/>
    <n v="9"/>
    <n v="56"/>
    <n v="65"/>
  </r>
  <r>
    <n v="631"/>
    <x v="35"/>
    <x v="0"/>
    <x v="0"/>
    <x v="0"/>
    <x v="645"/>
    <x v="0"/>
    <x v="0"/>
    <x v="1"/>
    <x v="10"/>
    <x v="9"/>
    <n v="0.55000000000000004"/>
    <x v="6"/>
    <n v="9"/>
    <n v="56"/>
    <n v="65"/>
  </r>
  <r>
    <n v="659"/>
    <x v="21"/>
    <x v="0"/>
    <x v="0"/>
    <x v="0"/>
    <x v="646"/>
    <x v="0"/>
    <x v="1"/>
    <x v="0"/>
    <x v="9"/>
    <x v="1"/>
    <n v="0.65"/>
    <x v="6"/>
    <n v="8"/>
    <n v="57"/>
    <n v="65"/>
  </r>
  <r>
    <n v="866"/>
    <x v="28"/>
    <x v="0"/>
    <x v="0"/>
    <x v="1"/>
    <x v="647"/>
    <x v="0"/>
    <x v="3"/>
    <x v="0"/>
    <x v="0"/>
    <x v="5"/>
    <n v="0.38"/>
    <x v="19"/>
    <n v="2"/>
    <n v="63"/>
    <n v="65"/>
  </r>
  <r>
    <n v="842"/>
    <x v="27"/>
    <x v="0"/>
    <x v="0"/>
    <x v="1"/>
    <x v="648"/>
    <x v="0"/>
    <x v="2"/>
    <x v="1"/>
    <x v="18"/>
    <x v="27"/>
    <n v="0.62"/>
    <x v="0"/>
    <n v="7"/>
    <n v="59"/>
    <n v="66"/>
  </r>
  <r>
    <n v="18"/>
    <x v="0"/>
    <x v="0"/>
    <x v="0"/>
    <x v="0"/>
    <x v="649"/>
    <x v="0"/>
    <x v="0"/>
    <x v="1"/>
    <x v="21"/>
    <x v="18"/>
    <n v="0.82"/>
    <x v="7"/>
    <n v="15"/>
    <n v="52"/>
    <n v="67"/>
  </r>
  <r>
    <n v="128"/>
    <x v="4"/>
    <x v="0"/>
    <x v="0"/>
    <x v="0"/>
    <x v="650"/>
    <x v="0"/>
    <x v="4"/>
    <x v="0"/>
    <x v="9"/>
    <x v="16"/>
    <n v="0.35"/>
    <x v="8"/>
    <n v="12"/>
    <n v="55"/>
    <n v="67"/>
  </r>
  <r>
    <n v="149"/>
    <x v="5"/>
    <x v="0"/>
    <x v="0"/>
    <x v="0"/>
    <x v="651"/>
    <x v="0"/>
    <x v="5"/>
    <x v="1"/>
    <x v="4"/>
    <x v="5"/>
    <n v="0.4"/>
    <x v="5"/>
    <n v="19"/>
    <n v="48"/>
    <n v="67"/>
  </r>
  <r>
    <n v="367"/>
    <x v="12"/>
    <x v="0"/>
    <x v="0"/>
    <x v="0"/>
    <x v="652"/>
    <x v="0"/>
    <x v="1"/>
    <x v="0"/>
    <x v="4"/>
    <x v="6"/>
    <n v="0.4"/>
    <x v="6"/>
    <n v="11"/>
    <n v="56"/>
    <n v="67"/>
  </r>
  <r>
    <n v="496"/>
    <x v="34"/>
    <x v="0"/>
    <x v="0"/>
    <x v="0"/>
    <x v="653"/>
    <x v="0"/>
    <x v="0"/>
    <x v="0"/>
    <x v="8"/>
    <x v="5"/>
    <n v="0.28000000000000003"/>
    <x v="0"/>
    <n v="8"/>
    <n v="59"/>
    <n v="67"/>
  </r>
  <r>
    <n v="270"/>
    <x v="9"/>
    <x v="0"/>
    <x v="0"/>
    <x v="0"/>
    <x v="654"/>
    <x v="0"/>
    <x v="6"/>
    <x v="0"/>
    <x v="10"/>
    <x v="5"/>
    <n v="0.44"/>
    <x v="13"/>
    <n v="5"/>
    <n v="63"/>
    <n v="68"/>
  </r>
  <r>
    <n v="316"/>
    <x v="10"/>
    <x v="0"/>
    <x v="0"/>
    <x v="0"/>
    <x v="655"/>
    <x v="0"/>
    <x v="5"/>
    <x v="0"/>
    <x v="0"/>
    <x v="19"/>
    <n v="0.38"/>
    <x v="6"/>
    <n v="9"/>
    <n v="59"/>
    <n v="68"/>
  </r>
  <r>
    <n v="321"/>
    <x v="10"/>
    <x v="0"/>
    <x v="0"/>
    <x v="0"/>
    <x v="656"/>
    <x v="0"/>
    <x v="5"/>
    <x v="0"/>
    <x v="5"/>
    <x v="19"/>
    <n v="0.59"/>
    <x v="0"/>
    <n v="0"/>
    <n v="68"/>
    <n v="68"/>
  </r>
  <r>
    <n v="443"/>
    <x v="14"/>
    <x v="0"/>
    <x v="0"/>
    <x v="0"/>
    <x v="657"/>
    <x v="0"/>
    <x v="4"/>
    <x v="1"/>
    <x v="13"/>
    <x v="16"/>
    <n v="0.45"/>
    <x v="6"/>
    <n v="5"/>
    <n v="63"/>
    <n v="68"/>
  </r>
  <r>
    <n v="463"/>
    <x v="15"/>
    <x v="0"/>
    <x v="0"/>
    <x v="0"/>
    <x v="658"/>
    <x v="0"/>
    <x v="5"/>
    <x v="0"/>
    <x v="4"/>
    <x v="15"/>
    <n v="0.51"/>
    <x v="7"/>
    <n v="2"/>
    <n v="66"/>
    <n v="68"/>
  </r>
  <r>
    <n v="562"/>
    <x v="18"/>
    <x v="0"/>
    <x v="0"/>
    <x v="0"/>
    <x v="659"/>
    <x v="0"/>
    <x v="3"/>
    <x v="1"/>
    <x v="22"/>
    <x v="21"/>
    <n v="0.45"/>
    <x v="0"/>
    <n v="11"/>
    <n v="57"/>
    <n v="68"/>
  </r>
  <r>
    <n v="636"/>
    <x v="35"/>
    <x v="0"/>
    <x v="0"/>
    <x v="0"/>
    <x v="660"/>
    <x v="0"/>
    <x v="0"/>
    <x v="0"/>
    <x v="10"/>
    <x v="9"/>
    <n v="0.69"/>
    <x v="4"/>
    <n v="9"/>
    <n v="59"/>
    <n v="68"/>
  </r>
  <r>
    <n v="677"/>
    <x v="22"/>
    <x v="0"/>
    <x v="0"/>
    <x v="0"/>
    <x v="661"/>
    <x v="0"/>
    <x v="2"/>
    <x v="1"/>
    <x v="5"/>
    <x v="6"/>
    <n v="0.55000000000000004"/>
    <x v="8"/>
    <n v="6"/>
    <n v="62"/>
    <n v="68"/>
  </r>
  <r>
    <n v="135"/>
    <x v="4"/>
    <x v="0"/>
    <x v="0"/>
    <x v="0"/>
    <x v="662"/>
    <x v="0"/>
    <x v="4"/>
    <x v="0"/>
    <x v="4"/>
    <x v="6"/>
    <n v="0.51"/>
    <x v="6"/>
    <n v="3"/>
    <n v="66"/>
    <n v="69"/>
  </r>
  <r>
    <n v="179"/>
    <x v="6"/>
    <x v="0"/>
    <x v="0"/>
    <x v="0"/>
    <x v="663"/>
    <x v="0"/>
    <x v="0"/>
    <x v="0"/>
    <x v="2"/>
    <x v="8"/>
    <n v="0.37"/>
    <x v="17"/>
    <n v="5"/>
    <n v="64"/>
    <n v="69"/>
  </r>
  <r>
    <n v="675"/>
    <x v="22"/>
    <x v="0"/>
    <x v="0"/>
    <x v="0"/>
    <x v="664"/>
    <x v="0"/>
    <x v="2"/>
    <x v="1"/>
    <x v="2"/>
    <x v="4"/>
    <n v="0.59"/>
    <x v="2"/>
    <n v="1"/>
    <n v="68"/>
    <n v="69"/>
  </r>
  <r>
    <n v="747"/>
    <x v="24"/>
    <x v="0"/>
    <x v="0"/>
    <x v="1"/>
    <x v="665"/>
    <x v="0"/>
    <x v="4"/>
    <x v="0"/>
    <x v="4"/>
    <x v="15"/>
    <n v="0.4"/>
    <x v="12"/>
    <n v="2"/>
    <n v="67"/>
    <n v="69"/>
  </r>
  <r>
    <n v="802"/>
    <x v="43"/>
    <x v="0"/>
    <x v="0"/>
    <x v="1"/>
    <x v="666"/>
    <x v="0"/>
    <x v="0"/>
    <x v="0"/>
    <x v="22"/>
    <x v="0"/>
    <n v="0.87"/>
    <x v="10"/>
    <n v="5"/>
    <n v="64"/>
    <n v="69"/>
  </r>
  <r>
    <n v="890"/>
    <x v="37"/>
    <x v="0"/>
    <x v="0"/>
    <x v="1"/>
    <x v="667"/>
    <x v="0"/>
    <x v="6"/>
    <x v="0"/>
    <x v="5"/>
    <x v="14"/>
    <n v="0.4"/>
    <x v="10"/>
    <n v="2"/>
    <n v="67"/>
    <n v="69"/>
  </r>
  <r>
    <n v="912"/>
    <x v="29"/>
    <x v="0"/>
    <x v="0"/>
    <x v="1"/>
    <x v="668"/>
    <x v="0"/>
    <x v="4"/>
    <x v="0"/>
    <x v="2"/>
    <x v="3"/>
    <n v="0.34"/>
    <x v="3"/>
    <n v="4"/>
    <n v="65"/>
    <n v="69"/>
  </r>
  <r>
    <n v="35"/>
    <x v="1"/>
    <x v="0"/>
    <x v="0"/>
    <x v="0"/>
    <x v="669"/>
    <x v="0"/>
    <x v="1"/>
    <x v="1"/>
    <x v="16"/>
    <x v="21"/>
    <n v="0.71"/>
    <x v="10"/>
    <n v="16"/>
    <n v="54"/>
    <n v="70"/>
  </r>
  <r>
    <n v="129"/>
    <x v="4"/>
    <x v="0"/>
    <x v="0"/>
    <x v="0"/>
    <x v="670"/>
    <x v="0"/>
    <x v="4"/>
    <x v="0"/>
    <x v="13"/>
    <x v="16"/>
    <n v="0.36"/>
    <x v="6"/>
    <n v="11"/>
    <n v="59"/>
    <n v="70"/>
  </r>
  <r>
    <n v="308"/>
    <x v="10"/>
    <x v="0"/>
    <x v="0"/>
    <x v="0"/>
    <x v="671"/>
    <x v="0"/>
    <x v="5"/>
    <x v="0"/>
    <x v="7"/>
    <x v="8"/>
    <n v="0.74"/>
    <x v="6"/>
    <n v="0"/>
    <n v="70"/>
    <n v="70"/>
  </r>
  <r>
    <n v="420"/>
    <x v="33"/>
    <x v="0"/>
    <x v="0"/>
    <x v="0"/>
    <x v="672"/>
    <x v="0"/>
    <x v="6"/>
    <x v="1"/>
    <x v="22"/>
    <x v="22"/>
    <n v="0.81"/>
    <x v="1"/>
    <n v="5"/>
    <n v="65"/>
    <n v="70"/>
  </r>
  <r>
    <n v="447"/>
    <x v="14"/>
    <x v="0"/>
    <x v="0"/>
    <x v="0"/>
    <x v="673"/>
    <x v="0"/>
    <x v="4"/>
    <x v="1"/>
    <x v="18"/>
    <x v="22"/>
    <n v="0.45"/>
    <x v="2"/>
    <n v="8"/>
    <n v="62"/>
    <n v="70"/>
  </r>
  <r>
    <n v="491"/>
    <x v="34"/>
    <x v="0"/>
    <x v="0"/>
    <x v="0"/>
    <x v="674"/>
    <x v="0"/>
    <x v="0"/>
    <x v="1"/>
    <x v="15"/>
    <x v="20"/>
    <n v="0.38"/>
    <x v="8"/>
    <n v="10"/>
    <n v="60"/>
    <n v="70"/>
  </r>
  <r>
    <n v="541"/>
    <x v="17"/>
    <x v="0"/>
    <x v="0"/>
    <x v="0"/>
    <x v="675"/>
    <x v="0"/>
    <x v="2"/>
    <x v="0"/>
    <x v="2"/>
    <x v="4"/>
    <n v="0.47"/>
    <x v="10"/>
    <n v="4"/>
    <n v="66"/>
    <n v="70"/>
  </r>
  <r>
    <n v="105"/>
    <x v="31"/>
    <x v="0"/>
    <x v="0"/>
    <x v="0"/>
    <x v="676"/>
    <x v="0"/>
    <x v="6"/>
    <x v="0"/>
    <x v="13"/>
    <x v="1"/>
    <n v="0.3"/>
    <x v="9"/>
    <n v="6"/>
    <n v="65"/>
    <n v="71"/>
  </r>
  <r>
    <n v="390"/>
    <x v="13"/>
    <x v="0"/>
    <x v="0"/>
    <x v="0"/>
    <x v="677"/>
    <x v="1"/>
    <x v="2"/>
    <x v="0"/>
    <x v="4"/>
    <x v="5"/>
    <n v="0.51"/>
    <x v="2"/>
    <n v="4"/>
    <n v="67"/>
    <n v="71"/>
  </r>
  <r>
    <n v="778"/>
    <x v="25"/>
    <x v="0"/>
    <x v="0"/>
    <x v="1"/>
    <x v="678"/>
    <x v="0"/>
    <x v="5"/>
    <x v="1"/>
    <x v="0"/>
    <x v="19"/>
    <n v="0.65"/>
    <x v="6"/>
    <n v="2"/>
    <n v="69"/>
    <n v="71"/>
  </r>
  <r>
    <n v="798"/>
    <x v="43"/>
    <x v="0"/>
    <x v="0"/>
    <x v="1"/>
    <x v="679"/>
    <x v="0"/>
    <x v="0"/>
    <x v="2"/>
    <x v="10"/>
    <x v="9"/>
    <n v="1"/>
    <x v="4"/>
    <n v="8"/>
    <n v="63"/>
    <n v="71"/>
  </r>
  <r>
    <n v="934"/>
    <x v="42"/>
    <x v="0"/>
    <x v="0"/>
    <x v="1"/>
    <x v="680"/>
    <x v="0"/>
    <x v="5"/>
    <x v="0"/>
    <x v="10"/>
    <x v="9"/>
    <n v="0.47"/>
    <x v="4"/>
    <n v="7"/>
    <n v="64"/>
    <n v="71"/>
  </r>
  <r>
    <n v="61"/>
    <x v="2"/>
    <x v="0"/>
    <x v="0"/>
    <x v="0"/>
    <x v="681"/>
    <x v="0"/>
    <x v="2"/>
    <x v="0"/>
    <x v="9"/>
    <x v="19"/>
    <n v="0.3"/>
    <x v="10"/>
    <n v="14"/>
    <n v="58"/>
    <n v="72"/>
  </r>
  <r>
    <n v="153"/>
    <x v="5"/>
    <x v="0"/>
    <x v="0"/>
    <x v="0"/>
    <x v="682"/>
    <x v="0"/>
    <x v="5"/>
    <x v="1"/>
    <x v="4"/>
    <x v="6"/>
    <n v="0.37"/>
    <x v="6"/>
    <n v="9"/>
    <n v="63"/>
    <n v="72"/>
  </r>
  <r>
    <n v="200"/>
    <x v="7"/>
    <x v="0"/>
    <x v="0"/>
    <x v="0"/>
    <x v="683"/>
    <x v="0"/>
    <x v="1"/>
    <x v="0"/>
    <x v="10"/>
    <x v="15"/>
    <n v="0.32"/>
    <x v="15"/>
    <n v="8"/>
    <n v="64"/>
    <n v="72"/>
  </r>
  <r>
    <n v="285"/>
    <x v="32"/>
    <x v="0"/>
    <x v="0"/>
    <x v="0"/>
    <x v="684"/>
    <x v="0"/>
    <x v="4"/>
    <x v="0"/>
    <x v="8"/>
    <x v="4"/>
    <n v="0.54"/>
    <x v="4"/>
    <n v="0"/>
    <n v="72"/>
    <n v="72"/>
  </r>
  <r>
    <n v="336"/>
    <x v="11"/>
    <x v="0"/>
    <x v="0"/>
    <x v="0"/>
    <x v="685"/>
    <x v="0"/>
    <x v="0"/>
    <x v="0"/>
    <x v="4"/>
    <x v="5"/>
    <n v="0.55000000000000004"/>
    <x v="5"/>
    <n v="18"/>
    <n v="54"/>
    <n v="72"/>
  </r>
  <r>
    <n v="578"/>
    <x v="19"/>
    <x v="0"/>
    <x v="0"/>
    <x v="0"/>
    <x v="686"/>
    <x v="0"/>
    <x v="6"/>
    <x v="2"/>
    <x v="10"/>
    <x v="6"/>
    <n v="0.87"/>
    <x v="9"/>
    <n v="3"/>
    <n v="69"/>
    <n v="72"/>
  </r>
  <r>
    <n v="672"/>
    <x v="22"/>
    <x v="0"/>
    <x v="0"/>
    <x v="0"/>
    <x v="687"/>
    <x v="0"/>
    <x v="2"/>
    <x v="1"/>
    <x v="2"/>
    <x v="3"/>
    <n v="0.64"/>
    <x v="7"/>
    <n v="1"/>
    <n v="71"/>
    <n v="72"/>
  </r>
  <r>
    <n v="795"/>
    <x v="43"/>
    <x v="0"/>
    <x v="0"/>
    <x v="1"/>
    <x v="688"/>
    <x v="0"/>
    <x v="0"/>
    <x v="2"/>
    <x v="10"/>
    <x v="9"/>
    <n v="1"/>
    <x v="6"/>
    <n v="10"/>
    <n v="62"/>
    <n v="72"/>
  </r>
  <r>
    <n v="921"/>
    <x v="29"/>
    <x v="0"/>
    <x v="0"/>
    <x v="1"/>
    <x v="689"/>
    <x v="0"/>
    <x v="4"/>
    <x v="0"/>
    <x v="3"/>
    <x v="6"/>
    <n v="0.39"/>
    <x v="0"/>
    <n v="2"/>
    <n v="70"/>
    <n v="72"/>
  </r>
  <r>
    <n v="151"/>
    <x v="5"/>
    <x v="0"/>
    <x v="0"/>
    <x v="0"/>
    <x v="690"/>
    <x v="0"/>
    <x v="5"/>
    <x v="1"/>
    <x v="4"/>
    <x v="15"/>
    <n v="0.37"/>
    <x v="7"/>
    <n v="9"/>
    <n v="64"/>
    <n v="73"/>
  </r>
  <r>
    <n v="469"/>
    <x v="15"/>
    <x v="0"/>
    <x v="0"/>
    <x v="0"/>
    <x v="691"/>
    <x v="0"/>
    <x v="5"/>
    <x v="0"/>
    <x v="4"/>
    <x v="4"/>
    <n v="0.21"/>
    <x v="18"/>
    <n v="8"/>
    <n v="65"/>
    <n v="73"/>
  </r>
  <r>
    <n v="39"/>
    <x v="1"/>
    <x v="0"/>
    <x v="0"/>
    <x v="0"/>
    <x v="692"/>
    <x v="0"/>
    <x v="1"/>
    <x v="2"/>
    <x v="17"/>
    <x v="21"/>
    <n v="0.81"/>
    <x v="6"/>
    <n v="19"/>
    <n v="55"/>
    <n v="74"/>
  </r>
  <r>
    <n v="177"/>
    <x v="6"/>
    <x v="0"/>
    <x v="0"/>
    <x v="0"/>
    <x v="693"/>
    <x v="0"/>
    <x v="0"/>
    <x v="0"/>
    <x v="4"/>
    <x v="14"/>
    <n v="0.32"/>
    <x v="16"/>
    <n v="5"/>
    <n v="69"/>
    <n v="74"/>
  </r>
  <r>
    <n v="226"/>
    <x v="8"/>
    <x v="0"/>
    <x v="0"/>
    <x v="0"/>
    <x v="694"/>
    <x v="0"/>
    <x v="2"/>
    <x v="0"/>
    <x v="4"/>
    <x v="6"/>
    <n v="0.4"/>
    <x v="4"/>
    <n v="4"/>
    <n v="70"/>
    <n v="74"/>
  </r>
  <r>
    <n v="230"/>
    <x v="8"/>
    <x v="0"/>
    <x v="0"/>
    <x v="0"/>
    <x v="695"/>
    <x v="0"/>
    <x v="2"/>
    <x v="0"/>
    <x v="2"/>
    <x v="14"/>
    <n v="0.5"/>
    <x v="6"/>
    <n v="1"/>
    <n v="73"/>
    <n v="74"/>
  </r>
  <r>
    <n v="344"/>
    <x v="11"/>
    <x v="0"/>
    <x v="0"/>
    <x v="0"/>
    <x v="696"/>
    <x v="0"/>
    <x v="0"/>
    <x v="1"/>
    <x v="18"/>
    <x v="23"/>
    <n v="0.39"/>
    <x v="10"/>
    <n v="14"/>
    <n v="60"/>
    <n v="74"/>
  </r>
  <r>
    <n v="708"/>
    <x v="36"/>
    <x v="0"/>
    <x v="0"/>
    <x v="1"/>
    <x v="697"/>
    <x v="0"/>
    <x v="3"/>
    <x v="1"/>
    <x v="10"/>
    <x v="9"/>
    <n v="0.87"/>
    <x v="4"/>
    <n v="5"/>
    <n v="69"/>
    <n v="74"/>
  </r>
  <r>
    <n v="929"/>
    <x v="42"/>
    <x v="0"/>
    <x v="0"/>
    <x v="1"/>
    <x v="698"/>
    <x v="0"/>
    <x v="5"/>
    <x v="0"/>
    <x v="6"/>
    <x v="14"/>
    <n v="0.73"/>
    <x v="0"/>
    <n v="1"/>
    <n v="73"/>
    <n v="74"/>
  </r>
  <r>
    <n v="937"/>
    <x v="42"/>
    <x v="0"/>
    <x v="0"/>
    <x v="1"/>
    <x v="699"/>
    <x v="0"/>
    <x v="5"/>
    <x v="0"/>
    <x v="18"/>
    <x v="22"/>
    <n v="0.21"/>
    <x v="6"/>
    <n v="12"/>
    <n v="62"/>
    <n v="74"/>
  </r>
  <r>
    <n v="37"/>
    <x v="1"/>
    <x v="0"/>
    <x v="0"/>
    <x v="0"/>
    <x v="700"/>
    <x v="0"/>
    <x v="1"/>
    <x v="1"/>
    <x v="16"/>
    <x v="27"/>
    <n v="0.66"/>
    <x v="4"/>
    <n v="11"/>
    <n v="64"/>
    <n v="75"/>
  </r>
  <r>
    <n v="199"/>
    <x v="7"/>
    <x v="0"/>
    <x v="0"/>
    <x v="0"/>
    <x v="701"/>
    <x v="0"/>
    <x v="1"/>
    <x v="0"/>
    <x v="4"/>
    <x v="14"/>
    <n v="0.34"/>
    <x v="16"/>
    <n v="6"/>
    <n v="69"/>
    <n v="75"/>
  </r>
  <r>
    <n v="422"/>
    <x v="33"/>
    <x v="0"/>
    <x v="0"/>
    <x v="0"/>
    <x v="702"/>
    <x v="0"/>
    <x v="6"/>
    <x v="0"/>
    <x v="1"/>
    <x v="2"/>
    <n v="0.57999999999999996"/>
    <x v="10"/>
    <n v="7"/>
    <n v="68"/>
    <n v="75"/>
  </r>
  <r>
    <n v="493"/>
    <x v="34"/>
    <x v="0"/>
    <x v="0"/>
    <x v="0"/>
    <x v="703"/>
    <x v="0"/>
    <x v="0"/>
    <x v="0"/>
    <x v="7"/>
    <x v="3"/>
    <n v="0.33"/>
    <x v="8"/>
    <n v="11"/>
    <n v="64"/>
    <n v="75"/>
  </r>
  <r>
    <n v="725"/>
    <x v="23"/>
    <x v="0"/>
    <x v="0"/>
    <x v="1"/>
    <x v="704"/>
    <x v="0"/>
    <x v="6"/>
    <x v="0"/>
    <x v="17"/>
    <x v="21"/>
    <n v="0.93"/>
    <x v="6"/>
    <n v="1"/>
    <n v="74"/>
    <n v="75"/>
  </r>
  <r>
    <n v="732"/>
    <x v="23"/>
    <x v="0"/>
    <x v="0"/>
    <x v="1"/>
    <x v="705"/>
    <x v="0"/>
    <x v="6"/>
    <x v="0"/>
    <x v="0"/>
    <x v="5"/>
    <n v="0.48"/>
    <x v="17"/>
    <n v="4"/>
    <n v="71"/>
    <n v="75"/>
  </r>
  <r>
    <n v="40"/>
    <x v="1"/>
    <x v="0"/>
    <x v="0"/>
    <x v="0"/>
    <x v="706"/>
    <x v="0"/>
    <x v="1"/>
    <x v="2"/>
    <x v="17"/>
    <x v="21"/>
    <n v="0.71"/>
    <x v="6"/>
    <n v="9"/>
    <n v="67"/>
    <n v="76"/>
  </r>
  <r>
    <n v="62"/>
    <x v="2"/>
    <x v="0"/>
    <x v="0"/>
    <x v="0"/>
    <x v="707"/>
    <x v="0"/>
    <x v="2"/>
    <x v="0"/>
    <x v="9"/>
    <x v="19"/>
    <n v="0.3"/>
    <x v="10"/>
    <n v="9"/>
    <n v="67"/>
    <n v="76"/>
  </r>
  <r>
    <n v="178"/>
    <x v="6"/>
    <x v="0"/>
    <x v="0"/>
    <x v="0"/>
    <x v="708"/>
    <x v="0"/>
    <x v="0"/>
    <x v="0"/>
    <x v="5"/>
    <x v="3"/>
    <n v="0.28999999999999998"/>
    <x v="16"/>
    <n v="8"/>
    <n v="68"/>
    <n v="76"/>
  </r>
  <r>
    <n v="248"/>
    <x v="40"/>
    <x v="0"/>
    <x v="0"/>
    <x v="0"/>
    <x v="709"/>
    <x v="0"/>
    <x v="3"/>
    <x v="1"/>
    <x v="2"/>
    <x v="4"/>
    <n v="0.86"/>
    <x v="5"/>
    <n v="4"/>
    <n v="72"/>
    <n v="76"/>
  </r>
  <r>
    <n v="428"/>
    <x v="33"/>
    <x v="0"/>
    <x v="0"/>
    <x v="0"/>
    <x v="710"/>
    <x v="0"/>
    <x v="6"/>
    <x v="0"/>
    <x v="18"/>
    <x v="23"/>
    <n v="0.49"/>
    <x v="9"/>
    <n v="2"/>
    <n v="74"/>
    <n v="76"/>
  </r>
  <r>
    <n v="727"/>
    <x v="23"/>
    <x v="0"/>
    <x v="0"/>
    <x v="1"/>
    <x v="711"/>
    <x v="0"/>
    <x v="6"/>
    <x v="0"/>
    <x v="20"/>
    <x v="26"/>
    <n v="0.76"/>
    <x v="13"/>
    <n v="10"/>
    <n v="66"/>
    <n v="76"/>
  </r>
  <r>
    <n v="60"/>
    <x v="2"/>
    <x v="0"/>
    <x v="0"/>
    <x v="0"/>
    <x v="712"/>
    <x v="0"/>
    <x v="2"/>
    <x v="0"/>
    <x v="9"/>
    <x v="19"/>
    <n v="0.3"/>
    <x v="7"/>
    <n v="11"/>
    <n v="66"/>
    <n v="77"/>
  </r>
  <r>
    <n v="217"/>
    <x v="8"/>
    <x v="0"/>
    <x v="0"/>
    <x v="0"/>
    <x v="713"/>
    <x v="0"/>
    <x v="2"/>
    <x v="0"/>
    <x v="8"/>
    <x v="8"/>
    <n v="0.5"/>
    <x v="5"/>
    <n v="2"/>
    <n v="75"/>
    <n v="77"/>
  </r>
  <r>
    <n v="314"/>
    <x v="10"/>
    <x v="0"/>
    <x v="0"/>
    <x v="0"/>
    <x v="714"/>
    <x v="0"/>
    <x v="5"/>
    <x v="0"/>
    <x v="10"/>
    <x v="5"/>
    <n v="0.37"/>
    <x v="3"/>
    <n v="4"/>
    <n v="73"/>
    <n v="77"/>
  </r>
  <r>
    <n v="517"/>
    <x v="16"/>
    <x v="0"/>
    <x v="0"/>
    <x v="0"/>
    <x v="715"/>
    <x v="0"/>
    <x v="1"/>
    <x v="0"/>
    <x v="2"/>
    <x v="3"/>
    <n v="0.28000000000000003"/>
    <x v="12"/>
    <n v="13"/>
    <n v="64"/>
    <n v="77"/>
  </r>
  <r>
    <n v="658"/>
    <x v="21"/>
    <x v="0"/>
    <x v="0"/>
    <x v="0"/>
    <x v="716"/>
    <x v="0"/>
    <x v="1"/>
    <x v="0"/>
    <x v="22"/>
    <x v="0"/>
    <n v="0.56000000000000005"/>
    <x v="2"/>
    <n v="6"/>
    <n v="71"/>
    <n v="77"/>
  </r>
  <r>
    <n v="81"/>
    <x v="3"/>
    <x v="0"/>
    <x v="0"/>
    <x v="0"/>
    <x v="717"/>
    <x v="0"/>
    <x v="3"/>
    <x v="0"/>
    <x v="10"/>
    <x v="9"/>
    <n v="0.51"/>
    <x v="6"/>
    <n v="12"/>
    <n v="66"/>
    <n v="78"/>
  </r>
  <r>
    <n v="294"/>
    <x v="32"/>
    <x v="0"/>
    <x v="0"/>
    <x v="0"/>
    <x v="718"/>
    <x v="0"/>
    <x v="4"/>
    <x v="0"/>
    <x v="0"/>
    <x v="6"/>
    <n v="0.38"/>
    <x v="12"/>
    <n v="2"/>
    <n v="76"/>
    <n v="78"/>
  </r>
  <r>
    <n v="421"/>
    <x v="33"/>
    <x v="0"/>
    <x v="0"/>
    <x v="0"/>
    <x v="719"/>
    <x v="0"/>
    <x v="6"/>
    <x v="0"/>
    <x v="1"/>
    <x v="2"/>
    <n v="0.62"/>
    <x v="7"/>
    <n v="11"/>
    <n v="67"/>
    <n v="78"/>
  </r>
  <r>
    <n v="468"/>
    <x v="15"/>
    <x v="0"/>
    <x v="0"/>
    <x v="0"/>
    <x v="720"/>
    <x v="0"/>
    <x v="5"/>
    <x v="0"/>
    <x v="10"/>
    <x v="15"/>
    <n v="0.27"/>
    <x v="18"/>
    <n v="11"/>
    <n v="67"/>
    <n v="78"/>
  </r>
  <r>
    <n v="630"/>
    <x v="35"/>
    <x v="0"/>
    <x v="0"/>
    <x v="0"/>
    <x v="721"/>
    <x v="0"/>
    <x v="0"/>
    <x v="1"/>
    <x v="4"/>
    <x v="5"/>
    <n v="0.59"/>
    <x v="2"/>
    <n v="12"/>
    <n v="66"/>
    <n v="78"/>
  </r>
  <r>
    <n v="685"/>
    <x v="22"/>
    <x v="0"/>
    <x v="0"/>
    <x v="0"/>
    <x v="722"/>
    <x v="0"/>
    <x v="2"/>
    <x v="2"/>
    <x v="2"/>
    <x v="14"/>
    <n v="0.59"/>
    <x v="6"/>
    <n v="0"/>
    <n v="78"/>
    <n v="78"/>
  </r>
  <r>
    <n v="751"/>
    <x v="24"/>
    <x v="0"/>
    <x v="0"/>
    <x v="1"/>
    <x v="723"/>
    <x v="0"/>
    <x v="4"/>
    <x v="0"/>
    <x v="10"/>
    <x v="6"/>
    <n v="0.37"/>
    <x v="10"/>
    <n v="5"/>
    <n v="73"/>
    <n v="78"/>
  </r>
  <r>
    <n v="799"/>
    <x v="43"/>
    <x v="0"/>
    <x v="0"/>
    <x v="1"/>
    <x v="724"/>
    <x v="0"/>
    <x v="0"/>
    <x v="1"/>
    <x v="0"/>
    <x v="6"/>
    <n v="1"/>
    <x v="7"/>
    <n v="14"/>
    <n v="64"/>
    <n v="78"/>
  </r>
  <r>
    <n v="824"/>
    <x v="26"/>
    <x v="0"/>
    <x v="0"/>
    <x v="1"/>
    <x v="725"/>
    <x v="0"/>
    <x v="1"/>
    <x v="0"/>
    <x v="22"/>
    <x v="23"/>
    <n v="0.56000000000000005"/>
    <x v="6"/>
    <n v="13"/>
    <n v="65"/>
    <n v="78"/>
  </r>
  <r>
    <n v="851"/>
    <x v="27"/>
    <x v="0"/>
    <x v="0"/>
    <x v="1"/>
    <x v="726"/>
    <x v="0"/>
    <x v="2"/>
    <x v="0"/>
    <x v="18"/>
    <x v="27"/>
    <n v="0.7"/>
    <x v="0"/>
    <n v="3"/>
    <n v="75"/>
    <n v="78"/>
  </r>
  <r>
    <n v="104"/>
    <x v="31"/>
    <x v="0"/>
    <x v="0"/>
    <x v="0"/>
    <x v="727"/>
    <x v="0"/>
    <x v="6"/>
    <x v="0"/>
    <x v="9"/>
    <x v="9"/>
    <n v="0.33"/>
    <x v="13"/>
    <n v="5"/>
    <n v="74"/>
    <n v="79"/>
  </r>
  <r>
    <n v="359"/>
    <x v="12"/>
    <x v="0"/>
    <x v="0"/>
    <x v="0"/>
    <x v="728"/>
    <x v="0"/>
    <x v="1"/>
    <x v="0"/>
    <x v="10"/>
    <x v="6"/>
    <n v="0.51"/>
    <x v="7"/>
    <n v="8"/>
    <n v="71"/>
    <n v="79"/>
  </r>
  <r>
    <n v="591"/>
    <x v="44"/>
    <x v="0"/>
    <x v="0"/>
    <x v="0"/>
    <x v="729"/>
    <x v="0"/>
    <x v="4"/>
    <x v="0"/>
    <x v="4"/>
    <x v="9"/>
    <n v="0.69"/>
    <x v="1"/>
    <n v="3"/>
    <n v="76"/>
    <n v="79"/>
  </r>
  <r>
    <n v="893"/>
    <x v="37"/>
    <x v="0"/>
    <x v="0"/>
    <x v="1"/>
    <x v="730"/>
    <x v="0"/>
    <x v="6"/>
    <x v="1"/>
    <x v="4"/>
    <x v="5"/>
    <n v="0.37"/>
    <x v="10"/>
    <n v="7"/>
    <n v="72"/>
    <n v="79"/>
  </r>
  <r>
    <n v="385"/>
    <x v="13"/>
    <x v="0"/>
    <x v="0"/>
    <x v="0"/>
    <x v="731"/>
    <x v="1"/>
    <x v="2"/>
    <x v="1"/>
    <x v="5"/>
    <x v="5"/>
    <n v="0.47"/>
    <x v="4"/>
    <n v="10"/>
    <n v="70"/>
    <n v="80"/>
  </r>
  <r>
    <n v="611"/>
    <x v="20"/>
    <x v="0"/>
    <x v="0"/>
    <x v="0"/>
    <x v="732"/>
    <x v="0"/>
    <x v="5"/>
    <x v="0"/>
    <x v="10"/>
    <x v="16"/>
    <n v="0.8"/>
    <x v="0"/>
    <n v="10"/>
    <n v="70"/>
    <n v="80"/>
  </r>
  <r>
    <n v="916"/>
    <x v="29"/>
    <x v="0"/>
    <x v="0"/>
    <x v="1"/>
    <x v="733"/>
    <x v="0"/>
    <x v="4"/>
    <x v="0"/>
    <x v="4"/>
    <x v="15"/>
    <n v="0.27"/>
    <x v="9"/>
    <n v="4"/>
    <n v="76"/>
    <n v="80"/>
  </r>
  <r>
    <n v="263"/>
    <x v="9"/>
    <x v="0"/>
    <x v="0"/>
    <x v="0"/>
    <x v="734"/>
    <x v="0"/>
    <x v="6"/>
    <x v="0"/>
    <x v="2"/>
    <x v="3"/>
    <n v="0.59"/>
    <x v="13"/>
    <n v="3"/>
    <n v="78"/>
    <n v="81"/>
  </r>
  <r>
    <n v="446"/>
    <x v="14"/>
    <x v="0"/>
    <x v="0"/>
    <x v="0"/>
    <x v="735"/>
    <x v="0"/>
    <x v="4"/>
    <x v="1"/>
    <x v="22"/>
    <x v="23"/>
    <n v="0.45"/>
    <x v="4"/>
    <n v="6"/>
    <n v="75"/>
    <n v="81"/>
  </r>
  <r>
    <n v="545"/>
    <x v="17"/>
    <x v="0"/>
    <x v="0"/>
    <x v="0"/>
    <x v="736"/>
    <x v="0"/>
    <x v="2"/>
    <x v="0"/>
    <x v="3"/>
    <x v="3"/>
    <n v="0.59"/>
    <x v="2"/>
    <n v="1"/>
    <n v="80"/>
    <n v="81"/>
  </r>
  <r>
    <n v="201"/>
    <x v="7"/>
    <x v="0"/>
    <x v="0"/>
    <x v="0"/>
    <x v="737"/>
    <x v="0"/>
    <x v="1"/>
    <x v="0"/>
    <x v="10"/>
    <x v="5"/>
    <n v="0.35"/>
    <x v="12"/>
    <n v="5"/>
    <n v="77"/>
    <n v="82"/>
  </r>
  <r>
    <n v="389"/>
    <x v="13"/>
    <x v="0"/>
    <x v="0"/>
    <x v="0"/>
    <x v="738"/>
    <x v="1"/>
    <x v="2"/>
    <x v="1"/>
    <x v="4"/>
    <x v="6"/>
    <n v="0.47"/>
    <x v="6"/>
    <n v="6"/>
    <n v="76"/>
    <n v="82"/>
  </r>
  <r>
    <n v="423"/>
    <x v="33"/>
    <x v="0"/>
    <x v="0"/>
    <x v="0"/>
    <x v="739"/>
    <x v="0"/>
    <x v="6"/>
    <x v="0"/>
    <x v="1"/>
    <x v="2"/>
    <n v="0.54"/>
    <x v="7"/>
    <n v="4"/>
    <n v="78"/>
    <n v="82"/>
  </r>
  <r>
    <n v="771"/>
    <x v="25"/>
    <x v="0"/>
    <x v="0"/>
    <x v="1"/>
    <x v="740"/>
    <x v="0"/>
    <x v="5"/>
    <x v="1"/>
    <x v="9"/>
    <x v="1"/>
    <n v="0.5"/>
    <x v="5"/>
    <n v="9"/>
    <n v="73"/>
    <n v="82"/>
  </r>
  <r>
    <n v="85"/>
    <x v="3"/>
    <x v="0"/>
    <x v="0"/>
    <x v="0"/>
    <x v="741"/>
    <x v="0"/>
    <x v="3"/>
    <x v="0"/>
    <x v="22"/>
    <x v="0"/>
    <n v="0.49"/>
    <x v="10"/>
    <n v="15"/>
    <n v="68"/>
    <n v="83"/>
  </r>
  <r>
    <n v="198"/>
    <x v="7"/>
    <x v="0"/>
    <x v="0"/>
    <x v="0"/>
    <x v="742"/>
    <x v="0"/>
    <x v="1"/>
    <x v="0"/>
    <x v="5"/>
    <x v="3"/>
    <n v="0.37"/>
    <x v="16"/>
    <n v="4"/>
    <n v="79"/>
    <n v="83"/>
  </r>
  <r>
    <n v="273"/>
    <x v="9"/>
    <x v="0"/>
    <x v="0"/>
    <x v="0"/>
    <x v="743"/>
    <x v="0"/>
    <x v="6"/>
    <x v="0"/>
    <x v="5"/>
    <x v="4"/>
    <n v="0.47"/>
    <x v="11"/>
    <n v="1"/>
    <n v="82"/>
    <n v="83"/>
  </r>
  <r>
    <n v="291"/>
    <x v="32"/>
    <x v="0"/>
    <x v="0"/>
    <x v="0"/>
    <x v="744"/>
    <x v="0"/>
    <x v="4"/>
    <x v="0"/>
    <x v="10"/>
    <x v="5"/>
    <n v="0.41"/>
    <x v="16"/>
    <n v="2"/>
    <n v="81"/>
    <n v="83"/>
  </r>
  <r>
    <n v="342"/>
    <x v="11"/>
    <x v="0"/>
    <x v="0"/>
    <x v="0"/>
    <x v="745"/>
    <x v="0"/>
    <x v="0"/>
    <x v="1"/>
    <x v="18"/>
    <x v="23"/>
    <n v="0.36"/>
    <x v="7"/>
    <n v="29"/>
    <n v="54"/>
    <n v="83"/>
  </r>
  <r>
    <n v="405"/>
    <x v="41"/>
    <x v="0"/>
    <x v="0"/>
    <x v="0"/>
    <x v="746"/>
    <x v="0"/>
    <x v="3"/>
    <x v="1"/>
    <x v="10"/>
    <x v="16"/>
    <n v="0.87"/>
    <x v="0"/>
    <n v="0"/>
    <n v="83"/>
    <n v="83"/>
  </r>
  <r>
    <n v="495"/>
    <x v="34"/>
    <x v="0"/>
    <x v="0"/>
    <x v="0"/>
    <x v="747"/>
    <x v="0"/>
    <x v="0"/>
    <x v="0"/>
    <x v="8"/>
    <x v="3"/>
    <n v="0.28000000000000003"/>
    <x v="2"/>
    <n v="11"/>
    <n v="72"/>
    <n v="83"/>
  </r>
  <r>
    <n v="800"/>
    <x v="43"/>
    <x v="0"/>
    <x v="0"/>
    <x v="1"/>
    <x v="748"/>
    <x v="0"/>
    <x v="0"/>
    <x v="1"/>
    <x v="13"/>
    <x v="19"/>
    <n v="0.93"/>
    <x v="16"/>
    <n v="2"/>
    <n v="81"/>
    <n v="83"/>
  </r>
  <r>
    <n v="870"/>
    <x v="28"/>
    <x v="0"/>
    <x v="0"/>
    <x v="1"/>
    <x v="749"/>
    <x v="0"/>
    <x v="3"/>
    <x v="0"/>
    <x v="10"/>
    <x v="15"/>
    <n v="0.35"/>
    <x v="14"/>
    <n v="4"/>
    <n v="79"/>
    <n v="83"/>
  </r>
  <r>
    <n v="898"/>
    <x v="37"/>
    <x v="0"/>
    <x v="0"/>
    <x v="1"/>
    <x v="750"/>
    <x v="0"/>
    <x v="6"/>
    <x v="1"/>
    <x v="3"/>
    <x v="4"/>
    <n v="0.86"/>
    <x v="6"/>
    <n v="0"/>
    <n v="83"/>
    <n v="83"/>
  </r>
  <r>
    <n v="13"/>
    <x v="0"/>
    <x v="0"/>
    <x v="0"/>
    <x v="0"/>
    <x v="751"/>
    <x v="0"/>
    <x v="0"/>
    <x v="0"/>
    <x v="14"/>
    <x v="17"/>
    <n v="0.77"/>
    <x v="7"/>
    <n v="29"/>
    <n v="55"/>
    <n v="84"/>
  </r>
  <r>
    <n v="127"/>
    <x v="4"/>
    <x v="0"/>
    <x v="0"/>
    <x v="0"/>
    <x v="752"/>
    <x v="0"/>
    <x v="4"/>
    <x v="0"/>
    <x v="9"/>
    <x v="0"/>
    <n v="0.35"/>
    <x v="0"/>
    <n v="6"/>
    <n v="78"/>
    <n v="84"/>
  </r>
  <r>
    <n v="145"/>
    <x v="5"/>
    <x v="0"/>
    <x v="0"/>
    <x v="0"/>
    <x v="753"/>
    <x v="0"/>
    <x v="5"/>
    <x v="0"/>
    <x v="4"/>
    <x v="6"/>
    <n v="0.69"/>
    <x v="4"/>
    <n v="8"/>
    <n v="76"/>
    <n v="84"/>
  </r>
  <r>
    <n v="343"/>
    <x v="11"/>
    <x v="0"/>
    <x v="0"/>
    <x v="0"/>
    <x v="754"/>
    <x v="0"/>
    <x v="0"/>
    <x v="1"/>
    <x v="22"/>
    <x v="0"/>
    <n v="0.45"/>
    <x v="10"/>
    <n v="15"/>
    <n v="69"/>
    <n v="84"/>
  </r>
  <r>
    <n v="444"/>
    <x v="14"/>
    <x v="0"/>
    <x v="0"/>
    <x v="0"/>
    <x v="755"/>
    <x v="0"/>
    <x v="4"/>
    <x v="1"/>
    <x v="22"/>
    <x v="21"/>
    <n v="0.42"/>
    <x v="0"/>
    <n v="7"/>
    <n v="77"/>
    <n v="84"/>
  </r>
  <r>
    <n v="492"/>
    <x v="34"/>
    <x v="0"/>
    <x v="0"/>
    <x v="0"/>
    <x v="756"/>
    <x v="0"/>
    <x v="0"/>
    <x v="0"/>
    <x v="6"/>
    <x v="14"/>
    <n v="0.35"/>
    <x v="0"/>
    <n v="12"/>
    <n v="72"/>
    <n v="84"/>
  </r>
  <r>
    <n v="532"/>
    <x v="17"/>
    <x v="0"/>
    <x v="0"/>
    <x v="0"/>
    <x v="757"/>
    <x v="0"/>
    <x v="2"/>
    <x v="0"/>
    <x v="12"/>
    <x v="8"/>
    <n v="0.48"/>
    <x v="0"/>
    <n v="5"/>
    <n v="79"/>
    <n v="84"/>
  </r>
  <r>
    <n v="563"/>
    <x v="18"/>
    <x v="0"/>
    <x v="0"/>
    <x v="0"/>
    <x v="758"/>
    <x v="0"/>
    <x v="3"/>
    <x v="1"/>
    <x v="18"/>
    <x v="27"/>
    <n v="0.42"/>
    <x v="0"/>
    <n v="21"/>
    <n v="63"/>
    <n v="84"/>
  </r>
  <r>
    <n v="589"/>
    <x v="44"/>
    <x v="0"/>
    <x v="0"/>
    <x v="0"/>
    <x v="759"/>
    <x v="0"/>
    <x v="4"/>
    <x v="0"/>
    <x v="10"/>
    <x v="19"/>
    <n v="0.55000000000000004"/>
    <x v="8"/>
    <n v="2"/>
    <n v="82"/>
    <n v="84"/>
  </r>
  <r>
    <n v="654"/>
    <x v="21"/>
    <x v="0"/>
    <x v="0"/>
    <x v="0"/>
    <x v="760"/>
    <x v="0"/>
    <x v="1"/>
    <x v="0"/>
    <x v="13"/>
    <x v="0"/>
    <n v="0.61"/>
    <x v="8"/>
    <n v="13"/>
    <n v="71"/>
    <n v="84"/>
  </r>
  <r>
    <n v="801"/>
    <x v="43"/>
    <x v="0"/>
    <x v="0"/>
    <x v="1"/>
    <x v="761"/>
    <x v="0"/>
    <x v="0"/>
    <x v="1"/>
    <x v="13"/>
    <x v="19"/>
    <n v="0.93"/>
    <x v="16"/>
    <n v="6"/>
    <n v="78"/>
    <n v="84"/>
  </r>
  <r>
    <n v="897"/>
    <x v="37"/>
    <x v="0"/>
    <x v="0"/>
    <x v="1"/>
    <x v="762"/>
    <x v="0"/>
    <x v="6"/>
    <x v="2"/>
    <x v="3"/>
    <x v="4"/>
    <n v="0.86"/>
    <x v="6"/>
    <n v="0"/>
    <n v="84"/>
    <n v="84"/>
  </r>
  <r>
    <n v="936"/>
    <x v="42"/>
    <x v="0"/>
    <x v="0"/>
    <x v="1"/>
    <x v="763"/>
    <x v="0"/>
    <x v="5"/>
    <x v="0"/>
    <x v="22"/>
    <x v="0"/>
    <n v="0.26"/>
    <x v="10"/>
    <n v="17"/>
    <n v="67"/>
    <n v="84"/>
  </r>
  <r>
    <n v="956"/>
    <x v="30"/>
    <x v="0"/>
    <x v="0"/>
    <x v="1"/>
    <x v="764"/>
    <x v="0"/>
    <x v="0"/>
    <x v="0"/>
    <x v="10"/>
    <x v="6"/>
    <n v="0.41"/>
    <x v="10"/>
    <n v="13"/>
    <n v="71"/>
    <n v="84"/>
  </r>
  <r>
    <n v="131"/>
    <x v="4"/>
    <x v="0"/>
    <x v="0"/>
    <x v="0"/>
    <x v="765"/>
    <x v="0"/>
    <x v="4"/>
    <x v="0"/>
    <x v="9"/>
    <x v="1"/>
    <n v="0.38"/>
    <x v="6"/>
    <n v="12"/>
    <n v="74"/>
    <n v="86"/>
  </r>
  <r>
    <n v="387"/>
    <x v="13"/>
    <x v="0"/>
    <x v="0"/>
    <x v="0"/>
    <x v="766"/>
    <x v="1"/>
    <x v="2"/>
    <x v="1"/>
    <x v="5"/>
    <x v="6"/>
    <n v="0.43"/>
    <x v="8"/>
    <n v="12"/>
    <n v="74"/>
    <n v="86"/>
  </r>
  <r>
    <n v="679"/>
    <x v="22"/>
    <x v="0"/>
    <x v="0"/>
    <x v="0"/>
    <x v="767"/>
    <x v="0"/>
    <x v="2"/>
    <x v="1"/>
    <x v="5"/>
    <x v="5"/>
    <n v="0.55000000000000004"/>
    <x v="4"/>
    <n v="1"/>
    <n v="85"/>
    <n v="86"/>
  </r>
  <r>
    <n v="681"/>
    <x v="22"/>
    <x v="0"/>
    <x v="0"/>
    <x v="0"/>
    <x v="768"/>
    <x v="0"/>
    <x v="2"/>
    <x v="1"/>
    <x v="2"/>
    <x v="15"/>
    <n v="0.56000000000000005"/>
    <x v="2"/>
    <n v="3"/>
    <n v="83"/>
    <n v="86"/>
  </r>
  <r>
    <n v="770"/>
    <x v="25"/>
    <x v="0"/>
    <x v="0"/>
    <x v="1"/>
    <x v="769"/>
    <x v="0"/>
    <x v="5"/>
    <x v="1"/>
    <x v="0"/>
    <x v="19"/>
    <n v="0.48"/>
    <x v="6"/>
    <n v="8"/>
    <n v="78"/>
    <n v="86"/>
  </r>
  <r>
    <n v="154"/>
    <x v="5"/>
    <x v="0"/>
    <x v="0"/>
    <x v="0"/>
    <x v="770"/>
    <x v="0"/>
    <x v="5"/>
    <x v="1"/>
    <x v="4"/>
    <x v="6"/>
    <n v="0.37"/>
    <x v="6"/>
    <n v="5"/>
    <n v="82"/>
    <n v="87"/>
  </r>
  <r>
    <n v="515"/>
    <x v="16"/>
    <x v="0"/>
    <x v="0"/>
    <x v="0"/>
    <x v="771"/>
    <x v="0"/>
    <x v="1"/>
    <x v="0"/>
    <x v="3"/>
    <x v="20"/>
    <n v="0.33"/>
    <x v="3"/>
    <n v="12"/>
    <n v="75"/>
    <n v="87"/>
  </r>
  <r>
    <n v="742"/>
    <x v="24"/>
    <x v="0"/>
    <x v="0"/>
    <x v="1"/>
    <x v="772"/>
    <x v="0"/>
    <x v="4"/>
    <x v="0"/>
    <x v="3"/>
    <x v="8"/>
    <n v="0.5"/>
    <x v="13"/>
    <n v="1"/>
    <n v="86"/>
    <n v="87"/>
  </r>
  <r>
    <n v="765"/>
    <x v="25"/>
    <x v="0"/>
    <x v="0"/>
    <x v="1"/>
    <x v="773"/>
    <x v="0"/>
    <x v="5"/>
    <x v="0"/>
    <x v="3"/>
    <x v="6"/>
    <n v="0.59"/>
    <x v="0"/>
    <n v="0"/>
    <n v="87"/>
    <n v="87"/>
  </r>
  <r>
    <n v="55"/>
    <x v="2"/>
    <x v="0"/>
    <x v="0"/>
    <x v="0"/>
    <x v="774"/>
    <x v="0"/>
    <x v="2"/>
    <x v="0"/>
    <x v="2"/>
    <x v="3"/>
    <n v="0.43"/>
    <x v="3"/>
    <n v="7"/>
    <n v="81"/>
    <n v="88"/>
  </r>
  <r>
    <n v="99"/>
    <x v="31"/>
    <x v="0"/>
    <x v="0"/>
    <x v="0"/>
    <x v="775"/>
    <x v="0"/>
    <x v="6"/>
    <x v="0"/>
    <x v="5"/>
    <x v="15"/>
    <n v="0.43"/>
    <x v="2"/>
    <n v="1"/>
    <n v="87"/>
    <n v="88"/>
  </r>
  <r>
    <n v="850"/>
    <x v="27"/>
    <x v="0"/>
    <x v="0"/>
    <x v="1"/>
    <x v="776"/>
    <x v="0"/>
    <x v="2"/>
    <x v="1"/>
    <x v="18"/>
    <x v="21"/>
    <n v="0.7"/>
    <x v="8"/>
    <n v="6"/>
    <n v="82"/>
    <n v="88"/>
  </r>
  <r>
    <n v="896"/>
    <x v="37"/>
    <x v="0"/>
    <x v="0"/>
    <x v="1"/>
    <x v="777"/>
    <x v="0"/>
    <x v="6"/>
    <x v="2"/>
    <x v="3"/>
    <x v="8"/>
    <n v="0.86"/>
    <x v="10"/>
    <n v="1"/>
    <n v="87"/>
    <n v="88"/>
  </r>
  <r>
    <n v="108"/>
    <x v="31"/>
    <x v="0"/>
    <x v="0"/>
    <x v="0"/>
    <x v="778"/>
    <x v="0"/>
    <x v="6"/>
    <x v="0"/>
    <x v="22"/>
    <x v="22"/>
    <n v="0.28000000000000003"/>
    <x v="1"/>
    <n v="4"/>
    <n v="85"/>
    <n v="89"/>
  </r>
  <r>
    <n v="112"/>
    <x v="31"/>
    <x v="0"/>
    <x v="0"/>
    <x v="0"/>
    <x v="779"/>
    <x v="0"/>
    <x v="6"/>
    <x v="0"/>
    <x v="10"/>
    <x v="9"/>
    <n v="0.47"/>
    <x v="6"/>
    <n v="7"/>
    <n v="82"/>
    <n v="89"/>
  </r>
  <r>
    <n v="337"/>
    <x v="11"/>
    <x v="0"/>
    <x v="0"/>
    <x v="0"/>
    <x v="780"/>
    <x v="0"/>
    <x v="0"/>
    <x v="0"/>
    <x v="0"/>
    <x v="9"/>
    <n v="0.48"/>
    <x v="5"/>
    <n v="15"/>
    <n v="74"/>
    <n v="89"/>
  </r>
  <r>
    <n v="614"/>
    <x v="20"/>
    <x v="0"/>
    <x v="0"/>
    <x v="0"/>
    <x v="781"/>
    <x v="0"/>
    <x v="5"/>
    <x v="1"/>
    <x v="0"/>
    <x v="19"/>
    <n v="0.75"/>
    <x v="4"/>
    <n v="5"/>
    <n v="84"/>
    <n v="89"/>
  </r>
  <r>
    <n v="816"/>
    <x v="26"/>
    <x v="0"/>
    <x v="0"/>
    <x v="1"/>
    <x v="782"/>
    <x v="0"/>
    <x v="1"/>
    <x v="0"/>
    <x v="22"/>
    <x v="0"/>
    <n v="0.52"/>
    <x v="10"/>
    <n v="15"/>
    <n v="74"/>
    <n v="89"/>
  </r>
  <r>
    <n v="317"/>
    <x v="10"/>
    <x v="0"/>
    <x v="0"/>
    <x v="0"/>
    <x v="783"/>
    <x v="0"/>
    <x v="5"/>
    <x v="0"/>
    <x v="10"/>
    <x v="19"/>
    <n v="0.41"/>
    <x v="8"/>
    <n v="3"/>
    <n v="87"/>
    <n v="90"/>
  </r>
  <r>
    <n v="415"/>
    <x v="33"/>
    <x v="0"/>
    <x v="0"/>
    <x v="0"/>
    <x v="784"/>
    <x v="0"/>
    <x v="6"/>
    <x v="1"/>
    <x v="0"/>
    <x v="1"/>
    <n v="0.92"/>
    <x v="8"/>
    <n v="1"/>
    <n v="89"/>
    <n v="90"/>
  </r>
  <r>
    <n v="773"/>
    <x v="25"/>
    <x v="0"/>
    <x v="0"/>
    <x v="1"/>
    <x v="785"/>
    <x v="0"/>
    <x v="5"/>
    <x v="1"/>
    <x v="13"/>
    <x v="16"/>
    <n v="0.48"/>
    <x v="10"/>
    <n v="9"/>
    <n v="81"/>
    <n v="90"/>
  </r>
  <r>
    <n v="363"/>
    <x v="12"/>
    <x v="0"/>
    <x v="0"/>
    <x v="0"/>
    <x v="786"/>
    <x v="0"/>
    <x v="1"/>
    <x v="0"/>
    <x v="13"/>
    <x v="16"/>
    <n v="0.36"/>
    <x v="10"/>
    <n v="22"/>
    <n v="69"/>
    <n v="91"/>
  </r>
  <r>
    <n v="448"/>
    <x v="14"/>
    <x v="0"/>
    <x v="0"/>
    <x v="0"/>
    <x v="787"/>
    <x v="0"/>
    <x v="4"/>
    <x v="1"/>
    <x v="22"/>
    <x v="23"/>
    <n v="0.49"/>
    <x v="4"/>
    <n v="8"/>
    <n v="83"/>
    <n v="91"/>
  </r>
  <r>
    <n v="635"/>
    <x v="35"/>
    <x v="0"/>
    <x v="0"/>
    <x v="0"/>
    <x v="788"/>
    <x v="0"/>
    <x v="0"/>
    <x v="0"/>
    <x v="0"/>
    <x v="0"/>
    <n v="0.6"/>
    <x v="0"/>
    <n v="9"/>
    <n v="82"/>
    <n v="91"/>
  </r>
  <r>
    <n v="731"/>
    <x v="23"/>
    <x v="0"/>
    <x v="0"/>
    <x v="1"/>
    <x v="789"/>
    <x v="0"/>
    <x v="6"/>
    <x v="0"/>
    <x v="13"/>
    <x v="19"/>
    <n v="0.45"/>
    <x v="19"/>
    <n v="3"/>
    <n v="88"/>
    <n v="91"/>
  </r>
  <r>
    <n v="772"/>
    <x v="25"/>
    <x v="0"/>
    <x v="0"/>
    <x v="1"/>
    <x v="790"/>
    <x v="0"/>
    <x v="5"/>
    <x v="1"/>
    <x v="13"/>
    <x v="16"/>
    <n v="0.45"/>
    <x v="6"/>
    <n v="15"/>
    <n v="76"/>
    <n v="91"/>
  </r>
  <r>
    <n v="202"/>
    <x v="7"/>
    <x v="0"/>
    <x v="0"/>
    <x v="0"/>
    <x v="791"/>
    <x v="0"/>
    <x v="1"/>
    <x v="0"/>
    <x v="4"/>
    <x v="14"/>
    <n v="0.34"/>
    <x v="16"/>
    <n v="13"/>
    <n v="79"/>
    <n v="92"/>
  </r>
  <r>
    <n v="320"/>
    <x v="10"/>
    <x v="0"/>
    <x v="0"/>
    <x v="0"/>
    <x v="792"/>
    <x v="0"/>
    <x v="5"/>
    <x v="0"/>
    <x v="2"/>
    <x v="5"/>
    <n v="0.59"/>
    <x v="1"/>
    <n v="3"/>
    <n v="89"/>
    <n v="92"/>
  </r>
  <r>
    <n v="391"/>
    <x v="13"/>
    <x v="0"/>
    <x v="0"/>
    <x v="0"/>
    <x v="793"/>
    <x v="1"/>
    <x v="2"/>
    <x v="1"/>
    <x v="5"/>
    <x v="14"/>
    <n v="0.55000000000000004"/>
    <x v="10"/>
    <n v="7"/>
    <n v="85"/>
    <n v="92"/>
  </r>
  <r>
    <n v="17"/>
    <x v="0"/>
    <x v="0"/>
    <x v="0"/>
    <x v="0"/>
    <x v="794"/>
    <x v="0"/>
    <x v="0"/>
    <x v="1"/>
    <x v="14"/>
    <x v="17"/>
    <n v="0.82"/>
    <x v="9"/>
    <n v="41"/>
    <n v="52"/>
    <n v="93"/>
  </r>
  <r>
    <n v="36"/>
    <x v="1"/>
    <x v="0"/>
    <x v="0"/>
    <x v="0"/>
    <x v="795"/>
    <x v="0"/>
    <x v="1"/>
    <x v="1"/>
    <x v="16"/>
    <x v="21"/>
    <n v="0.66"/>
    <x v="9"/>
    <n v="20"/>
    <n v="73"/>
    <n v="93"/>
  </r>
  <r>
    <n v="360"/>
    <x v="12"/>
    <x v="0"/>
    <x v="0"/>
    <x v="0"/>
    <x v="796"/>
    <x v="0"/>
    <x v="1"/>
    <x v="0"/>
    <x v="0"/>
    <x v="9"/>
    <n v="0.44"/>
    <x v="10"/>
    <n v="23"/>
    <n v="70"/>
    <n v="93"/>
  </r>
  <r>
    <n v="386"/>
    <x v="13"/>
    <x v="0"/>
    <x v="0"/>
    <x v="0"/>
    <x v="797"/>
    <x v="1"/>
    <x v="2"/>
    <x v="1"/>
    <x v="5"/>
    <x v="5"/>
    <n v="0.47"/>
    <x v="4"/>
    <n v="13"/>
    <n v="80"/>
    <n v="93"/>
  </r>
  <r>
    <n v="388"/>
    <x v="13"/>
    <x v="0"/>
    <x v="0"/>
    <x v="0"/>
    <x v="798"/>
    <x v="1"/>
    <x v="2"/>
    <x v="1"/>
    <x v="4"/>
    <x v="6"/>
    <n v="0.47"/>
    <x v="6"/>
    <n v="21"/>
    <n v="72"/>
    <n v="93"/>
  </r>
  <r>
    <n v="561"/>
    <x v="18"/>
    <x v="0"/>
    <x v="0"/>
    <x v="0"/>
    <x v="799"/>
    <x v="0"/>
    <x v="3"/>
    <x v="1"/>
    <x v="9"/>
    <x v="16"/>
    <n v="0.56000000000000005"/>
    <x v="4"/>
    <n v="21"/>
    <n v="72"/>
    <n v="93"/>
  </r>
  <r>
    <n v="14"/>
    <x v="0"/>
    <x v="0"/>
    <x v="0"/>
    <x v="0"/>
    <x v="800"/>
    <x v="0"/>
    <x v="0"/>
    <x v="1"/>
    <x v="19"/>
    <x v="25"/>
    <n v="0.72"/>
    <x v="9"/>
    <n v="47"/>
    <n v="47"/>
    <n v="94"/>
  </r>
  <r>
    <n v="76"/>
    <x v="3"/>
    <x v="0"/>
    <x v="0"/>
    <x v="0"/>
    <x v="801"/>
    <x v="0"/>
    <x v="3"/>
    <x v="0"/>
    <x v="8"/>
    <x v="4"/>
    <n v="0.74"/>
    <x v="4"/>
    <n v="2"/>
    <n v="92"/>
    <n v="94"/>
  </r>
  <r>
    <n v="219"/>
    <x v="8"/>
    <x v="0"/>
    <x v="0"/>
    <x v="0"/>
    <x v="802"/>
    <x v="0"/>
    <x v="2"/>
    <x v="1"/>
    <x v="3"/>
    <x v="8"/>
    <n v="0.5"/>
    <x v="10"/>
    <n v="2"/>
    <n v="92"/>
    <n v="94"/>
  </r>
  <r>
    <n v="122"/>
    <x v="4"/>
    <x v="0"/>
    <x v="0"/>
    <x v="0"/>
    <x v="803"/>
    <x v="0"/>
    <x v="4"/>
    <x v="1"/>
    <x v="2"/>
    <x v="9"/>
    <n v="0.59"/>
    <x v="0"/>
    <n v="0"/>
    <n v="95"/>
    <n v="95"/>
  </r>
  <r>
    <n v="157"/>
    <x v="5"/>
    <x v="0"/>
    <x v="0"/>
    <x v="0"/>
    <x v="804"/>
    <x v="0"/>
    <x v="5"/>
    <x v="0"/>
    <x v="2"/>
    <x v="5"/>
    <n v="0.55000000000000004"/>
    <x v="1"/>
    <n v="3"/>
    <n v="92"/>
    <n v="95"/>
  </r>
  <r>
    <n v="176"/>
    <x v="6"/>
    <x v="0"/>
    <x v="0"/>
    <x v="0"/>
    <x v="805"/>
    <x v="0"/>
    <x v="0"/>
    <x v="0"/>
    <x v="4"/>
    <x v="14"/>
    <n v="0.32"/>
    <x v="19"/>
    <n v="12"/>
    <n v="83"/>
    <n v="95"/>
  </r>
  <r>
    <n v="229"/>
    <x v="8"/>
    <x v="0"/>
    <x v="0"/>
    <x v="0"/>
    <x v="806"/>
    <x v="0"/>
    <x v="2"/>
    <x v="0"/>
    <x v="2"/>
    <x v="14"/>
    <n v="0.47"/>
    <x v="6"/>
    <n v="3"/>
    <n v="92"/>
    <n v="95"/>
  </r>
  <r>
    <n v="250"/>
    <x v="40"/>
    <x v="0"/>
    <x v="0"/>
    <x v="0"/>
    <x v="807"/>
    <x v="0"/>
    <x v="3"/>
    <x v="2"/>
    <x v="2"/>
    <x v="15"/>
    <n v="0.93"/>
    <x v="8"/>
    <n v="1"/>
    <n v="94"/>
    <n v="95"/>
  </r>
  <r>
    <n v="837"/>
    <x v="27"/>
    <x v="0"/>
    <x v="0"/>
    <x v="1"/>
    <x v="808"/>
    <x v="0"/>
    <x v="2"/>
    <x v="0"/>
    <x v="5"/>
    <x v="19"/>
    <n v="0.86"/>
    <x v="0"/>
    <n v="6"/>
    <n v="89"/>
    <n v="95"/>
  </r>
  <r>
    <n v="987"/>
    <x v="38"/>
    <x v="0"/>
    <x v="0"/>
    <x v="1"/>
    <x v="809"/>
    <x v="0"/>
    <x v="1"/>
    <x v="0"/>
    <x v="1"/>
    <x v="2"/>
    <n v="0.32"/>
    <x v="9"/>
    <n v="17"/>
    <n v="78"/>
    <n v="95"/>
  </r>
  <r>
    <n v="475"/>
    <x v="15"/>
    <x v="0"/>
    <x v="0"/>
    <x v="0"/>
    <x v="810"/>
    <x v="0"/>
    <x v="5"/>
    <x v="0"/>
    <x v="8"/>
    <x v="20"/>
    <n v="0.3"/>
    <x v="13"/>
    <n v="3"/>
    <n v="93"/>
    <n v="96"/>
  </r>
  <r>
    <n v="754"/>
    <x v="24"/>
    <x v="0"/>
    <x v="0"/>
    <x v="1"/>
    <x v="811"/>
    <x v="0"/>
    <x v="4"/>
    <x v="0"/>
    <x v="4"/>
    <x v="1"/>
    <n v="0.4"/>
    <x v="0"/>
    <n v="4"/>
    <n v="92"/>
    <n v="96"/>
  </r>
  <r>
    <n v="82"/>
    <x v="3"/>
    <x v="0"/>
    <x v="0"/>
    <x v="0"/>
    <x v="812"/>
    <x v="0"/>
    <x v="3"/>
    <x v="0"/>
    <x v="0"/>
    <x v="9"/>
    <n v="0.56000000000000005"/>
    <x v="2"/>
    <n v="18"/>
    <n v="79"/>
    <n v="97"/>
  </r>
  <r>
    <n v="472"/>
    <x v="15"/>
    <x v="0"/>
    <x v="0"/>
    <x v="0"/>
    <x v="813"/>
    <x v="0"/>
    <x v="5"/>
    <x v="0"/>
    <x v="2"/>
    <x v="3"/>
    <n v="0.26"/>
    <x v="12"/>
    <n v="0"/>
    <n v="97"/>
    <n v="97"/>
  </r>
  <r>
    <n v="653"/>
    <x v="21"/>
    <x v="0"/>
    <x v="0"/>
    <x v="0"/>
    <x v="814"/>
    <x v="0"/>
    <x v="1"/>
    <x v="0"/>
    <x v="22"/>
    <x v="22"/>
    <n v="0.52"/>
    <x v="8"/>
    <n v="10"/>
    <n v="87"/>
    <n v="97"/>
  </r>
  <r>
    <n v="920"/>
    <x v="29"/>
    <x v="0"/>
    <x v="0"/>
    <x v="1"/>
    <x v="815"/>
    <x v="0"/>
    <x v="4"/>
    <x v="0"/>
    <x v="3"/>
    <x v="15"/>
    <n v="0.31"/>
    <x v="1"/>
    <n v="4"/>
    <n v="93"/>
    <n v="97"/>
  </r>
  <r>
    <n v="174"/>
    <x v="6"/>
    <x v="0"/>
    <x v="0"/>
    <x v="0"/>
    <x v="816"/>
    <x v="0"/>
    <x v="0"/>
    <x v="1"/>
    <x v="4"/>
    <x v="15"/>
    <n v="0.59"/>
    <x v="12"/>
    <n v="8"/>
    <n v="90"/>
    <n v="98"/>
  </r>
  <r>
    <n v="445"/>
    <x v="14"/>
    <x v="0"/>
    <x v="0"/>
    <x v="0"/>
    <x v="817"/>
    <x v="0"/>
    <x v="4"/>
    <x v="1"/>
    <x v="13"/>
    <x v="0"/>
    <n v="0.45"/>
    <x v="8"/>
    <n v="12"/>
    <n v="86"/>
    <n v="98"/>
  </r>
  <r>
    <n v="1000"/>
    <x v="39"/>
    <x v="0"/>
    <x v="0"/>
    <x v="1"/>
    <x v="818"/>
    <x v="0"/>
    <x v="2"/>
    <x v="0"/>
    <x v="17"/>
    <x v="23"/>
    <n v="0.46"/>
    <x v="9"/>
    <n v="2"/>
    <n v="96"/>
    <n v="98"/>
  </r>
  <r>
    <n v="239"/>
    <x v="40"/>
    <x v="0"/>
    <x v="0"/>
    <x v="0"/>
    <x v="819"/>
    <x v="0"/>
    <x v="3"/>
    <x v="1"/>
    <x v="2"/>
    <x v="9"/>
    <n v="0.55000000000000004"/>
    <x v="0"/>
    <n v="2"/>
    <n v="97"/>
    <n v="99"/>
  </r>
  <r>
    <n v="297"/>
    <x v="32"/>
    <x v="0"/>
    <x v="0"/>
    <x v="0"/>
    <x v="820"/>
    <x v="0"/>
    <x v="4"/>
    <x v="0"/>
    <x v="2"/>
    <x v="4"/>
    <n v="0.47"/>
    <x v="10"/>
    <n v="1"/>
    <n v="98"/>
    <n v="99"/>
  </r>
  <r>
    <n v="365"/>
    <x v="12"/>
    <x v="0"/>
    <x v="0"/>
    <x v="0"/>
    <x v="821"/>
    <x v="0"/>
    <x v="1"/>
    <x v="0"/>
    <x v="0"/>
    <x v="9"/>
    <n v="0.38"/>
    <x v="5"/>
    <n v="22"/>
    <n v="77"/>
    <n v="99"/>
  </r>
  <r>
    <n v="404"/>
    <x v="41"/>
    <x v="0"/>
    <x v="0"/>
    <x v="0"/>
    <x v="822"/>
    <x v="0"/>
    <x v="3"/>
    <x v="1"/>
    <x v="10"/>
    <x v="9"/>
    <n v="0.8"/>
    <x v="4"/>
    <n v="1"/>
    <n v="98"/>
    <n v="99"/>
  </r>
  <r>
    <n v="513"/>
    <x v="16"/>
    <x v="0"/>
    <x v="0"/>
    <x v="0"/>
    <x v="823"/>
    <x v="0"/>
    <x v="1"/>
    <x v="0"/>
    <x v="3"/>
    <x v="3"/>
    <n v="0.43"/>
    <x v="5"/>
    <n v="22"/>
    <n v="77"/>
    <n v="99"/>
  </r>
  <r>
    <n v="632"/>
    <x v="35"/>
    <x v="0"/>
    <x v="0"/>
    <x v="0"/>
    <x v="824"/>
    <x v="0"/>
    <x v="0"/>
    <x v="1"/>
    <x v="10"/>
    <x v="9"/>
    <n v="0.6"/>
    <x v="4"/>
    <n v="10"/>
    <n v="89"/>
    <n v="99"/>
  </r>
  <r>
    <n v="774"/>
    <x v="25"/>
    <x v="0"/>
    <x v="0"/>
    <x v="1"/>
    <x v="825"/>
    <x v="0"/>
    <x v="5"/>
    <x v="1"/>
    <x v="22"/>
    <x v="0"/>
    <n v="0.42"/>
    <x v="5"/>
    <n v="8"/>
    <n v="91"/>
    <n v="99"/>
  </r>
  <r>
    <n v="884"/>
    <x v="37"/>
    <x v="0"/>
    <x v="0"/>
    <x v="1"/>
    <x v="826"/>
    <x v="0"/>
    <x v="6"/>
    <x v="0"/>
    <x v="15"/>
    <x v="20"/>
    <n v="0.49"/>
    <x v="8"/>
    <n v="4"/>
    <n v="95"/>
    <n v="99"/>
  </r>
  <r>
    <n v="907"/>
    <x v="29"/>
    <x v="0"/>
    <x v="0"/>
    <x v="1"/>
    <x v="827"/>
    <x v="0"/>
    <x v="4"/>
    <x v="0"/>
    <x v="7"/>
    <x v="10"/>
    <n v="0.5"/>
    <x v="11"/>
    <n v="0"/>
    <n v="99"/>
    <n v="99"/>
  </r>
  <r>
    <n v="78"/>
    <x v="3"/>
    <x v="0"/>
    <x v="0"/>
    <x v="0"/>
    <x v="828"/>
    <x v="0"/>
    <x v="3"/>
    <x v="0"/>
    <x v="2"/>
    <x v="4"/>
    <n v="0.64"/>
    <x v="5"/>
    <n v="2"/>
    <n v="98"/>
    <n v="100"/>
  </r>
  <r>
    <n v="861"/>
    <x v="28"/>
    <x v="0"/>
    <x v="0"/>
    <x v="1"/>
    <x v="829"/>
    <x v="0"/>
    <x v="3"/>
    <x v="0"/>
    <x v="0"/>
    <x v="5"/>
    <n v="0.65"/>
    <x v="11"/>
    <n v="3"/>
    <n v="97"/>
    <n v="100"/>
  </r>
  <r>
    <n v="338"/>
    <x v="11"/>
    <x v="0"/>
    <x v="0"/>
    <x v="0"/>
    <x v="830"/>
    <x v="0"/>
    <x v="0"/>
    <x v="0"/>
    <x v="13"/>
    <x v="1"/>
    <n v="0.38"/>
    <x v="9"/>
    <n v="21"/>
    <n v="80"/>
    <n v="101"/>
  </r>
  <r>
    <n v="439"/>
    <x v="14"/>
    <x v="0"/>
    <x v="0"/>
    <x v="0"/>
    <x v="831"/>
    <x v="0"/>
    <x v="4"/>
    <x v="0"/>
    <x v="10"/>
    <x v="6"/>
    <n v="0.55000000000000004"/>
    <x v="5"/>
    <n v="1"/>
    <n v="100"/>
    <n v="101"/>
  </r>
  <r>
    <n v="604"/>
    <x v="20"/>
    <x v="0"/>
    <x v="0"/>
    <x v="0"/>
    <x v="832"/>
    <x v="0"/>
    <x v="5"/>
    <x v="2"/>
    <x v="5"/>
    <x v="6"/>
    <n v="0.86"/>
    <x v="1"/>
    <n v="6"/>
    <n v="95"/>
    <n v="101"/>
  </r>
  <r>
    <n v="873"/>
    <x v="28"/>
    <x v="0"/>
    <x v="0"/>
    <x v="1"/>
    <x v="833"/>
    <x v="0"/>
    <x v="3"/>
    <x v="0"/>
    <x v="2"/>
    <x v="8"/>
    <n v="0.4"/>
    <x v="15"/>
    <n v="1"/>
    <n v="100"/>
    <n v="101"/>
  </r>
  <r>
    <n v="941"/>
    <x v="42"/>
    <x v="0"/>
    <x v="0"/>
    <x v="1"/>
    <x v="834"/>
    <x v="0"/>
    <x v="5"/>
    <x v="0"/>
    <x v="9"/>
    <x v="23"/>
    <n v="0.33"/>
    <x v="0"/>
    <n v="7"/>
    <n v="94"/>
    <n v="101"/>
  </r>
  <r>
    <n v="175"/>
    <x v="6"/>
    <x v="0"/>
    <x v="0"/>
    <x v="0"/>
    <x v="835"/>
    <x v="0"/>
    <x v="0"/>
    <x v="0"/>
    <x v="4"/>
    <x v="15"/>
    <n v="0.44"/>
    <x v="13"/>
    <n v="7"/>
    <n v="95"/>
    <n v="102"/>
  </r>
  <r>
    <n v="534"/>
    <x v="17"/>
    <x v="0"/>
    <x v="0"/>
    <x v="0"/>
    <x v="836"/>
    <x v="0"/>
    <x v="2"/>
    <x v="0"/>
    <x v="15"/>
    <x v="4"/>
    <n v="0.41"/>
    <x v="0"/>
    <n v="4"/>
    <n v="98"/>
    <n v="102"/>
  </r>
  <r>
    <n v="494"/>
    <x v="34"/>
    <x v="0"/>
    <x v="0"/>
    <x v="0"/>
    <x v="837"/>
    <x v="0"/>
    <x v="0"/>
    <x v="0"/>
    <x v="8"/>
    <x v="4"/>
    <n v="0.28000000000000003"/>
    <x v="0"/>
    <n v="10"/>
    <n v="93"/>
    <n v="103"/>
  </r>
  <r>
    <n v="728"/>
    <x v="23"/>
    <x v="0"/>
    <x v="0"/>
    <x v="1"/>
    <x v="838"/>
    <x v="0"/>
    <x v="6"/>
    <x v="0"/>
    <x v="16"/>
    <x v="21"/>
    <n v="0.71"/>
    <x v="9"/>
    <n v="8"/>
    <n v="95"/>
    <n v="103"/>
  </r>
  <r>
    <n v="777"/>
    <x v="25"/>
    <x v="0"/>
    <x v="0"/>
    <x v="1"/>
    <x v="839"/>
    <x v="0"/>
    <x v="5"/>
    <x v="1"/>
    <x v="0"/>
    <x v="19"/>
    <n v="0.65"/>
    <x v="4"/>
    <n v="1"/>
    <n v="102"/>
    <n v="103"/>
  </r>
  <r>
    <n v="361"/>
    <x v="12"/>
    <x v="0"/>
    <x v="0"/>
    <x v="0"/>
    <x v="840"/>
    <x v="0"/>
    <x v="1"/>
    <x v="0"/>
    <x v="0"/>
    <x v="6"/>
    <n v="0.41"/>
    <x v="7"/>
    <n v="29"/>
    <n v="75"/>
    <n v="104"/>
  </r>
  <r>
    <n v="424"/>
    <x v="33"/>
    <x v="0"/>
    <x v="0"/>
    <x v="0"/>
    <x v="841"/>
    <x v="0"/>
    <x v="6"/>
    <x v="0"/>
    <x v="20"/>
    <x v="26"/>
    <n v="0.57999999999999996"/>
    <x v="3"/>
    <n v="10"/>
    <n v="94"/>
    <n v="104"/>
  </r>
  <r>
    <n v="590"/>
    <x v="44"/>
    <x v="0"/>
    <x v="0"/>
    <x v="0"/>
    <x v="842"/>
    <x v="0"/>
    <x v="4"/>
    <x v="0"/>
    <x v="4"/>
    <x v="9"/>
    <n v="0.69"/>
    <x v="1"/>
    <n v="3"/>
    <n v="101"/>
    <n v="104"/>
  </r>
  <r>
    <n v="366"/>
    <x v="12"/>
    <x v="0"/>
    <x v="0"/>
    <x v="0"/>
    <x v="843"/>
    <x v="0"/>
    <x v="1"/>
    <x v="0"/>
    <x v="10"/>
    <x v="6"/>
    <n v="0.37"/>
    <x v="10"/>
    <n v="23"/>
    <n v="82"/>
    <n v="105"/>
  </r>
  <r>
    <n v="979"/>
    <x v="38"/>
    <x v="0"/>
    <x v="0"/>
    <x v="1"/>
    <x v="844"/>
    <x v="0"/>
    <x v="1"/>
    <x v="0"/>
    <x v="22"/>
    <x v="16"/>
    <n v="0.45"/>
    <x v="13"/>
    <n v="19"/>
    <n v="86"/>
    <n v="105"/>
  </r>
  <r>
    <n v="15"/>
    <x v="0"/>
    <x v="0"/>
    <x v="0"/>
    <x v="0"/>
    <x v="845"/>
    <x v="0"/>
    <x v="0"/>
    <x v="1"/>
    <x v="19"/>
    <x v="25"/>
    <n v="0.72"/>
    <x v="7"/>
    <n v="35"/>
    <n v="71"/>
    <n v="106"/>
  </r>
  <r>
    <n v="544"/>
    <x v="17"/>
    <x v="0"/>
    <x v="0"/>
    <x v="0"/>
    <x v="846"/>
    <x v="0"/>
    <x v="2"/>
    <x v="0"/>
    <x v="3"/>
    <x v="4"/>
    <n v="0.54"/>
    <x v="6"/>
    <n v="5"/>
    <n v="101"/>
    <n v="106"/>
  </r>
  <r>
    <n v="560"/>
    <x v="18"/>
    <x v="0"/>
    <x v="0"/>
    <x v="0"/>
    <x v="847"/>
    <x v="0"/>
    <x v="3"/>
    <x v="1"/>
    <x v="9"/>
    <x v="0"/>
    <n v="0.56000000000000005"/>
    <x v="1"/>
    <n v="21"/>
    <n v="85"/>
    <n v="106"/>
  </r>
  <r>
    <n v="634"/>
    <x v="35"/>
    <x v="0"/>
    <x v="0"/>
    <x v="0"/>
    <x v="848"/>
    <x v="0"/>
    <x v="0"/>
    <x v="0"/>
    <x v="0"/>
    <x v="19"/>
    <n v="0.6"/>
    <x v="6"/>
    <n v="19"/>
    <n v="88"/>
    <n v="107"/>
  </r>
  <r>
    <n v="555"/>
    <x v="18"/>
    <x v="0"/>
    <x v="0"/>
    <x v="0"/>
    <x v="849"/>
    <x v="0"/>
    <x v="3"/>
    <x v="0"/>
    <x v="2"/>
    <x v="4"/>
    <n v="0.74"/>
    <x v="5"/>
    <n v="5"/>
    <n v="103"/>
    <n v="108"/>
  </r>
  <r>
    <n v="707"/>
    <x v="36"/>
    <x v="0"/>
    <x v="0"/>
    <x v="1"/>
    <x v="850"/>
    <x v="0"/>
    <x v="3"/>
    <x v="1"/>
    <x v="0"/>
    <x v="19"/>
    <n v="0.81"/>
    <x v="4"/>
    <n v="3"/>
    <n v="105"/>
    <n v="108"/>
  </r>
  <r>
    <n v="417"/>
    <x v="33"/>
    <x v="0"/>
    <x v="0"/>
    <x v="0"/>
    <x v="851"/>
    <x v="0"/>
    <x v="6"/>
    <x v="1"/>
    <x v="0"/>
    <x v="1"/>
    <n v="0.93"/>
    <x v="8"/>
    <n v="2"/>
    <n v="107"/>
    <n v="109"/>
  </r>
  <r>
    <n v="613"/>
    <x v="20"/>
    <x v="0"/>
    <x v="0"/>
    <x v="0"/>
    <x v="852"/>
    <x v="0"/>
    <x v="5"/>
    <x v="0"/>
    <x v="0"/>
    <x v="9"/>
    <n v="0.75"/>
    <x v="2"/>
    <n v="2"/>
    <n v="107"/>
    <n v="109"/>
  </r>
  <r>
    <n v="656"/>
    <x v="21"/>
    <x v="0"/>
    <x v="0"/>
    <x v="0"/>
    <x v="853"/>
    <x v="0"/>
    <x v="1"/>
    <x v="0"/>
    <x v="22"/>
    <x v="21"/>
    <n v="0.56000000000000005"/>
    <x v="0"/>
    <n v="14"/>
    <n v="95"/>
    <n v="109"/>
  </r>
  <r>
    <n v="755"/>
    <x v="24"/>
    <x v="0"/>
    <x v="0"/>
    <x v="1"/>
    <x v="854"/>
    <x v="0"/>
    <x v="4"/>
    <x v="0"/>
    <x v="4"/>
    <x v="9"/>
    <n v="0.47"/>
    <x v="1"/>
    <n v="1"/>
    <n v="108"/>
    <n v="109"/>
  </r>
  <r>
    <n v="16"/>
    <x v="0"/>
    <x v="0"/>
    <x v="0"/>
    <x v="0"/>
    <x v="855"/>
    <x v="0"/>
    <x v="0"/>
    <x v="1"/>
    <x v="21"/>
    <x v="28"/>
    <n v="0.77"/>
    <x v="9"/>
    <n v="40"/>
    <n v="70"/>
    <n v="110"/>
  </r>
  <r>
    <n v="65"/>
    <x v="2"/>
    <x v="0"/>
    <x v="0"/>
    <x v="0"/>
    <x v="856"/>
    <x v="0"/>
    <x v="2"/>
    <x v="0"/>
    <x v="4"/>
    <x v="1"/>
    <n v="0.47"/>
    <x v="0"/>
    <n v="8"/>
    <n v="102"/>
    <n v="110"/>
  </r>
  <r>
    <n v="516"/>
    <x v="16"/>
    <x v="0"/>
    <x v="0"/>
    <x v="0"/>
    <x v="857"/>
    <x v="0"/>
    <x v="1"/>
    <x v="0"/>
    <x v="2"/>
    <x v="3"/>
    <n v="0.28000000000000003"/>
    <x v="12"/>
    <n v="17"/>
    <n v="93"/>
    <n v="110"/>
  </r>
  <r>
    <n v="935"/>
    <x v="42"/>
    <x v="0"/>
    <x v="0"/>
    <x v="1"/>
    <x v="858"/>
    <x v="0"/>
    <x v="5"/>
    <x v="0"/>
    <x v="0"/>
    <x v="9"/>
    <n v="0.35"/>
    <x v="2"/>
    <n v="21"/>
    <n v="89"/>
    <n v="110"/>
  </r>
  <r>
    <n v="684"/>
    <x v="22"/>
    <x v="0"/>
    <x v="0"/>
    <x v="0"/>
    <x v="859"/>
    <x v="0"/>
    <x v="2"/>
    <x v="0"/>
    <x v="22"/>
    <x v="22"/>
    <n v="0.61"/>
    <x v="8"/>
    <n v="3"/>
    <n v="108"/>
    <n v="111"/>
  </r>
  <r>
    <n v="88"/>
    <x v="3"/>
    <x v="0"/>
    <x v="0"/>
    <x v="0"/>
    <x v="860"/>
    <x v="0"/>
    <x v="3"/>
    <x v="0"/>
    <x v="0"/>
    <x v="1"/>
    <n v="0.48"/>
    <x v="8"/>
    <n v="2"/>
    <n v="110"/>
    <n v="112"/>
  </r>
  <r>
    <n v="134"/>
    <x v="4"/>
    <x v="0"/>
    <x v="0"/>
    <x v="0"/>
    <x v="861"/>
    <x v="0"/>
    <x v="4"/>
    <x v="0"/>
    <x v="10"/>
    <x v="1"/>
    <n v="0.55000000000000004"/>
    <x v="1"/>
    <n v="3"/>
    <n v="109"/>
    <n v="112"/>
  </r>
  <r>
    <n v="427"/>
    <x v="33"/>
    <x v="0"/>
    <x v="0"/>
    <x v="0"/>
    <x v="862"/>
    <x v="0"/>
    <x v="6"/>
    <x v="0"/>
    <x v="18"/>
    <x v="0"/>
    <n v="0.56999999999999995"/>
    <x v="11"/>
    <n v="4"/>
    <n v="108"/>
    <n v="112"/>
  </r>
  <r>
    <n v="674"/>
    <x v="22"/>
    <x v="0"/>
    <x v="0"/>
    <x v="0"/>
    <x v="863"/>
    <x v="0"/>
    <x v="2"/>
    <x v="1"/>
    <x v="2"/>
    <x v="3"/>
    <n v="0.59"/>
    <x v="9"/>
    <n v="0"/>
    <n v="112"/>
    <n v="112"/>
  </r>
  <r>
    <n v="919"/>
    <x v="29"/>
    <x v="0"/>
    <x v="0"/>
    <x v="1"/>
    <x v="864"/>
    <x v="0"/>
    <x v="4"/>
    <x v="0"/>
    <x v="3"/>
    <x v="14"/>
    <n v="0.28000000000000003"/>
    <x v="8"/>
    <n v="2"/>
    <n v="110"/>
    <n v="112"/>
  </r>
  <r>
    <n v="980"/>
    <x v="38"/>
    <x v="0"/>
    <x v="0"/>
    <x v="1"/>
    <x v="865"/>
    <x v="0"/>
    <x v="1"/>
    <x v="0"/>
    <x v="18"/>
    <x v="0"/>
    <n v="0.39"/>
    <x v="16"/>
    <n v="26"/>
    <n v="86"/>
    <n v="112"/>
  </r>
  <r>
    <n v="364"/>
    <x v="12"/>
    <x v="0"/>
    <x v="0"/>
    <x v="0"/>
    <x v="866"/>
    <x v="0"/>
    <x v="1"/>
    <x v="0"/>
    <x v="9"/>
    <x v="19"/>
    <n v="0.38"/>
    <x v="10"/>
    <n v="35"/>
    <n v="78"/>
    <n v="113"/>
  </r>
  <r>
    <n v="846"/>
    <x v="27"/>
    <x v="0"/>
    <x v="0"/>
    <x v="1"/>
    <x v="867"/>
    <x v="0"/>
    <x v="2"/>
    <x v="1"/>
    <x v="16"/>
    <x v="27"/>
    <n v="0.56999999999999995"/>
    <x v="4"/>
    <n v="16"/>
    <n v="98"/>
    <n v="114"/>
  </r>
  <r>
    <n v="957"/>
    <x v="30"/>
    <x v="0"/>
    <x v="0"/>
    <x v="1"/>
    <x v="868"/>
    <x v="0"/>
    <x v="0"/>
    <x v="0"/>
    <x v="22"/>
    <x v="16"/>
    <n v="0.28000000000000003"/>
    <x v="13"/>
    <n v="30"/>
    <n v="84"/>
    <n v="114"/>
  </r>
  <r>
    <n v="101"/>
    <x v="31"/>
    <x v="0"/>
    <x v="0"/>
    <x v="0"/>
    <x v="869"/>
    <x v="0"/>
    <x v="6"/>
    <x v="0"/>
    <x v="10"/>
    <x v="5"/>
    <n v="0.37"/>
    <x v="13"/>
    <n v="6"/>
    <n v="109"/>
    <n v="115"/>
  </r>
  <r>
    <n v="514"/>
    <x v="16"/>
    <x v="0"/>
    <x v="0"/>
    <x v="0"/>
    <x v="870"/>
    <x v="0"/>
    <x v="1"/>
    <x v="0"/>
    <x v="2"/>
    <x v="8"/>
    <n v="0.37"/>
    <x v="15"/>
    <n v="24"/>
    <n v="92"/>
    <n v="116"/>
  </r>
  <r>
    <n v="564"/>
    <x v="18"/>
    <x v="0"/>
    <x v="0"/>
    <x v="0"/>
    <x v="871"/>
    <x v="0"/>
    <x v="3"/>
    <x v="1"/>
    <x v="18"/>
    <x v="27"/>
    <n v="0.42"/>
    <x v="0"/>
    <n v="14"/>
    <n v="102"/>
    <n v="116"/>
  </r>
  <r>
    <n v="697"/>
    <x v="36"/>
    <x v="0"/>
    <x v="0"/>
    <x v="1"/>
    <x v="872"/>
    <x v="0"/>
    <x v="3"/>
    <x v="1"/>
    <x v="2"/>
    <x v="9"/>
    <n v="0.93"/>
    <x v="0"/>
    <n v="2"/>
    <n v="114"/>
    <n v="116"/>
  </r>
  <r>
    <n v="310"/>
    <x v="10"/>
    <x v="0"/>
    <x v="0"/>
    <x v="0"/>
    <x v="873"/>
    <x v="0"/>
    <x v="5"/>
    <x v="0"/>
    <x v="3"/>
    <x v="4"/>
    <n v="0.69"/>
    <x v="4"/>
    <n v="0"/>
    <n v="117"/>
    <n v="117"/>
  </r>
  <r>
    <n v="817"/>
    <x v="26"/>
    <x v="0"/>
    <x v="0"/>
    <x v="1"/>
    <x v="874"/>
    <x v="0"/>
    <x v="1"/>
    <x v="0"/>
    <x v="18"/>
    <x v="23"/>
    <n v="0.49"/>
    <x v="10"/>
    <n v="28"/>
    <n v="89"/>
    <n v="117"/>
  </r>
  <r>
    <n v="339"/>
    <x v="11"/>
    <x v="0"/>
    <x v="0"/>
    <x v="0"/>
    <x v="875"/>
    <x v="0"/>
    <x v="0"/>
    <x v="0"/>
    <x v="22"/>
    <x v="0"/>
    <n v="0.39"/>
    <x v="7"/>
    <n v="26"/>
    <n v="92"/>
    <n v="118"/>
  </r>
  <r>
    <n v="362"/>
    <x v="12"/>
    <x v="0"/>
    <x v="0"/>
    <x v="0"/>
    <x v="876"/>
    <x v="0"/>
    <x v="1"/>
    <x v="0"/>
    <x v="9"/>
    <x v="9"/>
    <n v="0.35"/>
    <x v="9"/>
    <n v="23"/>
    <n v="95"/>
    <n v="118"/>
  </r>
  <r>
    <n v="839"/>
    <x v="27"/>
    <x v="0"/>
    <x v="0"/>
    <x v="1"/>
    <x v="877"/>
    <x v="0"/>
    <x v="2"/>
    <x v="0"/>
    <x v="10"/>
    <x v="16"/>
    <n v="0.8"/>
    <x v="0"/>
    <n v="3"/>
    <n v="115"/>
    <n v="118"/>
  </r>
  <r>
    <n v="568"/>
    <x v="18"/>
    <x v="0"/>
    <x v="0"/>
    <x v="0"/>
    <x v="878"/>
    <x v="0"/>
    <x v="3"/>
    <x v="0"/>
    <x v="0"/>
    <x v="9"/>
    <n v="0.65"/>
    <x v="2"/>
    <n v="16"/>
    <n v="103"/>
    <n v="119"/>
  </r>
  <r>
    <n v="474"/>
    <x v="15"/>
    <x v="0"/>
    <x v="0"/>
    <x v="0"/>
    <x v="879"/>
    <x v="0"/>
    <x v="5"/>
    <x v="0"/>
    <x v="8"/>
    <x v="8"/>
    <n v="0.3"/>
    <x v="10"/>
    <n v="1"/>
    <n v="119"/>
    <n v="120"/>
  </r>
  <r>
    <n v="633"/>
    <x v="35"/>
    <x v="0"/>
    <x v="0"/>
    <x v="0"/>
    <x v="880"/>
    <x v="0"/>
    <x v="0"/>
    <x v="0"/>
    <x v="10"/>
    <x v="6"/>
    <n v="0.69"/>
    <x v="10"/>
    <n v="22"/>
    <n v="98"/>
    <n v="120"/>
  </r>
  <r>
    <n v="958"/>
    <x v="30"/>
    <x v="0"/>
    <x v="0"/>
    <x v="1"/>
    <x v="881"/>
    <x v="0"/>
    <x v="0"/>
    <x v="0"/>
    <x v="22"/>
    <x v="16"/>
    <n v="0.39"/>
    <x v="15"/>
    <n v="27"/>
    <n v="93"/>
    <n v="120"/>
  </r>
  <r>
    <n v="960"/>
    <x v="30"/>
    <x v="0"/>
    <x v="0"/>
    <x v="1"/>
    <x v="882"/>
    <x v="0"/>
    <x v="0"/>
    <x v="0"/>
    <x v="17"/>
    <x v="22"/>
    <n v="0.31"/>
    <x v="7"/>
    <n v="30"/>
    <n v="90"/>
    <n v="120"/>
  </r>
  <r>
    <n v="823"/>
    <x v="26"/>
    <x v="0"/>
    <x v="0"/>
    <x v="1"/>
    <x v="883"/>
    <x v="0"/>
    <x v="1"/>
    <x v="0"/>
    <x v="17"/>
    <x v="29"/>
    <n v="0.46"/>
    <x v="0"/>
    <n v="24"/>
    <n v="97"/>
    <n v="121"/>
  </r>
  <r>
    <n v="124"/>
    <x v="4"/>
    <x v="0"/>
    <x v="0"/>
    <x v="0"/>
    <x v="884"/>
    <x v="0"/>
    <x v="4"/>
    <x v="1"/>
    <x v="5"/>
    <x v="19"/>
    <n v="0.51"/>
    <x v="0"/>
    <n v="6"/>
    <n v="116"/>
    <n v="122"/>
  </r>
  <r>
    <n v="655"/>
    <x v="21"/>
    <x v="0"/>
    <x v="0"/>
    <x v="0"/>
    <x v="885"/>
    <x v="0"/>
    <x v="1"/>
    <x v="0"/>
    <x v="13"/>
    <x v="23"/>
    <n v="0.61"/>
    <x v="1"/>
    <n v="18"/>
    <n v="104"/>
    <n v="122"/>
  </r>
  <r>
    <n v="909"/>
    <x v="29"/>
    <x v="0"/>
    <x v="0"/>
    <x v="1"/>
    <x v="886"/>
    <x v="0"/>
    <x v="4"/>
    <x v="0"/>
    <x v="8"/>
    <x v="20"/>
    <n v="0.42"/>
    <x v="12"/>
    <n v="1"/>
    <n v="121"/>
    <n v="122"/>
  </r>
  <r>
    <n v="156"/>
    <x v="5"/>
    <x v="0"/>
    <x v="0"/>
    <x v="0"/>
    <x v="887"/>
    <x v="0"/>
    <x v="5"/>
    <x v="0"/>
    <x v="4"/>
    <x v="9"/>
    <n v="0.4"/>
    <x v="1"/>
    <n v="7"/>
    <n v="116"/>
    <n v="123"/>
  </r>
  <r>
    <n v="657"/>
    <x v="21"/>
    <x v="0"/>
    <x v="0"/>
    <x v="0"/>
    <x v="888"/>
    <x v="0"/>
    <x v="1"/>
    <x v="0"/>
    <x v="22"/>
    <x v="21"/>
    <n v="0.56000000000000005"/>
    <x v="0"/>
    <n v="19"/>
    <n v="104"/>
    <n v="123"/>
  </r>
  <r>
    <n v="721"/>
    <x v="23"/>
    <x v="0"/>
    <x v="0"/>
    <x v="1"/>
    <x v="889"/>
    <x v="0"/>
    <x v="6"/>
    <x v="1"/>
    <x v="0"/>
    <x v="1"/>
    <n v="0.93"/>
    <x v="1"/>
    <n v="4"/>
    <n v="119"/>
    <n v="123"/>
  </r>
  <r>
    <n v="886"/>
    <x v="37"/>
    <x v="0"/>
    <x v="0"/>
    <x v="1"/>
    <x v="890"/>
    <x v="0"/>
    <x v="6"/>
    <x v="0"/>
    <x v="8"/>
    <x v="3"/>
    <n v="0.39"/>
    <x v="6"/>
    <n v="4"/>
    <n v="119"/>
    <n v="123"/>
  </r>
  <r>
    <n v="402"/>
    <x v="41"/>
    <x v="0"/>
    <x v="0"/>
    <x v="0"/>
    <x v="891"/>
    <x v="0"/>
    <x v="3"/>
    <x v="1"/>
    <x v="10"/>
    <x v="9"/>
    <n v="0.82"/>
    <x v="2"/>
    <n v="1"/>
    <n v="124"/>
    <n v="125"/>
  </r>
  <r>
    <n v="938"/>
    <x v="42"/>
    <x v="0"/>
    <x v="0"/>
    <x v="1"/>
    <x v="892"/>
    <x v="0"/>
    <x v="5"/>
    <x v="0"/>
    <x v="22"/>
    <x v="0"/>
    <n v="0.28000000000000003"/>
    <x v="2"/>
    <n v="14"/>
    <n v="111"/>
    <n v="125"/>
  </r>
  <r>
    <n v="986"/>
    <x v="38"/>
    <x v="0"/>
    <x v="0"/>
    <x v="1"/>
    <x v="893"/>
    <x v="0"/>
    <x v="1"/>
    <x v="0"/>
    <x v="14"/>
    <x v="17"/>
    <n v="0.28000000000000003"/>
    <x v="13"/>
    <n v="30"/>
    <n v="95"/>
    <n v="125"/>
  </r>
  <r>
    <n v="452"/>
    <x v="14"/>
    <x v="0"/>
    <x v="0"/>
    <x v="0"/>
    <x v="894"/>
    <x v="0"/>
    <x v="4"/>
    <x v="1"/>
    <x v="9"/>
    <x v="19"/>
    <n v="0.6"/>
    <x v="7"/>
    <n v="2"/>
    <n v="124"/>
    <n v="126"/>
  </r>
  <r>
    <n v="767"/>
    <x v="25"/>
    <x v="0"/>
    <x v="0"/>
    <x v="1"/>
    <x v="895"/>
    <x v="0"/>
    <x v="5"/>
    <x v="1"/>
    <x v="2"/>
    <x v="15"/>
    <n v="0.8"/>
    <x v="4"/>
    <n v="3"/>
    <n v="124"/>
    <n v="127"/>
  </r>
  <r>
    <n v="262"/>
    <x v="9"/>
    <x v="0"/>
    <x v="0"/>
    <x v="0"/>
    <x v="896"/>
    <x v="0"/>
    <x v="6"/>
    <x v="0"/>
    <x v="2"/>
    <x v="14"/>
    <n v="0.59"/>
    <x v="6"/>
    <n v="3"/>
    <n v="125"/>
    <n v="128"/>
  </r>
  <r>
    <n v="341"/>
    <x v="11"/>
    <x v="0"/>
    <x v="0"/>
    <x v="0"/>
    <x v="897"/>
    <x v="0"/>
    <x v="0"/>
    <x v="1"/>
    <x v="17"/>
    <x v="21"/>
    <n v="0.34"/>
    <x v="2"/>
    <n v="33"/>
    <n v="95"/>
    <n v="128"/>
  </r>
  <r>
    <n v="849"/>
    <x v="27"/>
    <x v="0"/>
    <x v="0"/>
    <x v="1"/>
    <x v="898"/>
    <x v="0"/>
    <x v="2"/>
    <x v="1"/>
    <x v="18"/>
    <x v="27"/>
    <n v="0.7"/>
    <x v="0"/>
    <n v="5"/>
    <n v="123"/>
    <n v="128"/>
  </r>
  <r>
    <n v="340"/>
    <x v="11"/>
    <x v="0"/>
    <x v="0"/>
    <x v="0"/>
    <x v="899"/>
    <x v="0"/>
    <x v="0"/>
    <x v="1"/>
    <x v="18"/>
    <x v="22"/>
    <n v="0.36"/>
    <x v="2"/>
    <n v="21"/>
    <n v="108"/>
    <n v="129"/>
  </r>
  <r>
    <n v="241"/>
    <x v="40"/>
    <x v="0"/>
    <x v="0"/>
    <x v="0"/>
    <x v="900"/>
    <x v="0"/>
    <x v="3"/>
    <x v="1"/>
    <x v="5"/>
    <x v="5"/>
    <n v="0.51"/>
    <x v="6"/>
    <n v="3"/>
    <n v="127"/>
    <n v="130"/>
  </r>
  <r>
    <n v="111"/>
    <x v="31"/>
    <x v="0"/>
    <x v="0"/>
    <x v="0"/>
    <x v="901"/>
    <x v="0"/>
    <x v="6"/>
    <x v="0"/>
    <x v="0"/>
    <x v="1"/>
    <n v="0.38"/>
    <x v="8"/>
    <n v="5"/>
    <n v="127"/>
    <n v="132"/>
  </r>
  <r>
    <n v="403"/>
    <x v="41"/>
    <x v="0"/>
    <x v="0"/>
    <x v="0"/>
    <x v="902"/>
    <x v="0"/>
    <x v="3"/>
    <x v="1"/>
    <x v="10"/>
    <x v="9"/>
    <n v="0.8"/>
    <x v="6"/>
    <n v="1"/>
    <n v="132"/>
    <n v="133"/>
  </r>
  <r>
    <n v="744"/>
    <x v="24"/>
    <x v="0"/>
    <x v="0"/>
    <x v="1"/>
    <x v="903"/>
    <x v="0"/>
    <x v="4"/>
    <x v="0"/>
    <x v="2"/>
    <x v="3"/>
    <n v="0.47"/>
    <x v="9"/>
    <n v="6"/>
    <n v="127"/>
    <n v="133"/>
  </r>
  <r>
    <n v="147"/>
    <x v="5"/>
    <x v="0"/>
    <x v="0"/>
    <x v="0"/>
    <x v="904"/>
    <x v="0"/>
    <x v="5"/>
    <x v="0"/>
    <x v="4"/>
    <x v="15"/>
    <n v="0.47"/>
    <x v="9"/>
    <n v="9"/>
    <n v="125"/>
    <n v="134"/>
  </r>
  <r>
    <n v="985"/>
    <x v="38"/>
    <x v="0"/>
    <x v="0"/>
    <x v="1"/>
    <x v="905"/>
    <x v="0"/>
    <x v="1"/>
    <x v="1"/>
    <x v="14"/>
    <x v="17"/>
    <n v="0.28000000000000003"/>
    <x v="13"/>
    <n v="28"/>
    <n v="106"/>
    <n v="134"/>
  </r>
  <r>
    <n v="696"/>
    <x v="36"/>
    <x v="0"/>
    <x v="0"/>
    <x v="1"/>
    <x v="906"/>
    <x v="0"/>
    <x v="3"/>
    <x v="2"/>
    <x v="2"/>
    <x v="9"/>
    <n v="0.93"/>
    <x v="0"/>
    <n v="3"/>
    <n v="132"/>
    <n v="135"/>
  </r>
  <r>
    <n v="863"/>
    <x v="28"/>
    <x v="0"/>
    <x v="0"/>
    <x v="1"/>
    <x v="907"/>
    <x v="0"/>
    <x v="3"/>
    <x v="0"/>
    <x v="0"/>
    <x v="5"/>
    <n v="0.52"/>
    <x v="19"/>
    <n v="7"/>
    <n v="128"/>
    <n v="135"/>
  </r>
  <r>
    <n v="959"/>
    <x v="30"/>
    <x v="0"/>
    <x v="0"/>
    <x v="1"/>
    <x v="908"/>
    <x v="0"/>
    <x v="0"/>
    <x v="0"/>
    <x v="22"/>
    <x v="16"/>
    <n v="0.39"/>
    <x v="11"/>
    <n v="32"/>
    <n v="103"/>
    <n v="135"/>
  </r>
  <r>
    <n v="249"/>
    <x v="40"/>
    <x v="0"/>
    <x v="0"/>
    <x v="0"/>
    <x v="909"/>
    <x v="0"/>
    <x v="3"/>
    <x v="1"/>
    <x v="2"/>
    <x v="4"/>
    <n v="0.86"/>
    <x v="5"/>
    <n v="6"/>
    <n v="130"/>
    <n v="136"/>
  </r>
  <r>
    <n v="272"/>
    <x v="9"/>
    <x v="0"/>
    <x v="0"/>
    <x v="0"/>
    <x v="910"/>
    <x v="0"/>
    <x v="6"/>
    <x v="0"/>
    <x v="4"/>
    <x v="4"/>
    <n v="0.47"/>
    <x v="14"/>
    <n v="2"/>
    <n v="135"/>
    <n v="137"/>
  </r>
  <r>
    <n v="963"/>
    <x v="30"/>
    <x v="0"/>
    <x v="0"/>
    <x v="1"/>
    <x v="911"/>
    <x v="0"/>
    <x v="0"/>
    <x v="0"/>
    <x v="18"/>
    <x v="0"/>
    <n v="0.31"/>
    <x v="14"/>
    <n v="24"/>
    <n v="113"/>
    <n v="137"/>
  </r>
  <r>
    <n v="271"/>
    <x v="9"/>
    <x v="0"/>
    <x v="0"/>
    <x v="0"/>
    <x v="912"/>
    <x v="0"/>
    <x v="6"/>
    <x v="0"/>
    <x v="4"/>
    <x v="15"/>
    <n v="0.47"/>
    <x v="12"/>
    <n v="0"/>
    <n v="139"/>
    <n v="139"/>
  </r>
  <r>
    <n v="287"/>
    <x v="32"/>
    <x v="0"/>
    <x v="0"/>
    <x v="0"/>
    <x v="913"/>
    <x v="0"/>
    <x v="4"/>
    <x v="0"/>
    <x v="3"/>
    <x v="8"/>
    <n v="0.5"/>
    <x v="13"/>
    <n v="2"/>
    <n v="137"/>
    <n v="139"/>
  </r>
  <r>
    <n v="319"/>
    <x v="10"/>
    <x v="0"/>
    <x v="0"/>
    <x v="0"/>
    <x v="914"/>
    <x v="0"/>
    <x v="5"/>
    <x v="0"/>
    <x v="4"/>
    <x v="1"/>
    <n v="0.47"/>
    <x v="0"/>
    <n v="5"/>
    <n v="134"/>
    <n v="139"/>
  </r>
  <r>
    <n v="931"/>
    <x v="42"/>
    <x v="0"/>
    <x v="0"/>
    <x v="1"/>
    <x v="915"/>
    <x v="0"/>
    <x v="5"/>
    <x v="0"/>
    <x v="8"/>
    <x v="8"/>
    <n v="0.74"/>
    <x v="5"/>
    <n v="8"/>
    <n v="132"/>
    <n v="140"/>
  </r>
  <r>
    <n v="441"/>
    <x v="14"/>
    <x v="0"/>
    <x v="0"/>
    <x v="0"/>
    <x v="916"/>
    <x v="0"/>
    <x v="4"/>
    <x v="1"/>
    <x v="0"/>
    <x v="9"/>
    <n v="0.52"/>
    <x v="5"/>
    <n v="3"/>
    <n v="140"/>
    <n v="143"/>
  </r>
  <r>
    <n v="296"/>
    <x v="32"/>
    <x v="0"/>
    <x v="0"/>
    <x v="0"/>
    <x v="917"/>
    <x v="0"/>
    <x v="4"/>
    <x v="0"/>
    <x v="4"/>
    <x v="15"/>
    <n v="0.4"/>
    <x v="13"/>
    <n v="3"/>
    <n v="141"/>
    <n v="144"/>
  </r>
  <r>
    <n v="557"/>
    <x v="18"/>
    <x v="0"/>
    <x v="0"/>
    <x v="0"/>
    <x v="918"/>
    <x v="0"/>
    <x v="3"/>
    <x v="1"/>
    <x v="4"/>
    <x v="9"/>
    <n v="0.64"/>
    <x v="1"/>
    <n v="10"/>
    <n v="134"/>
    <n v="144"/>
  </r>
  <r>
    <n v="962"/>
    <x v="30"/>
    <x v="0"/>
    <x v="0"/>
    <x v="1"/>
    <x v="919"/>
    <x v="0"/>
    <x v="0"/>
    <x v="0"/>
    <x v="17"/>
    <x v="23"/>
    <n v="0.28999999999999998"/>
    <x v="11"/>
    <n v="42"/>
    <n v="103"/>
    <n v="145"/>
  </r>
  <r>
    <n v="567"/>
    <x v="18"/>
    <x v="0"/>
    <x v="0"/>
    <x v="0"/>
    <x v="920"/>
    <x v="0"/>
    <x v="3"/>
    <x v="1"/>
    <x v="9"/>
    <x v="1"/>
    <n v="0.65"/>
    <x v="6"/>
    <n v="13"/>
    <n v="133"/>
    <n v="146"/>
  </r>
  <r>
    <n v="753"/>
    <x v="24"/>
    <x v="0"/>
    <x v="0"/>
    <x v="1"/>
    <x v="921"/>
    <x v="0"/>
    <x v="4"/>
    <x v="0"/>
    <x v="4"/>
    <x v="6"/>
    <n v="0.4"/>
    <x v="6"/>
    <n v="2"/>
    <n v="145"/>
    <n v="147"/>
  </r>
  <r>
    <n v="612"/>
    <x v="20"/>
    <x v="0"/>
    <x v="0"/>
    <x v="0"/>
    <x v="922"/>
    <x v="0"/>
    <x v="5"/>
    <x v="0"/>
    <x v="0"/>
    <x v="19"/>
    <n v="0.75"/>
    <x v="4"/>
    <n v="2"/>
    <n v="147"/>
    <n v="149"/>
  </r>
  <r>
    <n v="451"/>
    <x v="14"/>
    <x v="0"/>
    <x v="0"/>
    <x v="0"/>
    <x v="923"/>
    <x v="0"/>
    <x v="4"/>
    <x v="0"/>
    <x v="9"/>
    <x v="9"/>
    <n v="0.56000000000000005"/>
    <x v="13"/>
    <n v="6"/>
    <n v="146"/>
    <n v="152"/>
  </r>
  <r>
    <n v="872"/>
    <x v="28"/>
    <x v="0"/>
    <x v="0"/>
    <x v="1"/>
    <x v="924"/>
    <x v="0"/>
    <x v="3"/>
    <x v="0"/>
    <x v="4"/>
    <x v="15"/>
    <n v="0.32"/>
    <x v="3"/>
    <n v="1"/>
    <n v="151"/>
    <n v="152"/>
  </r>
  <r>
    <n v="981"/>
    <x v="38"/>
    <x v="0"/>
    <x v="0"/>
    <x v="1"/>
    <x v="925"/>
    <x v="0"/>
    <x v="1"/>
    <x v="0"/>
    <x v="16"/>
    <x v="22"/>
    <n v="0.32"/>
    <x v="15"/>
    <n v="58"/>
    <n v="94"/>
    <n v="152"/>
  </r>
  <r>
    <n v="543"/>
    <x v="17"/>
    <x v="0"/>
    <x v="0"/>
    <x v="0"/>
    <x v="926"/>
    <x v="0"/>
    <x v="2"/>
    <x v="0"/>
    <x v="3"/>
    <x v="3"/>
    <n v="0.59"/>
    <x v="2"/>
    <n v="8"/>
    <n v="145"/>
    <n v="153"/>
  </r>
  <r>
    <n v="54"/>
    <x v="2"/>
    <x v="0"/>
    <x v="0"/>
    <x v="0"/>
    <x v="927"/>
    <x v="0"/>
    <x v="2"/>
    <x v="0"/>
    <x v="3"/>
    <x v="8"/>
    <n v="0.5"/>
    <x v="7"/>
    <n v="1"/>
    <n v="153"/>
    <n v="154"/>
  </r>
  <r>
    <n v="982"/>
    <x v="38"/>
    <x v="0"/>
    <x v="0"/>
    <x v="1"/>
    <x v="928"/>
    <x v="0"/>
    <x v="1"/>
    <x v="0"/>
    <x v="20"/>
    <x v="26"/>
    <n v="0.28999999999999998"/>
    <x v="12"/>
    <n v="62"/>
    <n v="92"/>
    <n v="154"/>
  </r>
  <r>
    <n v="228"/>
    <x v="8"/>
    <x v="0"/>
    <x v="0"/>
    <x v="0"/>
    <x v="929"/>
    <x v="0"/>
    <x v="2"/>
    <x v="0"/>
    <x v="4"/>
    <x v="5"/>
    <n v="0.4"/>
    <x v="5"/>
    <n v="1"/>
    <n v="154"/>
    <n v="155"/>
  </r>
  <r>
    <n v="720"/>
    <x v="23"/>
    <x v="0"/>
    <x v="0"/>
    <x v="1"/>
    <x v="930"/>
    <x v="0"/>
    <x v="6"/>
    <x v="2"/>
    <x v="10"/>
    <x v="6"/>
    <n v="0.93"/>
    <x v="5"/>
    <n v="1"/>
    <n v="154"/>
    <n v="155"/>
  </r>
  <r>
    <n v="776"/>
    <x v="25"/>
    <x v="0"/>
    <x v="0"/>
    <x v="1"/>
    <x v="931"/>
    <x v="0"/>
    <x v="5"/>
    <x v="1"/>
    <x v="0"/>
    <x v="1"/>
    <n v="0.6"/>
    <x v="8"/>
    <n v="3"/>
    <n v="152"/>
    <n v="155"/>
  </r>
  <r>
    <n v="683"/>
    <x v="22"/>
    <x v="0"/>
    <x v="0"/>
    <x v="0"/>
    <x v="932"/>
    <x v="0"/>
    <x v="2"/>
    <x v="1"/>
    <x v="2"/>
    <x v="4"/>
    <n v="0.55000000000000004"/>
    <x v="5"/>
    <n v="3"/>
    <n v="153"/>
    <n v="156"/>
  </r>
  <r>
    <n v="63"/>
    <x v="2"/>
    <x v="0"/>
    <x v="0"/>
    <x v="0"/>
    <x v="933"/>
    <x v="0"/>
    <x v="2"/>
    <x v="0"/>
    <x v="0"/>
    <x v="9"/>
    <n v="0.3"/>
    <x v="5"/>
    <n v="11"/>
    <n v="146"/>
    <n v="157"/>
  </r>
  <r>
    <n v="64"/>
    <x v="2"/>
    <x v="0"/>
    <x v="0"/>
    <x v="0"/>
    <x v="934"/>
    <x v="0"/>
    <x v="2"/>
    <x v="0"/>
    <x v="0"/>
    <x v="1"/>
    <n v="0.32"/>
    <x v="8"/>
    <n v="9"/>
    <n v="148"/>
    <n v="157"/>
  </r>
  <r>
    <n v="603"/>
    <x v="20"/>
    <x v="0"/>
    <x v="0"/>
    <x v="0"/>
    <x v="935"/>
    <x v="0"/>
    <x v="5"/>
    <x v="1"/>
    <x v="2"/>
    <x v="5"/>
    <n v="0.86"/>
    <x v="1"/>
    <n v="2"/>
    <n v="155"/>
    <n v="157"/>
  </r>
  <r>
    <n v="822"/>
    <x v="26"/>
    <x v="0"/>
    <x v="0"/>
    <x v="1"/>
    <x v="936"/>
    <x v="0"/>
    <x v="1"/>
    <x v="0"/>
    <x v="17"/>
    <x v="27"/>
    <n v="0.49"/>
    <x v="8"/>
    <n v="42"/>
    <n v="115"/>
    <n v="157"/>
  </r>
  <r>
    <n v="309"/>
    <x v="10"/>
    <x v="0"/>
    <x v="0"/>
    <x v="0"/>
    <x v="937"/>
    <x v="0"/>
    <x v="5"/>
    <x v="0"/>
    <x v="8"/>
    <x v="14"/>
    <n v="0.68"/>
    <x v="0"/>
    <n v="2"/>
    <n v="156"/>
    <n v="158"/>
  </r>
  <r>
    <n v="318"/>
    <x v="10"/>
    <x v="0"/>
    <x v="0"/>
    <x v="0"/>
    <x v="938"/>
    <x v="0"/>
    <x v="5"/>
    <x v="0"/>
    <x v="10"/>
    <x v="9"/>
    <n v="0.41"/>
    <x v="6"/>
    <n v="4"/>
    <n v="155"/>
    <n v="159"/>
  </r>
  <r>
    <n v="918"/>
    <x v="29"/>
    <x v="0"/>
    <x v="0"/>
    <x v="1"/>
    <x v="939"/>
    <x v="0"/>
    <x v="4"/>
    <x v="0"/>
    <x v="2"/>
    <x v="15"/>
    <n v="0.28000000000000003"/>
    <x v="4"/>
    <n v="3"/>
    <n v="157"/>
    <n v="160"/>
  </r>
  <r>
    <n v="426"/>
    <x v="33"/>
    <x v="0"/>
    <x v="0"/>
    <x v="0"/>
    <x v="940"/>
    <x v="0"/>
    <x v="6"/>
    <x v="0"/>
    <x v="17"/>
    <x v="22"/>
    <n v="0.61"/>
    <x v="7"/>
    <n v="5"/>
    <n v="156"/>
    <n v="161"/>
  </r>
  <r>
    <n v="473"/>
    <x v="15"/>
    <x v="0"/>
    <x v="0"/>
    <x v="0"/>
    <x v="941"/>
    <x v="0"/>
    <x v="5"/>
    <x v="0"/>
    <x v="3"/>
    <x v="8"/>
    <n v="0.28000000000000003"/>
    <x v="12"/>
    <n v="10"/>
    <n v="151"/>
    <n v="161"/>
  </r>
  <r>
    <n v="682"/>
    <x v="22"/>
    <x v="0"/>
    <x v="0"/>
    <x v="0"/>
    <x v="942"/>
    <x v="0"/>
    <x v="2"/>
    <x v="1"/>
    <x v="2"/>
    <x v="4"/>
    <n v="0.59"/>
    <x v="2"/>
    <n v="6"/>
    <n v="155"/>
    <n v="161"/>
  </r>
  <r>
    <n v="820"/>
    <x v="26"/>
    <x v="0"/>
    <x v="0"/>
    <x v="1"/>
    <x v="943"/>
    <x v="0"/>
    <x v="1"/>
    <x v="0"/>
    <x v="17"/>
    <x v="27"/>
    <n v="0.46"/>
    <x v="1"/>
    <n v="47"/>
    <n v="114"/>
    <n v="161"/>
  </r>
  <r>
    <n v="983"/>
    <x v="38"/>
    <x v="0"/>
    <x v="0"/>
    <x v="1"/>
    <x v="944"/>
    <x v="0"/>
    <x v="1"/>
    <x v="1"/>
    <x v="1"/>
    <x v="2"/>
    <n v="0.3"/>
    <x v="11"/>
    <n v="51"/>
    <n v="110"/>
    <n v="161"/>
  </r>
  <r>
    <n v="295"/>
    <x v="32"/>
    <x v="0"/>
    <x v="0"/>
    <x v="0"/>
    <x v="945"/>
    <x v="0"/>
    <x v="4"/>
    <x v="0"/>
    <x v="4"/>
    <x v="15"/>
    <n v="0.4"/>
    <x v="7"/>
    <n v="4"/>
    <n v="158"/>
    <n v="162"/>
  </r>
  <r>
    <n v="984"/>
    <x v="38"/>
    <x v="0"/>
    <x v="0"/>
    <x v="1"/>
    <x v="946"/>
    <x v="0"/>
    <x v="1"/>
    <x v="1"/>
    <x v="1"/>
    <x v="2"/>
    <n v="0.3"/>
    <x v="9"/>
    <n v="40"/>
    <n v="122"/>
    <n v="162"/>
  </r>
  <r>
    <n v="133"/>
    <x v="4"/>
    <x v="0"/>
    <x v="0"/>
    <x v="0"/>
    <x v="947"/>
    <x v="0"/>
    <x v="4"/>
    <x v="0"/>
    <x v="10"/>
    <x v="9"/>
    <n v="0.51"/>
    <x v="4"/>
    <n v="5"/>
    <n v="158"/>
    <n v="163"/>
  </r>
  <r>
    <n v="917"/>
    <x v="29"/>
    <x v="0"/>
    <x v="0"/>
    <x v="1"/>
    <x v="948"/>
    <x v="0"/>
    <x v="4"/>
    <x v="0"/>
    <x v="5"/>
    <x v="15"/>
    <n v="0.26"/>
    <x v="2"/>
    <n v="6"/>
    <n v="159"/>
    <n v="165"/>
  </r>
  <r>
    <n v="465"/>
    <x v="15"/>
    <x v="0"/>
    <x v="0"/>
    <x v="0"/>
    <x v="949"/>
    <x v="0"/>
    <x v="5"/>
    <x v="0"/>
    <x v="4"/>
    <x v="15"/>
    <n v="0.51"/>
    <x v="12"/>
    <n v="7"/>
    <n v="159"/>
    <n v="166"/>
  </r>
  <r>
    <n v="894"/>
    <x v="37"/>
    <x v="0"/>
    <x v="0"/>
    <x v="1"/>
    <x v="950"/>
    <x v="0"/>
    <x v="6"/>
    <x v="1"/>
    <x v="4"/>
    <x v="5"/>
    <n v="0.34"/>
    <x v="10"/>
    <n v="9"/>
    <n v="157"/>
    <n v="166"/>
  </r>
  <r>
    <n v="706"/>
    <x v="36"/>
    <x v="0"/>
    <x v="0"/>
    <x v="1"/>
    <x v="951"/>
    <x v="0"/>
    <x v="3"/>
    <x v="1"/>
    <x v="0"/>
    <x v="1"/>
    <n v="0.81"/>
    <x v="8"/>
    <n v="3"/>
    <n v="165"/>
    <n v="168"/>
  </r>
  <r>
    <n v="110"/>
    <x v="31"/>
    <x v="0"/>
    <x v="0"/>
    <x v="0"/>
    <x v="952"/>
    <x v="0"/>
    <x v="6"/>
    <x v="0"/>
    <x v="0"/>
    <x v="19"/>
    <n v="0.38"/>
    <x v="4"/>
    <n v="3"/>
    <n v="166"/>
    <n v="169"/>
  </r>
  <r>
    <n v="895"/>
    <x v="37"/>
    <x v="0"/>
    <x v="0"/>
    <x v="1"/>
    <x v="953"/>
    <x v="0"/>
    <x v="6"/>
    <x v="1"/>
    <x v="5"/>
    <x v="14"/>
    <n v="0.47"/>
    <x v="9"/>
    <n v="2"/>
    <n v="168"/>
    <n v="170"/>
  </r>
  <r>
    <n v="132"/>
    <x v="4"/>
    <x v="0"/>
    <x v="0"/>
    <x v="0"/>
    <x v="954"/>
    <x v="0"/>
    <x v="4"/>
    <x v="0"/>
    <x v="10"/>
    <x v="9"/>
    <n v="0.51"/>
    <x v="6"/>
    <n v="9"/>
    <n v="163"/>
    <n v="172"/>
  </r>
  <r>
    <n v="818"/>
    <x v="26"/>
    <x v="0"/>
    <x v="0"/>
    <x v="1"/>
    <x v="955"/>
    <x v="0"/>
    <x v="1"/>
    <x v="0"/>
    <x v="17"/>
    <x v="21"/>
    <n v="0.46"/>
    <x v="0"/>
    <n v="48"/>
    <n v="126"/>
    <n v="174"/>
  </r>
  <r>
    <n v="940"/>
    <x v="42"/>
    <x v="0"/>
    <x v="0"/>
    <x v="1"/>
    <x v="956"/>
    <x v="0"/>
    <x v="5"/>
    <x v="0"/>
    <x v="13"/>
    <x v="22"/>
    <n v="0.28000000000000003"/>
    <x v="0"/>
    <n v="9"/>
    <n v="165"/>
    <n v="174"/>
  </r>
  <r>
    <n v="961"/>
    <x v="30"/>
    <x v="0"/>
    <x v="0"/>
    <x v="1"/>
    <x v="957"/>
    <x v="0"/>
    <x v="0"/>
    <x v="0"/>
    <x v="17"/>
    <x v="23"/>
    <n v="0.28999999999999998"/>
    <x v="11"/>
    <n v="47"/>
    <n v="127"/>
    <n v="174"/>
  </r>
  <r>
    <n v="752"/>
    <x v="24"/>
    <x v="0"/>
    <x v="0"/>
    <x v="1"/>
    <x v="958"/>
    <x v="0"/>
    <x v="4"/>
    <x v="0"/>
    <x v="4"/>
    <x v="5"/>
    <n v="0.4"/>
    <x v="2"/>
    <n v="5"/>
    <n v="170"/>
    <n v="175"/>
  </r>
  <r>
    <n v="848"/>
    <x v="27"/>
    <x v="0"/>
    <x v="0"/>
    <x v="1"/>
    <x v="959"/>
    <x v="0"/>
    <x v="2"/>
    <x v="1"/>
    <x v="17"/>
    <x v="21"/>
    <n v="0.66"/>
    <x v="4"/>
    <n v="5"/>
    <n v="170"/>
    <n v="175"/>
  </r>
  <r>
    <n v="705"/>
    <x v="36"/>
    <x v="0"/>
    <x v="0"/>
    <x v="1"/>
    <x v="960"/>
    <x v="0"/>
    <x v="3"/>
    <x v="1"/>
    <x v="0"/>
    <x v="0"/>
    <n v="0.75"/>
    <x v="0"/>
    <n v="4"/>
    <n v="172"/>
    <n v="176"/>
  </r>
  <r>
    <n v="871"/>
    <x v="28"/>
    <x v="0"/>
    <x v="0"/>
    <x v="1"/>
    <x v="961"/>
    <x v="0"/>
    <x v="3"/>
    <x v="0"/>
    <x v="10"/>
    <x v="15"/>
    <n v="0.32"/>
    <x v="18"/>
    <n v="4"/>
    <n v="172"/>
    <n v="176"/>
  </r>
  <r>
    <n v="533"/>
    <x v="17"/>
    <x v="0"/>
    <x v="0"/>
    <x v="0"/>
    <x v="962"/>
    <x v="0"/>
    <x v="2"/>
    <x v="0"/>
    <x v="11"/>
    <x v="3"/>
    <n v="0.49"/>
    <x v="0"/>
    <n v="6"/>
    <n v="171"/>
    <n v="177"/>
  </r>
  <r>
    <n v="227"/>
    <x v="8"/>
    <x v="0"/>
    <x v="0"/>
    <x v="0"/>
    <x v="963"/>
    <x v="0"/>
    <x v="2"/>
    <x v="0"/>
    <x v="4"/>
    <x v="9"/>
    <n v="0.4"/>
    <x v="8"/>
    <n v="4"/>
    <n v="174"/>
    <n v="178"/>
  </r>
  <r>
    <n v="908"/>
    <x v="29"/>
    <x v="0"/>
    <x v="0"/>
    <x v="1"/>
    <x v="964"/>
    <x v="0"/>
    <x v="4"/>
    <x v="0"/>
    <x v="7"/>
    <x v="10"/>
    <n v="0.49"/>
    <x v="13"/>
    <n v="5"/>
    <n v="173"/>
    <n v="178"/>
  </r>
  <r>
    <n v="77"/>
    <x v="3"/>
    <x v="0"/>
    <x v="0"/>
    <x v="0"/>
    <x v="965"/>
    <x v="0"/>
    <x v="3"/>
    <x v="0"/>
    <x v="3"/>
    <x v="4"/>
    <n v="0.69"/>
    <x v="6"/>
    <n v="2"/>
    <n v="177"/>
    <n v="179"/>
  </r>
  <r>
    <n v="87"/>
    <x v="3"/>
    <x v="0"/>
    <x v="0"/>
    <x v="0"/>
    <x v="966"/>
    <x v="0"/>
    <x v="3"/>
    <x v="0"/>
    <x v="9"/>
    <x v="1"/>
    <n v="0.48"/>
    <x v="2"/>
    <n v="3"/>
    <n v="179"/>
    <n v="182"/>
  </r>
  <r>
    <n v="730"/>
    <x v="23"/>
    <x v="0"/>
    <x v="0"/>
    <x v="1"/>
    <x v="967"/>
    <x v="0"/>
    <x v="6"/>
    <x v="0"/>
    <x v="17"/>
    <x v="0"/>
    <n v="0.42"/>
    <x v="17"/>
    <n v="7"/>
    <n v="175"/>
    <n v="182"/>
  </r>
  <r>
    <n v="819"/>
    <x v="26"/>
    <x v="0"/>
    <x v="0"/>
    <x v="1"/>
    <x v="968"/>
    <x v="0"/>
    <x v="1"/>
    <x v="0"/>
    <x v="17"/>
    <x v="29"/>
    <n v="0.46"/>
    <x v="0"/>
    <n v="47"/>
    <n v="135"/>
    <n v="182"/>
  </r>
  <r>
    <n v="821"/>
    <x v="26"/>
    <x v="0"/>
    <x v="0"/>
    <x v="1"/>
    <x v="969"/>
    <x v="0"/>
    <x v="1"/>
    <x v="0"/>
    <x v="17"/>
    <x v="27"/>
    <n v="0.46"/>
    <x v="1"/>
    <n v="52"/>
    <n v="130"/>
    <n v="182"/>
  </r>
  <r>
    <n v="542"/>
    <x v="17"/>
    <x v="0"/>
    <x v="0"/>
    <x v="0"/>
    <x v="970"/>
    <x v="0"/>
    <x v="2"/>
    <x v="0"/>
    <x v="3"/>
    <x v="8"/>
    <n v="0.5"/>
    <x v="10"/>
    <n v="6"/>
    <n v="178"/>
    <n v="184"/>
  </r>
  <r>
    <n v="450"/>
    <x v="14"/>
    <x v="0"/>
    <x v="0"/>
    <x v="0"/>
    <x v="971"/>
    <x v="0"/>
    <x v="4"/>
    <x v="1"/>
    <x v="9"/>
    <x v="1"/>
    <n v="0.56000000000000005"/>
    <x v="2"/>
    <n v="1"/>
    <n v="184"/>
    <n v="185"/>
  </r>
  <r>
    <n v="673"/>
    <x v="22"/>
    <x v="0"/>
    <x v="0"/>
    <x v="0"/>
    <x v="972"/>
    <x v="0"/>
    <x v="2"/>
    <x v="1"/>
    <x v="2"/>
    <x v="3"/>
    <n v="0.59"/>
    <x v="7"/>
    <n v="3"/>
    <n v="182"/>
    <n v="185"/>
  </r>
  <r>
    <n v="155"/>
    <x v="5"/>
    <x v="0"/>
    <x v="0"/>
    <x v="0"/>
    <x v="973"/>
    <x v="0"/>
    <x v="5"/>
    <x v="1"/>
    <x v="4"/>
    <x v="1"/>
    <n v="0.37"/>
    <x v="0"/>
    <n v="9"/>
    <n v="178"/>
    <n v="187"/>
  </r>
  <r>
    <n v="218"/>
    <x v="8"/>
    <x v="0"/>
    <x v="0"/>
    <x v="0"/>
    <x v="974"/>
    <x v="0"/>
    <x v="2"/>
    <x v="1"/>
    <x v="8"/>
    <x v="8"/>
    <n v="0.5"/>
    <x v="7"/>
    <n v="4"/>
    <n v="184"/>
    <n v="188"/>
  </r>
  <r>
    <n v="743"/>
    <x v="24"/>
    <x v="0"/>
    <x v="0"/>
    <x v="1"/>
    <x v="975"/>
    <x v="0"/>
    <x v="4"/>
    <x v="0"/>
    <x v="3"/>
    <x v="8"/>
    <n v="0.5"/>
    <x v="12"/>
    <n v="4"/>
    <n v="184"/>
    <n v="188"/>
  </r>
  <r>
    <n v="109"/>
    <x v="31"/>
    <x v="0"/>
    <x v="0"/>
    <x v="0"/>
    <x v="976"/>
    <x v="0"/>
    <x v="6"/>
    <x v="0"/>
    <x v="0"/>
    <x v="9"/>
    <n v="0.38"/>
    <x v="2"/>
    <n v="4"/>
    <n v="186"/>
    <n v="190"/>
  </r>
  <r>
    <n v="729"/>
    <x v="23"/>
    <x v="0"/>
    <x v="0"/>
    <x v="1"/>
    <x v="977"/>
    <x v="0"/>
    <x v="6"/>
    <x v="0"/>
    <x v="16"/>
    <x v="22"/>
    <n v="0.53"/>
    <x v="14"/>
    <n v="7"/>
    <n v="183"/>
    <n v="190"/>
  </r>
  <r>
    <n v="100"/>
    <x v="31"/>
    <x v="0"/>
    <x v="0"/>
    <x v="0"/>
    <x v="978"/>
    <x v="0"/>
    <x v="6"/>
    <x v="0"/>
    <x v="4"/>
    <x v="15"/>
    <n v="0.4"/>
    <x v="9"/>
    <n v="3"/>
    <n v="192"/>
    <n v="195"/>
  </r>
  <r>
    <n v="416"/>
    <x v="33"/>
    <x v="0"/>
    <x v="0"/>
    <x v="0"/>
    <x v="979"/>
    <x v="0"/>
    <x v="6"/>
    <x v="1"/>
    <x v="0"/>
    <x v="1"/>
    <n v="0.93"/>
    <x v="8"/>
    <n v="1"/>
    <n v="196"/>
    <n v="197"/>
  </r>
  <r>
    <n v="425"/>
    <x v="33"/>
    <x v="0"/>
    <x v="0"/>
    <x v="0"/>
    <x v="980"/>
    <x v="0"/>
    <x v="6"/>
    <x v="0"/>
    <x v="16"/>
    <x v="21"/>
    <n v="0.56999999999999995"/>
    <x v="13"/>
    <n v="7"/>
    <n v="190"/>
    <n v="197"/>
  </r>
  <r>
    <n v="885"/>
    <x v="37"/>
    <x v="0"/>
    <x v="0"/>
    <x v="1"/>
    <x v="981"/>
    <x v="0"/>
    <x v="6"/>
    <x v="0"/>
    <x v="7"/>
    <x v="3"/>
    <n v="0.42"/>
    <x v="0"/>
    <n v="1"/>
    <n v="198"/>
    <n v="199"/>
  </r>
  <r>
    <n v="286"/>
    <x v="32"/>
    <x v="0"/>
    <x v="0"/>
    <x v="0"/>
    <x v="982"/>
    <x v="0"/>
    <x v="4"/>
    <x v="0"/>
    <x v="3"/>
    <x v="3"/>
    <n v="0.5"/>
    <x v="2"/>
    <n v="5"/>
    <n v="197"/>
    <n v="202"/>
  </r>
  <r>
    <n v="775"/>
    <x v="25"/>
    <x v="0"/>
    <x v="0"/>
    <x v="1"/>
    <x v="983"/>
    <x v="0"/>
    <x v="5"/>
    <x v="1"/>
    <x v="9"/>
    <x v="16"/>
    <n v="0.56000000000000005"/>
    <x v="4"/>
    <n v="10"/>
    <n v="195"/>
    <n v="205"/>
  </r>
  <r>
    <n v="146"/>
    <x v="5"/>
    <x v="0"/>
    <x v="0"/>
    <x v="0"/>
    <x v="984"/>
    <x v="0"/>
    <x v="5"/>
    <x v="0"/>
    <x v="4"/>
    <x v="5"/>
    <n v="0.51"/>
    <x v="10"/>
    <n v="20"/>
    <n v="190"/>
    <n v="210"/>
  </r>
  <r>
    <n v="939"/>
    <x v="42"/>
    <x v="0"/>
    <x v="0"/>
    <x v="1"/>
    <x v="985"/>
    <x v="0"/>
    <x v="5"/>
    <x v="0"/>
    <x v="22"/>
    <x v="21"/>
    <n v="0.24"/>
    <x v="0"/>
    <n v="18"/>
    <n v="193"/>
    <n v="211"/>
  </r>
  <r>
    <n v="86"/>
    <x v="3"/>
    <x v="0"/>
    <x v="0"/>
    <x v="0"/>
    <x v="986"/>
    <x v="0"/>
    <x v="3"/>
    <x v="0"/>
    <x v="13"/>
    <x v="16"/>
    <n v="0.48"/>
    <x v="5"/>
    <n v="10"/>
    <n v="202"/>
    <n v="212"/>
  </r>
  <r>
    <n v="449"/>
    <x v="14"/>
    <x v="0"/>
    <x v="0"/>
    <x v="0"/>
    <x v="987"/>
    <x v="0"/>
    <x v="4"/>
    <x v="1"/>
    <x v="22"/>
    <x v="22"/>
    <n v="0.49"/>
    <x v="8"/>
    <n v="8"/>
    <n v="207"/>
    <n v="215"/>
  </r>
  <r>
    <n v="847"/>
    <x v="27"/>
    <x v="0"/>
    <x v="0"/>
    <x v="1"/>
    <x v="988"/>
    <x v="0"/>
    <x v="2"/>
    <x v="1"/>
    <x v="18"/>
    <x v="22"/>
    <n v="0.7"/>
    <x v="6"/>
    <n v="9"/>
    <n v="207"/>
    <n v="216"/>
  </r>
  <r>
    <n v="930"/>
    <x v="42"/>
    <x v="0"/>
    <x v="0"/>
    <x v="1"/>
    <x v="989"/>
    <x v="0"/>
    <x v="5"/>
    <x v="0"/>
    <x v="7"/>
    <x v="8"/>
    <n v="0.74"/>
    <x v="6"/>
    <n v="4"/>
    <n v="212"/>
    <n v="216"/>
  </r>
  <r>
    <n v="240"/>
    <x v="40"/>
    <x v="0"/>
    <x v="0"/>
    <x v="0"/>
    <x v="990"/>
    <x v="0"/>
    <x v="3"/>
    <x v="1"/>
    <x v="5"/>
    <x v="6"/>
    <n v="0.51"/>
    <x v="1"/>
    <n v="3"/>
    <n v="214"/>
    <n v="217"/>
  </r>
  <r>
    <n v="464"/>
    <x v="15"/>
    <x v="0"/>
    <x v="0"/>
    <x v="0"/>
    <x v="991"/>
    <x v="0"/>
    <x v="5"/>
    <x v="0"/>
    <x v="4"/>
    <x v="15"/>
    <n v="0.47"/>
    <x v="13"/>
    <n v="7"/>
    <n v="210"/>
    <n v="217"/>
  </r>
  <r>
    <n v="123"/>
    <x v="4"/>
    <x v="0"/>
    <x v="0"/>
    <x v="0"/>
    <x v="992"/>
    <x v="0"/>
    <x v="4"/>
    <x v="0"/>
    <x v="2"/>
    <x v="9"/>
    <n v="0.59"/>
    <x v="0"/>
    <n v="3"/>
    <n v="216"/>
    <n v="219"/>
  </r>
  <r>
    <n v="766"/>
    <x v="25"/>
    <x v="0"/>
    <x v="0"/>
    <x v="1"/>
    <x v="993"/>
    <x v="0"/>
    <x v="5"/>
    <x v="0"/>
    <x v="3"/>
    <x v="4"/>
    <n v="0.74"/>
    <x v="4"/>
    <n v="3"/>
    <n v="217"/>
    <n v="220"/>
  </r>
  <r>
    <n v="565"/>
    <x v="18"/>
    <x v="0"/>
    <x v="0"/>
    <x v="0"/>
    <x v="994"/>
    <x v="0"/>
    <x v="3"/>
    <x v="0"/>
    <x v="22"/>
    <x v="21"/>
    <n v="0.45"/>
    <x v="0"/>
    <n v="14"/>
    <n v="208"/>
    <n v="222"/>
  </r>
  <r>
    <n v="566"/>
    <x v="18"/>
    <x v="0"/>
    <x v="0"/>
    <x v="0"/>
    <x v="995"/>
    <x v="0"/>
    <x v="3"/>
    <x v="1"/>
    <x v="22"/>
    <x v="22"/>
    <n v="0.49"/>
    <x v="1"/>
    <n v="7"/>
    <n v="218"/>
    <n v="225"/>
  </r>
  <r>
    <n v="838"/>
    <x v="27"/>
    <x v="0"/>
    <x v="0"/>
    <x v="1"/>
    <x v="996"/>
    <x v="0"/>
    <x v="2"/>
    <x v="1"/>
    <x v="2"/>
    <x v="9"/>
    <n v="1"/>
    <x v="0"/>
    <n v="7"/>
    <n v="223"/>
    <n v="230"/>
  </r>
  <r>
    <n v="556"/>
    <x v="18"/>
    <x v="0"/>
    <x v="0"/>
    <x v="0"/>
    <x v="997"/>
    <x v="0"/>
    <x v="3"/>
    <x v="1"/>
    <x v="2"/>
    <x v="15"/>
    <n v="0.74"/>
    <x v="4"/>
    <n v="5"/>
    <n v="233"/>
    <n v="238"/>
  </r>
  <r>
    <n v="862"/>
    <x v="28"/>
    <x v="0"/>
    <x v="0"/>
    <x v="1"/>
    <x v="998"/>
    <x v="0"/>
    <x v="3"/>
    <x v="0"/>
    <x v="0"/>
    <x v="5"/>
    <n v="0.56000000000000005"/>
    <x v="19"/>
    <n v="7"/>
    <n v="236"/>
    <n v="243"/>
  </r>
  <r>
    <n v="440"/>
    <x v="14"/>
    <x v="0"/>
    <x v="0"/>
    <x v="0"/>
    <x v="999"/>
    <x v="0"/>
    <x v="4"/>
    <x v="0"/>
    <x v="10"/>
    <x v="6"/>
    <n v="0.55000000000000004"/>
    <x v="7"/>
    <n v="2"/>
    <n v="247"/>
    <n v="24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5"/>
    <d v="2011-01-01T00:00:00"/>
    <x v="0"/>
    <x v="0"/>
    <x v="0"/>
    <d v="1899-12-30T04:00:00"/>
    <x v="0"/>
    <x v="0"/>
    <x v="0"/>
    <x v="0"/>
    <x v="0"/>
    <n v="0.75"/>
    <x v="0"/>
    <n v="0"/>
    <n v="1"/>
    <n v="1"/>
  </r>
  <r>
    <n v="6"/>
    <d v="2011-01-01T00:00:00"/>
    <x v="0"/>
    <x v="0"/>
    <x v="0"/>
    <d v="1899-12-30T05:00:00"/>
    <x v="0"/>
    <x v="0"/>
    <x v="1"/>
    <x v="0"/>
    <x v="1"/>
    <n v="0.75"/>
    <x v="1"/>
    <n v="0"/>
    <n v="1"/>
    <n v="1"/>
  </r>
  <r>
    <n v="31"/>
    <d v="2011-01-02T00:00:00"/>
    <x v="0"/>
    <x v="0"/>
    <x v="0"/>
    <d v="1899-12-31T06:00:00"/>
    <x v="0"/>
    <x v="1"/>
    <x v="1"/>
    <x v="1"/>
    <x v="2"/>
    <n v="0.76"/>
    <x v="2"/>
    <n v="0"/>
    <n v="1"/>
    <n v="1"/>
  </r>
  <r>
    <n v="50"/>
    <d v="2011-01-03T00:00:00"/>
    <x v="0"/>
    <x v="0"/>
    <x v="0"/>
    <d v="1900-01-01T01:00:00"/>
    <x v="0"/>
    <x v="2"/>
    <x v="0"/>
    <x v="2"/>
    <x v="3"/>
    <n v="0.47"/>
    <x v="3"/>
    <n v="0"/>
    <n v="1"/>
    <n v="1"/>
  </r>
  <r>
    <n v="72"/>
    <d v="2011-01-04T00:00:00"/>
    <x v="0"/>
    <x v="0"/>
    <x v="0"/>
    <d v="1900-01-01T23:00:00"/>
    <x v="0"/>
    <x v="3"/>
    <x v="0"/>
    <x v="3"/>
    <x v="4"/>
    <n v="0.63"/>
    <x v="4"/>
    <n v="0"/>
    <n v="1"/>
    <n v="1"/>
  </r>
  <r>
    <n v="119"/>
    <d v="2011-01-06T00:00:00"/>
    <x v="0"/>
    <x v="0"/>
    <x v="0"/>
    <d v="1900-01-03T22:00:00"/>
    <x v="0"/>
    <x v="4"/>
    <x v="1"/>
    <x v="2"/>
    <x v="5"/>
    <n v="0.64"/>
    <x v="1"/>
    <n v="0"/>
    <n v="1"/>
    <n v="1"/>
  </r>
  <r>
    <n v="141"/>
    <d v="2011-01-07T00:00:00"/>
    <x v="0"/>
    <x v="0"/>
    <x v="0"/>
    <d v="1900-01-04T20:00:00"/>
    <x v="0"/>
    <x v="5"/>
    <x v="1"/>
    <x v="4"/>
    <x v="5"/>
    <n v="0.69"/>
    <x v="5"/>
    <n v="0"/>
    <n v="1"/>
    <n v="1"/>
  </r>
  <r>
    <n v="142"/>
    <d v="2011-01-07T00:00:00"/>
    <x v="0"/>
    <x v="0"/>
    <x v="0"/>
    <d v="1900-01-04T21:00:00"/>
    <x v="0"/>
    <x v="5"/>
    <x v="1"/>
    <x v="4"/>
    <x v="6"/>
    <n v="0.69"/>
    <x v="4"/>
    <n v="0"/>
    <n v="1"/>
    <n v="1"/>
  </r>
  <r>
    <n v="166"/>
    <d v="2011-01-08T00:00:00"/>
    <x v="0"/>
    <x v="0"/>
    <x v="0"/>
    <d v="1900-01-05T21:00:00"/>
    <x v="0"/>
    <x v="0"/>
    <x v="2"/>
    <x v="5"/>
    <x v="5"/>
    <n v="0.55000000000000004"/>
    <x v="6"/>
    <n v="0"/>
    <n v="1"/>
    <n v="1"/>
  </r>
  <r>
    <n v="190"/>
    <d v="2011-01-09T00:00:00"/>
    <x v="0"/>
    <x v="0"/>
    <x v="0"/>
    <d v="1900-01-06T21:00:00"/>
    <x v="0"/>
    <x v="1"/>
    <x v="0"/>
    <x v="6"/>
    <x v="7"/>
    <n v="0.53"/>
    <x v="2"/>
    <n v="0"/>
    <n v="1"/>
    <n v="1"/>
  </r>
  <r>
    <n v="191"/>
    <d v="2011-01-09T00:00:00"/>
    <x v="0"/>
    <x v="0"/>
    <x v="0"/>
    <d v="1900-01-06T22:00:00"/>
    <x v="0"/>
    <x v="1"/>
    <x v="0"/>
    <x v="6"/>
    <x v="7"/>
    <n v="0.53"/>
    <x v="2"/>
    <n v="0"/>
    <n v="1"/>
    <n v="1"/>
  </r>
  <r>
    <n v="192"/>
    <d v="2011-01-09T00:00:00"/>
    <x v="0"/>
    <x v="0"/>
    <x v="0"/>
    <d v="1900-01-06T23:00:00"/>
    <x v="0"/>
    <x v="1"/>
    <x v="0"/>
    <x v="7"/>
    <x v="7"/>
    <n v="0.49"/>
    <x v="7"/>
    <n v="0"/>
    <n v="1"/>
    <n v="1"/>
  </r>
  <r>
    <n v="211"/>
    <d v="2011-01-10T00:00:00"/>
    <x v="0"/>
    <x v="0"/>
    <x v="0"/>
    <d v="1900-01-07T18:00:00"/>
    <x v="0"/>
    <x v="2"/>
    <x v="0"/>
    <x v="8"/>
    <x v="8"/>
    <n v="0.5"/>
    <x v="7"/>
    <n v="1"/>
    <n v="0"/>
    <n v="1"/>
  </r>
  <r>
    <n v="213"/>
    <d v="2011-01-10T00:00:00"/>
    <x v="0"/>
    <x v="0"/>
    <x v="0"/>
    <d v="1900-01-07T20:00:00"/>
    <x v="0"/>
    <x v="2"/>
    <x v="0"/>
    <x v="8"/>
    <x v="8"/>
    <n v="0.5"/>
    <x v="5"/>
    <n v="0"/>
    <n v="1"/>
    <n v="1"/>
  </r>
  <r>
    <n v="258"/>
    <d v="2011-01-12T00:00:00"/>
    <x v="0"/>
    <x v="0"/>
    <x v="0"/>
    <d v="1900-01-09T17:00:00"/>
    <x v="0"/>
    <x v="6"/>
    <x v="0"/>
    <x v="3"/>
    <x v="4"/>
    <n v="0.86"/>
    <x v="4"/>
    <n v="0"/>
    <n v="1"/>
    <n v="1"/>
  </r>
  <r>
    <n v="304"/>
    <d v="2011-01-14T00:00:00"/>
    <x v="0"/>
    <x v="0"/>
    <x v="0"/>
    <d v="1900-01-11T15:00:00"/>
    <x v="0"/>
    <x v="5"/>
    <x v="0"/>
    <x v="7"/>
    <x v="8"/>
    <n v="0.54"/>
    <x v="4"/>
    <n v="0"/>
    <n v="1"/>
    <n v="1"/>
  </r>
  <r>
    <n v="305"/>
    <d v="2011-01-14T00:00:00"/>
    <x v="0"/>
    <x v="0"/>
    <x v="0"/>
    <d v="1900-01-11T16:00:00"/>
    <x v="0"/>
    <x v="5"/>
    <x v="0"/>
    <x v="7"/>
    <x v="3"/>
    <n v="0.54"/>
    <x v="8"/>
    <n v="0"/>
    <n v="1"/>
    <n v="1"/>
  </r>
  <r>
    <n v="330"/>
    <d v="2011-01-15T00:00:00"/>
    <x v="0"/>
    <x v="0"/>
    <x v="0"/>
    <d v="1900-01-12T17:00:00"/>
    <x v="0"/>
    <x v="0"/>
    <x v="0"/>
    <x v="2"/>
    <x v="9"/>
    <n v="0.59"/>
    <x v="0"/>
    <n v="0"/>
    <n v="1"/>
    <n v="1"/>
  </r>
  <r>
    <n v="353"/>
    <d v="2011-01-16T00:00:00"/>
    <x v="0"/>
    <x v="0"/>
    <x v="0"/>
    <d v="1900-01-13T16:00:00"/>
    <x v="0"/>
    <x v="1"/>
    <x v="0"/>
    <x v="9"/>
    <x v="1"/>
    <n v="0.56000000000000005"/>
    <x v="6"/>
    <n v="0"/>
    <n v="1"/>
    <n v="1"/>
  </r>
  <r>
    <n v="355"/>
    <d v="2011-01-16T00:00:00"/>
    <x v="0"/>
    <x v="0"/>
    <x v="0"/>
    <d v="1900-01-13T18:00:00"/>
    <x v="0"/>
    <x v="1"/>
    <x v="1"/>
    <x v="9"/>
    <x v="1"/>
    <n v="0.56000000000000005"/>
    <x v="6"/>
    <n v="0"/>
    <n v="1"/>
    <n v="1"/>
  </r>
  <r>
    <n v="378"/>
    <d v="2011-01-17T00:00:00"/>
    <x v="0"/>
    <x v="0"/>
    <x v="0"/>
    <d v="1900-01-14T17:00:00"/>
    <x v="1"/>
    <x v="2"/>
    <x v="1"/>
    <x v="5"/>
    <x v="5"/>
    <n v="0.43"/>
    <x v="6"/>
    <n v="0"/>
    <n v="1"/>
    <n v="1"/>
  </r>
  <r>
    <n v="435"/>
    <d v="2011-01-20T00:00:00"/>
    <x v="0"/>
    <x v="0"/>
    <x v="0"/>
    <d v="1900-01-17T02:00:00"/>
    <x v="0"/>
    <x v="4"/>
    <x v="0"/>
    <x v="9"/>
    <x v="1"/>
    <n v="0.56000000000000005"/>
    <x v="6"/>
    <n v="0"/>
    <n v="1"/>
    <n v="1"/>
  </r>
  <r>
    <n v="436"/>
    <d v="2011-01-20T00:00:00"/>
    <x v="0"/>
    <x v="0"/>
    <x v="0"/>
    <d v="1900-01-17T03:00:00"/>
    <x v="0"/>
    <x v="4"/>
    <x v="0"/>
    <x v="9"/>
    <x v="1"/>
    <n v="0.56000000000000005"/>
    <x v="6"/>
    <n v="0"/>
    <n v="1"/>
    <n v="1"/>
  </r>
  <r>
    <n v="459"/>
    <d v="2011-01-21T00:00:00"/>
    <x v="0"/>
    <x v="0"/>
    <x v="0"/>
    <d v="1900-01-18T02:00:00"/>
    <x v="0"/>
    <x v="5"/>
    <x v="2"/>
    <x v="10"/>
    <x v="6"/>
    <n v="0.8"/>
    <x v="9"/>
    <n v="0"/>
    <n v="1"/>
    <n v="1"/>
  </r>
  <r>
    <n v="460"/>
    <d v="2011-01-21T00:00:00"/>
    <x v="0"/>
    <x v="0"/>
    <x v="0"/>
    <d v="1900-01-18T03:00:00"/>
    <x v="0"/>
    <x v="5"/>
    <x v="1"/>
    <x v="10"/>
    <x v="1"/>
    <n v="0.87"/>
    <x v="1"/>
    <n v="0"/>
    <n v="1"/>
    <n v="1"/>
  </r>
  <r>
    <n v="508"/>
    <d v="2011-01-23T00:00:00"/>
    <x v="0"/>
    <x v="0"/>
    <x v="0"/>
    <d v="1900-01-20T03:00:00"/>
    <x v="0"/>
    <x v="1"/>
    <x v="1"/>
    <x v="11"/>
    <x v="10"/>
    <n v="0.56999999999999995"/>
    <x v="8"/>
    <n v="0"/>
    <n v="1"/>
    <n v="1"/>
  </r>
  <r>
    <n v="527"/>
    <d v="2011-01-24T00:00:00"/>
    <x v="0"/>
    <x v="0"/>
    <x v="0"/>
    <d v="1900-01-20T22:00:00"/>
    <x v="0"/>
    <x v="2"/>
    <x v="0"/>
    <x v="11"/>
    <x v="11"/>
    <n v="0.45"/>
    <x v="2"/>
    <n v="0"/>
    <n v="1"/>
    <n v="1"/>
  </r>
  <r>
    <n v="528"/>
    <d v="2011-01-24T00:00:00"/>
    <x v="0"/>
    <x v="0"/>
    <x v="0"/>
    <d v="1900-01-20T23:00:00"/>
    <x v="0"/>
    <x v="2"/>
    <x v="0"/>
    <x v="11"/>
    <x v="12"/>
    <n v="0.45"/>
    <x v="10"/>
    <n v="0"/>
    <n v="1"/>
    <n v="1"/>
  </r>
  <r>
    <n v="529"/>
    <d v="2011-01-24T00:00:00"/>
    <x v="0"/>
    <x v="0"/>
    <x v="0"/>
    <d v="1900-01-21T00:00:00"/>
    <x v="0"/>
    <x v="2"/>
    <x v="0"/>
    <x v="12"/>
    <x v="13"/>
    <n v="0.48"/>
    <x v="4"/>
    <n v="0"/>
    <n v="1"/>
    <n v="1"/>
  </r>
  <r>
    <n v="552"/>
    <d v="2011-01-25T00:00:00"/>
    <x v="0"/>
    <x v="0"/>
    <x v="0"/>
    <d v="1900-01-21T23:00:00"/>
    <x v="0"/>
    <x v="3"/>
    <x v="0"/>
    <x v="3"/>
    <x v="14"/>
    <n v="0.74"/>
    <x v="8"/>
    <n v="0"/>
    <n v="1"/>
    <n v="1"/>
  </r>
  <r>
    <n v="575"/>
    <d v="2011-01-26T00:00:00"/>
    <x v="0"/>
    <x v="0"/>
    <x v="0"/>
    <d v="1900-01-22T22:00:00"/>
    <x v="0"/>
    <x v="6"/>
    <x v="2"/>
    <x v="4"/>
    <x v="15"/>
    <n v="0.86"/>
    <x v="7"/>
    <n v="0"/>
    <n v="1"/>
    <n v="1"/>
  </r>
  <r>
    <n v="599"/>
    <d v="2011-01-28T00:00:00"/>
    <x v="0"/>
    <x v="0"/>
    <x v="0"/>
    <d v="1900-01-23T22:00:00"/>
    <x v="0"/>
    <x v="5"/>
    <x v="1"/>
    <x v="4"/>
    <x v="9"/>
    <n v="0.75"/>
    <x v="8"/>
    <n v="1"/>
    <n v="0"/>
    <n v="1"/>
  </r>
  <r>
    <n v="646"/>
    <d v="2011-01-30T00:00:00"/>
    <x v="0"/>
    <x v="0"/>
    <x v="0"/>
    <d v="1900-01-25T21:00:00"/>
    <x v="0"/>
    <x v="1"/>
    <x v="0"/>
    <x v="3"/>
    <x v="6"/>
    <n v="0.93"/>
    <x v="0"/>
    <n v="0"/>
    <n v="1"/>
    <n v="1"/>
  </r>
  <r>
    <n v="667"/>
    <d v="2011-01-31T00:00:00"/>
    <x v="0"/>
    <x v="0"/>
    <x v="0"/>
    <d v="1900-01-26T18:00:00"/>
    <x v="0"/>
    <x v="2"/>
    <x v="0"/>
    <x v="10"/>
    <x v="9"/>
    <n v="0.64"/>
    <x v="2"/>
    <n v="0"/>
    <n v="1"/>
    <n v="1"/>
  </r>
  <r>
    <n v="715"/>
    <d v="2011-02-02T00:00:00"/>
    <x v="0"/>
    <x v="0"/>
    <x v="1"/>
    <d v="1900-01-28T18:00:00"/>
    <x v="0"/>
    <x v="6"/>
    <x v="2"/>
    <x v="10"/>
    <x v="9"/>
    <n v="0.93"/>
    <x v="4"/>
    <n v="0"/>
    <n v="1"/>
    <n v="1"/>
  </r>
  <r>
    <n v="716"/>
    <d v="2011-02-02T00:00:00"/>
    <x v="0"/>
    <x v="0"/>
    <x v="1"/>
    <d v="1900-01-28T19:00:00"/>
    <x v="0"/>
    <x v="6"/>
    <x v="2"/>
    <x v="10"/>
    <x v="6"/>
    <n v="0.93"/>
    <x v="7"/>
    <n v="0"/>
    <n v="1"/>
    <n v="1"/>
  </r>
  <r>
    <n v="739"/>
    <d v="2011-02-03T00:00:00"/>
    <x v="0"/>
    <x v="0"/>
    <x v="1"/>
    <d v="1900-01-29T18:00:00"/>
    <x v="0"/>
    <x v="4"/>
    <x v="0"/>
    <x v="5"/>
    <x v="14"/>
    <n v="0.43"/>
    <x v="10"/>
    <n v="0"/>
    <n v="1"/>
    <n v="1"/>
  </r>
  <r>
    <n v="761"/>
    <d v="2011-02-04T00:00:00"/>
    <x v="0"/>
    <x v="0"/>
    <x v="1"/>
    <d v="1900-01-30T16:00:00"/>
    <x v="0"/>
    <x v="5"/>
    <x v="1"/>
    <x v="3"/>
    <x v="14"/>
    <n v="0.63"/>
    <x v="8"/>
    <n v="0"/>
    <n v="1"/>
    <n v="1"/>
  </r>
  <r>
    <n v="762"/>
    <d v="2011-02-04T00:00:00"/>
    <x v="0"/>
    <x v="0"/>
    <x v="1"/>
    <d v="1900-01-30T17:00:00"/>
    <x v="0"/>
    <x v="5"/>
    <x v="1"/>
    <x v="3"/>
    <x v="14"/>
    <n v="0.63"/>
    <x v="8"/>
    <n v="0"/>
    <n v="1"/>
    <n v="1"/>
  </r>
  <r>
    <n v="811"/>
    <d v="2011-02-06T00:00:00"/>
    <x v="0"/>
    <x v="0"/>
    <x v="1"/>
    <d v="1900-02-01T18:00:00"/>
    <x v="0"/>
    <x v="1"/>
    <x v="0"/>
    <x v="9"/>
    <x v="1"/>
    <n v="0.6"/>
    <x v="5"/>
    <n v="0"/>
    <n v="1"/>
    <n v="1"/>
  </r>
  <r>
    <n v="812"/>
    <d v="2011-02-06T00:00:00"/>
    <x v="0"/>
    <x v="0"/>
    <x v="1"/>
    <d v="1900-02-01T19:00:00"/>
    <x v="0"/>
    <x v="1"/>
    <x v="0"/>
    <x v="9"/>
    <x v="1"/>
    <n v="0.6"/>
    <x v="5"/>
    <n v="0"/>
    <n v="1"/>
    <n v="1"/>
  </r>
  <r>
    <n v="833"/>
    <d v="2011-02-07T00:00:00"/>
    <x v="0"/>
    <x v="0"/>
    <x v="1"/>
    <d v="1900-02-02T16:00:00"/>
    <x v="0"/>
    <x v="2"/>
    <x v="0"/>
    <x v="4"/>
    <x v="1"/>
    <n v="0.86"/>
    <x v="0"/>
    <n v="0"/>
    <n v="1"/>
    <n v="1"/>
  </r>
  <r>
    <n v="857"/>
    <d v="2011-02-08T00:00:00"/>
    <x v="0"/>
    <x v="0"/>
    <x v="1"/>
    <d v="1900-02-03T16:00:00"/>
    <x v="0"/>
    <x v="3"/>
    <x v="2"/>
    <x v="13"/>
    <x v="16"/>
    <n v="0.93"/>
    <x v="6"/>
    <n v="0"/>
    <n v="1"/>
    <n v="1"/>
  </r>
  <r>
    <n v="904"/>
    <d v="2011-02-10T00:00:00"/>
    <x v="0"/>
    <x v="0"/>
    <x v="1"/>
    <d v="1900-02-05T15:00:00"/>
    <x v="0"/>
    <x v="4"/>
    <x v="1"/>
    <x v="3"/>
    <x v="3"/>
    <n v="0.59"/>
    <x v="5"/>
    <n v="0"/>
    <n v="1"/>
    <n v="1"/>
  </r>
  <r>
    <n v="951"/>
    <d v="2011-02-12T00:00:00"/>
    <x v="0"/>
    <x v="0"/>
    <x v="1"/>
    <d v="1900-02-07T14:00:00"/>
    <x v="0"/>
    <x v="0"/>
    <x v="0"/>
    <x v="8"/>
    <x v="14"/>
    <n v="0.74"/>
    <x v="1"/>
    <n v="0"/>
    <n v="1"/>
    <n v="1"/>
  </r>
  <r>
    <n v="7"/>
    <d v="2011-01-01T00:00:00"/>
    <x v="0"/>
    <x v="0"/>
    <x v="0"/>
    <d v="1899-12-30T06:00:00"/>
    <x v="0"/>
    <x v="0"/>
    <x v="0"/>
    <x v="10"/>
    <x v="16"/>
    <n v="0.8"/>
    <x v="0"/>
    <n v="2"/>
    <n v="0"/>
    <n v="2"/>
  </r>
  <r>
    <n v="30"/>
    <d v="2011-01-02T00:00:00"/>
    <x v="0"/>
    <x v="0"/>
    <x v="0"/>
    <d v="1899-12-31T05:00:00"/>
    <x v="0"/>
    <x v="1"/>
    <x v="2"/>
    <x v="14"/>
    <x v="17"/>
    <n v="0.77"/>
    <x v="9"/>
    <n v="0"/>
    <n v="2"/>
    <n v="2"/>
  </r>
  <r>
    <n v="49"/>
    <d v="2011-01-03T00:00:00"/>
    <x v="0"/>
    <x v="0"/>
    <x v="0"/>
    <d v="1900-01-01T00:00:00"/>
    <x v="0"/>
    <x v="2"/>
    <x v="0"/>
    <x v="4"/>
    <x v="18"/>
    <n v="0.44"/>
    <x v="11"/>
    <n v="0"/>
    <n v="2"/>
    <n v="2"/>
  </r>
  <r>
    <n v="71"/>
    <d v="2011-01-04T00:00:00"/>
    <x v="0"/>
    <x v="0"/>
    <x v="0"/>
    <d v="1900-01-01T22:00:00"/>
    <x v="0"/>
    <x v="3"/>
    <x v="0"/>
    <x v="2"/>
    <x v="15"/>
    <n v="0.59"/>
    <x v="8"/>
    <n v="0"/>
    <n v="2"/>
    <n v="2"/>
  </r>
  <r>
    <n v="73"/>
    <d v="2011-01-04T00:00:00"/>
    <x v="0"/>
    <x v="0"/>
    <x v="0"/>
    <d v="1900-01-02T00:00:00"/>
    <x v="0"/>
    <x v="3"/>
    <x v="0"/>
    <x v="3"/>
    <x v="15"/>
    <n v="0.63"/>
    <x v="1"/>
    <n v="0"/>
    <n v="2"/>
    <n v="2"/>
  </r>
  <r>
    <n v="95"/>
    <d v="2011-01-05T00:00:00"/>
    <x v="0"/>
    <x v="0"/>
    <x v="0"/>
    <d v="1900-01-02T22:00:00"/>
    <x v="0"/>
    <x v="6"/>
    <x v="0"/>
    <x v="2"/>
    <x v="5"/>
    <n v="0.74"/>
    <x v="1"/>
    <n v="0"/>
    <n v="2"/>
    <n v="2"/>
  </r>
  <r>
    <n v="96"/>
    <d v="2011-01-05T00:00:00"/>
    <x v="0"/>
    <x v="0"/>
    <x v="0"/>
    <d v="1900-01-02T23:00:00"/>
    <x v="0"/>
    <x v="6"/>
    <x v="0"/>
    <x v="0"/>
    <x v="9"/>
    <n v="0.48"/>
    <x v="5"/>
    <n v="0"/>
    <n v="2"/>
    <n v="2"/>
  </r>
  <r>
    <n v="118"/>
    <d v="2011-01-06T00:00:00"/>
    <x v="0"/>
    <x v="0"/>
    <x v="0"/>
    <d v="1900-01-03T21:00:00"/>
    <x v="0"/>
    <x v="4"/>
    <x v="0"/>
    <x v="2"/>
    <x v="9"/>
    <n v="0.64"/>
    <x v="0"/>
    <n v="0"/>
    <n v="2"/>
    <n v="2"/>
  </r>
  <r>
    <n v="168"/>
    <d v="2011-01-08T00:00:00"/>
    <x v="0"/>
    <x v="0"/>
    <x v="0"/>
    <d v="1900-01-05T23:00:00"/>
    <x v="0"/>
    <x v="0"/>
    <x v="1"/>
    <x v="2"/>
    <x v="14"/>
    <n v="0.74"/>
    <x v="6"/>
    <n v="0"/>
    <n v="2"/>
    <n v="2"/>
  </r>
  <r>
    <n v="279"/>
    <d v="2011-01-13T00:00:00"/>
    <x v="0"/>
    <x v="0"/>
    <x v="0"/>
    <d v="1900-01-10T14:00:00"/>
    <x v="0"/>
    <x v="4"/>
    <x v="0"/>
    <x v="3"/>
    <x v="8"/>
    <n v="0.5"/>
    <x v="7"/>
    <n v="0"/>
    <n v="2"/>
    <n v="2"/>
  </r>
  <r>
    <n v="280"/>
    <d v="2011-01-13T00:00:00"/>
    <x v="0"/>
    <x v="0"/>
    <x v="0"/>
    <d v="1900-01-10T15:00:00"/>
    <x v="0"/>
    <x v="4"/>
    <x v="0"/>
    <x v="3"/>
    <x v="8"/>
    <n v="0.5"/>
    <x v="12"/>
    <n v="0"/>
    <n v="2"/>
    <n v="2"/>
  </r>
  <r>
    <n v="354"/>
    <d v="2011-01-16T00:00:00"/>
    <x v="0"/>
    <x v="0"/>
    <x v="0"/>
    <d v="1900-01-13T17:00:00"/>
    <x v="0"/>
    <x v="1"/>
    <x v="1"/>
    <x v="9"/>
    <x v="1"/>
    <n v="0.56000000000000005"/>
    <x v="6"/>
    <n v="1"/>
    <n v="1"/>
    <n v="2"/>
  </r>
  <r>
    <n v="376"/>
    <d v="2011-01-17T00:00:00"/>
    <x v="0"/>
    <x v="0"/>
    <x v="0"/>
    <d v="1900-01-14T15:00:00"/>
    <x v="1"/>
    <x v="2"/>
    <x v="1"/>
    <x v="5"/>
    <x v="15"/>
    <n v="0.43"/>
    <x v="2"/>
    <n v="0"/>
    <n v="2"/>
    <n v="2"/>
  </r>
  <r>
    <n v="412"/>
    <d v="2011-01-19T00:00:00"/>
    <x v="0"/>
    <x v="0"/>
    <x v="0"/>
    <d v="1900-01-16T03:00:00"/>
    <x v="0"/>
    <x v="6"/>
    <x v="2"/>
    <x v="10"/>
    <x v="9"/>
    <n v="0.93"/>
    <x v="4"/>
    <n v="1"/>
    <n v="1"/>
    <n v="2"/>
  </r>
  <r>
    <n v="434"/>
    <d v="2011-01-20T00:00:00"/>
    <x v="0"/>
    <x v="0"/>
    <x v="0"/>
    <d v="1900-01-17T01:00:00"/>
    <x v="0"/>
    <x v="4"/>
    <x v="0"/>
    <x v="9"/>
    <x v="16"/>
    <n v="0.56000000000000005"/>
    <x v="0"/>
    <n v="0"/>
    <n v="2"/>
    <n v="2"/>
  </r>
  <r>
    <n v="458"/>
    <d v="2011-01-21T00:00:00"/>
    <x v="0"/>
    <x v="0"/>
    <x v="0"/>
    <d v="1900-01-18T01:00:00"/>
    <x v="0"/>
    <x v="5"/>
    <x v="2"/>
    <x v="0"/>
    <x v="19"/>
    <n v="0.75"/>
    <x v="6"/>
    <n v="0"/>
    <n v="2"/>
    <n v="2"/>
  </r>
  <r>
    <n v="485"/>
    <d v="2011-01-22T00:00:00"/>
    <x v="0"/>
    <x v="0"/>
    <x v="0"/>
    <d v="1900-01-19T04:00:00"/>
    <x v="0"/>
    <x v="0"/>
    <x v="1"/>
    <x v="12"/>
    <x v="12"/>
    <n v="0.44"/>
    <x v="5"/>
    <n v="0"/>
    <n v="2"/>
    <n v="2"/>
  </r>
  <r>
    <n v="509"/>
    <d v="2011-01-23T00:00:00"/>
    <x v="0"/>
    <x v="0"/>
    <x v="0"/>
    <d v="1900-01-20T04:00:00"/>
    <x v="0"/>
    <x v="1"/>
    <x v="0"/>
    <x v="6"/>
    <x v="20"/>
    <n v="0.57999999999999996"/>
    <x v="6"/>
    <n v="1"/>
    <n v="1"/>
    <n v="2"/>
  </r>
  <r>
    <n v="551"/>
    <d v="2011-01-25T00:00:00"/>
    <x v="0"/>
    <x v="0"/>
    <x v="0"/>
    <d v="1900-01-21T22:00:00"/>
    <x v="0"/>
    <x v="3"/>
    <x v="0"/>
    <x v="2"/>
    <x v="4"/>
    <n v="0.69"/>
    <x v="5"/>
    <n v="0"/>
    <n v="2"/>
    <n v="2"/>
  </r>
  <r>
    <n v="598"/>
    <d v="2011-01-28T00:00:00"/>
    <x v="0"/>
    <x v="0"/>
    <x v="0"/>
    <d v="1900-01-23T21:00:00"/>
    <x v="0"/>
    <x v="5"/>
    <x v="1"/>
    <x v="4"/>
    <x v="6"/>
    <n v="0.75"/>
    <x v="6"/>
    <n v="0"/>
    <n v="2"/>
    <n v="2"/>
  </r>
  <r>
    <n v="624"/>
    <d v="2011-01-29T00:00:00"/>
    <x v="0"/>
    <x v="0"/>
    <x v="0"/>
    <d v="1900-01-24T23:00:00"/>
    <x v="0"/>
    <x v="0"/>
    <x v="0"/>
    <x v="2"/>
    <x v="15"/>
    <n v="0.64"/>
    <x v="4"/>
    <n v="0"/>
    <n v="2"/>
    <n v="2"/>
  </r>
  <r>
    <n v="668"/>
    <d v="2011-01-31T00:00:00"/>
    <x v="0"/>
    <x v="0"/>
    <x v="0"/>
    <d v="1900-01-26T19:00:00"/>
    <x v="0"/>
    <x v="2"/>
    <x v="0"/>
    <x v="10"/>
    <x v="9"/>
    <n v="0.64"/>
    <x v="2"/>
    <n v="0"/>
    <n v="2"/>
    <n v="2"/>
  </r>
  <r>
    <n v="669"/>
    <d v="2011-01-31T00:00:00"/>
    <x v="0"/>
    <x v="0"/>
    <x v="0"/>
    <d v="1900-01-26T20:00:00"/>
    <x v="0"/>
    <x v="2"/>
    <x v="0"/>
    <x v="4"/>
    <x v="5"/>
    <n v="0.59"/>
    <x v="5"/>
    <n v="0"/>
    <n v="2"/>
    <n v="2"/>
  </r>
  <r>
    <n v="691"/>
    <d v="2011-02-01T00:00:00"/>
    <x v="0"/>
    <x v="0"/>
    <x v="1"/>
    <d v="1900-01-27T18:00:00"/>
    <x v="0"/>
    <x v="3"/>
    <x v="1"/>
    <x v="2"/>
    <x v="9"/>
    <n v="0.69"/>
    <x v="0"/>
    <n v="0"/>
    <n v="2"/>
    <n v="2"/>
  </r>
  <r>
    <n v="692"/>
    <d v="2011-02-01T00:00:00"/>
    <x v="0"/>
    <x v="0"/>
    <x v="1"/>
    <d v="1900-01-27T19:00:00"/>
    <x v="0"/>
    <x v="3"/>
    <x v="1"/>
    <x v="2"/>
    <x v="9"/>
    <n v="0.69"/>
    <x v="0"/>
    <n v="0"/>
    <n v="2"/>
    <n v="2"/>
  </r>
  <r>
    <n v="712"/>
    <d v="2011-02-02T00:00:00"/>
    <x v="0"/>
    <x v="0"/>
    <x v="1"/>
    <d v="1900-01-28T15:00:00"/>
    <x v="0"/>
    <x v="6"/>
    <x v="2"/>
    <x v="10"/>
    <x v="19"/>
    <n v="0.93"/>
    <x v="8"/>
    <n v="0"/>
    <n v="2"/>
    <n v="2"/>
  </r>
  <r>
    <n v="738"/>
    <d v="2011-02-03T00:00:00"/>
    <x v="0"/>
    <x v="0"/>
    <x v="1"/>
    <d v="1900-01-29T17:00:00"/>
    <x v="0"/>
    <x v="4"/>
    <x v="0"/>
    <x v="5"/>
    <x v="14"/>
    <n v="0.43"/>
    <x v="10"/>
    <n v="0"/>
    <n v="2"/>
    <n v="2"/>
  </r>
  <r>
    <n v="740"/>
    <d v="2011-02-03T00:00:00"/>
    <x v="0"/>
    <x v="0"/>
    <x v="1"/>
    <d v="1900-01-29T19:00:00"/>
    <x v="0"/>
    <x v="4"/>
    <x v="0"/>
    <x v="2"/>
    <x v="3"/>
    <n v="0.5"/>
    <x v="9"/>
    <n v="0"/>
    <n v="2"/>
    <n v="2"/>
  </r>
  <r>
    <n v="810"/>
    <d v="2011-02-06T00:00:00"/>
    <x v="0"/>
    <x v="0"/>
    <x v="1"/>
    <d v="1900-02-01T17:00:00"/>
    <x v="0"/>
    <x v="1"/>
    <x v="0"/>
    <x v="9"/>
    <x v="9"/>
    <n v="0.6"/>
    <x v="12"/>
    <n v="0"/>
    <n v="2"/>
    <n v="2"/>
  </r>
  <r>
    <n v="834"/>
    <d v="2011-02-07T00:00:00"/>
    <x v="0"/>
    <x v="0"/>
    <x v="1"/>
    <d v="1900-02-02T17:00:00"/>
    <x v="0"/>
    <x v="2"/>
    <x v="0"/>
    <x v="4"/>
    <x v="1"/>
    <n v="0.86"/>
    <x v="0"/>
    <n v="1"/>
    <n v="1"/>
    <n v="2"/>
  </r>
  <r>
    <n v="856"/>
    <d v="2011-02-08T00:00:00"/>
    <x v="0"/>
    <x v="0"/>
    <x v="1"/>
    <d v="1900-02-03T15:00:00"/>
    <x v="0"/>
    <x v="3"/>
    <x v="1"/>
    <x v="9"/>
    <x v="16"/>
    <n v="0.93"/>
    <x v="8"/>
    <n v="1"/>
    <n v="1"/>
    <n v="2"/>
  </r>
  <r>
    <n v="859"/>
    <d v="2011-02-08T00:00:00"/>
    <x v="0"/>
    <x v="0"/>
    <x v="1"/>
    <d v="1900-02-03T18:00:00"/>
    <x v="0"/>
    <x v="3"/>
    <x v="0"/>
    <x v="9"/>
    <x v="9"/>
    <n v="0.81"/>
    <x v="13"/>
    <n v="0"/>
    <n v="2"/>
    <n v="2"/>
  </r>
  <r>
    <n v="881"/>
    <d v="2011-02-09T00:00:00"/>
    <x v="0"/>
    <x v="0"/>
    <x v="1"/>
    <d v="1900-02-04T16:00:00"/>
    <x v="0"/>
    <x v="6"/>
    <x v="0"/>
    <x v="15"/>
    <x v="10"/>
    <n v="0.45"/>
    <x v="4"/>
    <n v="0"/>
    <n v="2"/>
    <n v="2"/>
  </r>
  <r>
    <n v="952"/>
    <d v="2011-02-12T00:00:00"/>
    <x v="0"/>
    <x v="0"/>
    <x v="1"/>
    <d v="1900-02-07T15:00:00"/>
    <x v="0"/>
    <x v="0"/>
    <x v="0"/>
    <x v="8"/>
    <x v="3"/>
    <n v="0.93"/>
    <x v="2"/>
    <n v="1"/>
    <n v="1"/>
    <n v="2"/>
  </r>
  <r>
    <n v="974"/>
    <d v="2011-02-13T00:00:00"/>
    <x v="0"/>
    <x v="0"/>
    <x v="1"/>
    <d v="1900-02-08T13:00:00"/>
    <x v="0"/>
    <x v="1"/>
    <x v="1"/>
    <x v="4"/>
    <x v="6"/>
    <n v="0.69"/>
    <x v="6"/>
    <n v="0"/>
    <n v="2"/>
    <n v="2"/>
  </r>
  <r>
    <n v="995"/>
    <d v="2011-02-14T00:00:00"/>
    <x v="0"/>
    <x v="0"/>
    <x v="1"/>
    <d v="1900-02-09T10:00:00"/>
    <x v="0"/>
    <x v="2"/>
    <x v="0"/>
    <x v="16"/>
    <x v="21"/>
    <n v="0.4"/>
    <x v="9"/>
    <n v="0"/>
    <n v="2"/>
    <n v="2"/>
  </r>
  <r>
    <n v="996"/>
    <d v="2011-02-14T00:00:00"/>
    <x v="0"/>
    <x v="0"/>
    <x v="1"/>
    <d v="1900-02-09T11:00:00"/>
    <x v="0"/>
    <x v="2"/>
    <x v="0"/>
    <x v="17"/>
    <x v="22"/>
    <n v="0.46"/>
    <x v="5"/>
    <n v="1"/>
    <n v="1"/>
    <n v="2"/>
  </r>
  <r>
    <n v="997"/>
    <d v="2011-02-14T00:00:00"/>
    <x v="0"/>
    <x v="0"/>
    <x v="1"/>
    <d v="1900-02-09T12:00:00"/>
    <x v="0"/>
    <x v="2"/>
    <x v="0"/>
    <x v="18"/>
    <x v="23"/>
    <n v="0.53"/>
    <x v="7"/>
    <n v="0"/>
    <n v="2"/>
    <n v="2"/>
  </r>
  <r>
    <n v="8"/>
    <d v="2011-01-01T00:00:00"/>
    <x v="0"/>
    <x v="0"/>
    <x v="0"/>
    <d v="1899-12-30T07:00:00"/>
    <x v="0"/>
    <x v="0"/>
    <x v="0"/>
    <x v="4"/>
    <x v="1"/>
    <n v="0.86"/>
    <x v="0"/>
    <n v="1"/>
    <n v="2"/>
    <n v="3"/>
  </r>
  <r>
    <n v="29"/>
    <d v="2011-01-02T00:00:00"/>
    <x v="0"/>
    <x v="0"/>
    <x v="0"/>
    <d v="1899-12-31T04:00:00"/>
    <x v="0"/>
    <x v="1"/>
    <x v="1"/>
    <x v="19"/>
    <x v="18"/>
    <n v="0.94"/>
    <x v="2"/>
    <n v="2"/>
    <n v="1"/>
    <n v="3"/>
  </r>
  <r>
    <n v="51"/>
    <d v="2011-01-03T00:00:00"/>
    <x v="0"/>
    <x v="0"/>
    <x v="0"/>
    <d v="1900-01-01T02:00:00"/>
    <x v="0"/>
    <x v="2"/>
    <x v="0"/>
    <x v="2"/>
    <x v="3"/>
    <n v="0.47"/>
    <x v="7"/>
    <n v="0"/>
    <n v="3"/>
    <n v="3"/>
  </r>
  <r>
    <n v="97"/>
    <d v="2011-01-05T00:00:00"/>
    <x v="0"/>
    <x v="0"/>
    <x v="0"/>
    <d v="1900-01-03T00:00:00"/>
    <x v="0"/>
    <x v="6"/>
    <x v="0"/>
    <x v="10"/>
    <x v="9"/>
    <n v="0.47"/>
    <x v="6"/>
    <n v="0"/>
    <n v="3"/>
    <n v="3"/>
  </r>
  <r>
    <n v="212"/>
    <d v="2011-01-10T00:00:00"/>
    <x v="0"/>
    <x v="0"/>
    <x v="0"/>
    <d v="1900-01-07T19:00:00"/>
    <x v="0"/>
    <x v="2"/>
    <x v="0"/>
    <x v="8"/>
    <x v="8"/>
    <n v="0.5"/>
    <x v="5"/>
    <n v="0"/>
    <n v="3"/>
    <n v="3"/>
  </r>
  <r>
    <n v="214"/>
    <d v="2011-01-10T00:00:00"/>
    <x v="0"/>
    <x v="0"/>
    <x v="0"/>
    <d v="1900-01-07T21:00:00"/>
    <x v="0"/>
    <x v="2"/>
    <x v="0"/>
    <x v="7"/>
    <x v="8"/>
    <n v="0.54"/>
    <x v="4"/>
    <n v="1"/>
    <n v="2"/>
    <n v="3"/>
  </r>
  <r>
    <n v="215"/>
    <d v="2011-01-10T00:00:00"/>
    <x v="0"/>
    <x v="0"/>
    <x v="0"/>
    <d v="1900-01-07T22:00:00"/>
    <x v="0"/>
    <x v="2"/>
    <x v="0"/>
    <x v="7"/>
    <x v="20"/>
    <n v="0.54"/>
    <x v="10"/>
    <n v="0"/>
    <n v="3"/>
    <n v="3"/>
  </r>
  <r>
    <n v="235"/>
    <d v="2011-01-11T00:00:00"/>
    <x v="0"/>
    <x v="0"/>
    <x v="0"/>
    <d v="1900-01-08T18:00:00"/>
    <x v="0"/>
    <x v="3"/>
    <x v="0"/>
    <x v="3"/>
    <x v="4"/>
    <n v="0.59"/>
    <x v="6"/>
    <n v="0"/>
    <n v="3"/>
    <n v="3"/>
  </r>
  <r>
    <n v="236"/>
    <d v="2011-01-11T00:00:00"/>
    <x v="0"/>
    <x v="0"/>
    <x v="0"/>
    <d v="1900-01-08T19:00:00"/>
    <x v="0"/>
    <x v="3"/>
    <x v="1"/>
    <x v="2"/>
    <x v="4"/>
    <n v="0.55000000000000004"/>
    <x v="2"/>
    <n v="0"/>
    <n v="3"/>
    <n v="3"/>
  </r>
  <r>
    <n v="281"/>
    <d v="2011-01-13T00:00:00"/>
    <x v="0"/>
    <x v="0"/>
    <x v="0"/>
    <d v="1900-01-10T16:00:00"/>
    <x v="0"/>
    <x v="4"/>
    <x v="0"/>
    <x v="3"/>
    <x v="8"/>
    <n v="0.5"/>
    <x v="13"/>
    <n v="0"/>
    <n v="3"/>
    <n v="3"/>
  </r>
  <r>
    <n v="283"/>
    <d v="2011-01-13T00:00:00"/>
    <x v="0"/>
    <x v="0"/>
    <x v="0"/>
    <d v="1900-01-10T18:00:00"/>
    <x v="0"/>
    <x v="4"/>
    <x v="0"/>
    <x v="3"/>
    <x v="8"/>
    <n v="0.5"/>
    <x v="9"/>
    <n v="0"/>
    <n v="3"/>
    <n v="3"/>
  </r>
  <r>
    <n v="331"/>
    <d v="2011-01-15T00:00:00"/>
    <x v="0"/>
    <x v="0"/>
    <x v="0"/>
    <d v="1900-01-12T18:00:00"/>
    <x v="0"/>
    <x v="0"/>
    <x v="0"/>
    <x v="3"/>
    <x v="14"/>
    <n v="0.63"/>
    <x v="8"/>
    <n v="1"/>
    <n v="2"/>
    <n v="3"/>
  </r>
  <r>
    <n v="356"/>
    <d v="2011-01-16T00:00:00"/>
    <x v="0"/>
    <x v="0"/>
    <x v="0"/>
    <d v="1900-01-13T19:00:00"/>
    <x v="0"/>
    <x v="1"/>
    <x v="1"/>
    <x v="0"/>
    <x v="6"/>
    <n v="0.56000000000000005"/>
    <x v="9"/>
    <n v="0"/>
    <n v="3"/>
    <n v="3"/>
  </r>
  <r>
    <n v="377"/>
    <d v="2011-01-17T00:00:00"/>
    <x v="0"/>
    <x v="0"/>
    <x v="0"/>
    <d v="1900-01-14T16:00:00"/>
    <x v="1"/>
    <x v="2"/>
    <x v="1"/>
    <x v="5"/>
    <x v="5"/>
    <n v="0.43"/>
    <x v="4"/>
    <n v="1"/>
    <n v="2"/>
    <n v="3"/>
  </r>
  <r>
    <n v="397"/>
    <d v="2011-01-18T00:00:00"/>
    <x v="0"/>
    <x v="0"/>
    <x v="0"/>
    <d v="1900-01-15T12:00:00"/>
    <x v="0"/>
    <x v="3"/>
    <x v="1"/>
    <x v="4"/>
    <x v="15"/>
    <n v="0.86"/>
    <x v="13"/>
    <n v="0"/>
    <n v="3"/>
    <n v="3"/>
  </r>
  <r>
    <n v="409"/>
    <d v="2011-01-19T00:00:00"/>
    <x v="0"/>
    <x v="0"/>
    <x v="0"/>
    <d v="1900-01-16T00:00:00"/>
    <x v="0"/>
    <x v="6"/>
    <x v="1"/>
    <x v="10"/>
    <x v="16"/>
    <n v="0.93"/>
    <x v="0"/>
    <n v="0"/>
    <n v="3"/>
    <n v="3"/>
  </r>
  <r>
    <n v="411"/>
    <d v="2011-01-19T00:00:00"/>
    <x v="0"/>
    <x v="0"/>
    <x v="0"/>
    <d v="1900-01-16T02:00:00"/>
    <x v="0"/>
    <x v="6"/>
    <x v="2"/>
    <x v="10"/>
    <x v="9"/>
    <n v="0.93"/>
    <x v="4"/>
    <n v="0"/>
    <n v="3"/>
    <n v="3"/>
  </r>
  <r>
    <n v="484"/>
    <d v="2011-01-22T00:00:00"/>
    <x v="0"/>
    <x v="0"/>
    <x v="0"/>
    <d v="1900-01-19T03:00:00"/>
    <x v="0"/>
    <x v="0"/>
    <x v="1"/>
    <x v="12"/>
    <x v="24"/>
    <n v="0.48"/>
    <x v="9"/>
    <n v="0"/>
    <n v="3"/>
    <n v="3"/>
  </r>
  <r>
    <n v="507"/>
    <d v="2011-01-23T00:00:00"/>
    <x v="0"/>
    <x v="0"/>
    <x v="0"/>
    <d v="1900-01-20T02:00:00"/>
    <x v="0"/>
    <x v="1"/>
    <x v="1"/>
    <x v="11"/>
    <x v="10"/>
    <n v="0.56999999999999995"/>
    <x v="8"/>
    <n v="0"/>
    <n v="3"/>
    <n v="3"/>
  </r>
  <r>
    <n v="597"/>
    <d v="2011-01-28T00:00:00"/>
    <x v="0"/>
    <x v="0"/>
    <x v="0"/>
    <d v="1900-01-23T20:00:00"/>
    <x v="0"/>
    <x v="5"/>
    <x v="1"/>
    <x v="4"/>
    <x v="6"/>
    <n v="0.75"/>
    <x v="4"/>
    <n v="1"/>
    <n v="2"/>
    <n v="3"/>
  </r>
  <r>
    <n v="623"/>
    <d v="2011-01-29T00:00:00"/>
    <x v="0"/>
    <x v="0"/>
    <x v="0"/>
    <d v="1900-01-24T22:00:00"/>
    <x v="0"/>
    <x v="0"/>
    <x v="0"/>
    <x v="2"/>
    <x v="15"/>
    <n v="0.69"/>
    <x v="8"/>
    <n v="1"/>
    <n v="2"/>
    <n v="3"/>
  </r>
  <r>
    <n v="647"/>
    <d v="2011-01-30T00:00:00"/>
    <x v="0"/>
    <x v="0"/>
    <x v="0"/>
    <d v="1900-01-25T22:00:00"/>
    <x v="0"/>
    <x v="1"/>
    <x v="0"/>
    <x v="3"/>
    <x v="6"/>
    <n v="0.86"/>
    <x v="0"/>
    <n v="0"/>
    <n v="3"/>
    <n v="3"/>
  </r>
  <r>
    <n v="648"/>
    <d v="2011-01-30T00:00:00"/>
    <x v="0"/>
    <x v="0"/>
    <x v="0"/>
    <d v="1900-01-25T23:00:00"/>
    <x v="0"/>
    <x v="1"/>
    <x v="0"/>
    <x v="3"/>
    <x v="6"/>
    <n v="0.86"/>
    <x v="0"/>
    <n v="0"/>
    <n v="3"/>
    <n v="3"/>
  </r>
  <r>
    <n v="690"/>
    <d v="2011-02-01T00:00:00"/>
    <x v="0"/>
    <x v="0"/>
    <x v="1"/>
    <d v="1900-01-27T17:00:00"/>
    <x v="0"/>
    <x v="3"/>
    <x v="1"/>
    <x v="2"/>
    <x v="15"/>
    <n v="0.69"/>
    <x v="8"/>
    <n v="0"/>
    <n v="3"/>
    <n v="3"/>
  </r>
  <r>
    <n v="693"/>
    <d v="2011-02-01T00:00:00"/>
    <x v="0"/>
    <x v="0"/>
    <x v="1"/>
    <d v="1900-01-27T20:00:00"/>
    <x v="0"/>
    <x v="3"/>
    <x v="2"/>
    <x v="3"/>
    <x v="6"/>
    <n v="0.93"/>
    <x v="0"/>
    <n v="0"/>
    <n v="3"/>
    <n v="3"/>
  </r>
  <r>
    <n v="713"/>
    <d v="2011-02-02T00:00:00"/>
    <x v="0"/>
    <x v="0"/>
    <x v="1"/>
    <d v="1900-01-28T16:00:00"/>
    <x v="0"/>
    <x v="6"/>
    <x v="2"/>
    <x v="10"/>
    <x v="9"/>
    <n v="0.93"/>
    <x v="2"/>
    <n v="0"/>
    <n v="3"/>
    <n v="3"/>
  </r>
  <r>
    <n v="717"/>
    <d v="2011-02-02T00:00:00"/>
    <x v="0"/>
    <x v="0"/>
    <x v="1"/>
    <d v="1900-01-28T20:00:00"/>
    <x v="0"/>
    <x v="6"/>
    <x v="2"/>
    <x v="10"/>
    <x v="19"/>
    <n v="0.93"/>
    <x v="8"/>
    <n v="0"/>
    <n v="3"/>
    <n v="3"/>
  </r>
  <r>
    <n v="832"/>
    <d v="2011-02-07T00:00:00"/>
    <x v="0"/>
    <x v="0"/>
    <x v="1"/>
    <d v="1900-02-02T15:00:00"/>
    <x v="0"/>
    <x v="2"/>
    <x v="0"/>
    <x v="4"/>
    <x v="1"/>
    <n v="0.8"/>
    <x v="0"/>
    <n v="0"/>
    <n v="3"/>
    <n v="3"/>
  </r>
  <r>
    <n v="858"/>
    <d v="2011-02-08T00:00:00"/>
    <x v="0"/>
    <x v="0"/>
    <x v="1"/>
    <d v="1900-02-03T17:00:00"/>
    <x v="0"/>
    <x v="3"/>
    <x v="0"/>
    <x v="9"/>
    <x v="1"/>
    <n v="0.93"/>
    <x v="6"/>
    <n v="0"/>
    <n v="3"/>
    <n v="3"/>
  </r>
  <r>
    <n v="880"/>
    <d v="2011-02-09T00:00:00"/>
    <x v="0"/>
    <x v="0"/>
    <x v="1"/>
    <d v="1900-02-04T15:00:00"/>
    <x v="0"/>
    <x v="6"/>
    <x v="0"/>
    <x v="6"/>
    <x v="10"/>
    <n v="0.38"/>
    <x v="7"/>
    <n v="1"/>
    <n v="2"/>
    <n v="3"/>
  </r>
  <r>
    <n v="903"/>
    <d v="2011-02-10T00:00:00"/>
    <x v="0"/>
    <x v="0"/>
    <x v="1"/>
    <d v="1900-02-05T14:00:00"/>
    <x v="0"/>
    <x v="4"/>
    <x v="2"/>
    <x v="3"/>
    <x v="4"/>
    <n v="0.8"/>
    <x v="4"/>
    <n v="0"/>
    <n v="3"/>
    <n v="3"/>
  </r>
  <r>
    <n v="926"/>
    <d v="2011-02-11T00:00:00"/>
    <x v="0"/>
    <x v="0"/>
    <x v="1"/>
    <d v="1900-02-06T13:00:00"/>
    <x v="0"/>
    <x v="5"/>
    <x v="0"/>
    <x v="7"/>
    <x v="3"/>
    <n v="0.54"/>
    <x v="1"/>
    <n v="0"/>
    <n v="3"/>
    <n v="3"/>
  </r>
  <r>
    <n v="976"/>
    <d v="2011-02-13T00:00:00"/>
    <x v="0"/>
    <x v="0"/>
    <x v="1"/>
    <d v="1900-02-08T15:00:00"/>
    <x v="0"/>
    <x v="1"/>
    <x v="1"/>
    <x v="10"/>
    <x v="16"/>
    <n v="0.55000000000000004"/>
    <x v="0"/>
    <n v="0"/>
    <n v="3"/>
    <n v="3"/>
  </r>
  <r>
    <n v="998"/>
    <d v="2011-02-14T00:00:00"/>
    <x v="0"/>
    <x v="0"/>
    <x v="1"/>
    <d v="1900-02-09T13:00:00"/>
    <x v="0"/>
    <x v="2"/>
    <x v="0"/>
    <x v="18"/>
    <x v="23"/>
    <n v="0.53"/>
    <x v="7"/>
    <n v="0"/>
    <n v="3"/>
    <n v="3"/>
  </r>
  <r>
    <n v="74"/>
    <d v="2011-01-04T00:00:00"/>
    <x v="0"/>
    <x v="0"/>
    <x v="0"/>
    <d v="1900-01-02T01:00:00"/>
    <x v="0"/>
    <x v="3"/>
    <x v="0"/>
    <x v="8"/>
    <x v="4"/>
    <n v="0.68"/>
    <x v="8"/>
    <n v="0"/>
    <n v="4"/>
    <n v="4"/>
  </r>
  <r>
    <n v="117"/>
    <d v="2011-01-06T00:00:00"/>
    <x v="0"/>
    <x v="0"/>
    <x v="0"/>
    <d v="1900-01-03T20:00:00"/>
    <x v="0"/>
    <x v="4"/>
    <x v="0"/>
    <x v="2"/>
    <x v="9"/>
    <n v="0.64"/>
    <x v="0"/>
    <n v="0"/>
    <n v="4"/>
    <n v="4"/>
  </r>
  <r>
    <n v="120"/>
    <d v="2011-01-06T00:00:00"/>
    <x v="0"/>
    <x v="0"/>
    <x v="0"/>
    <d v="1900-01-03T23:00:00"/>
    <x v="0"/>
    <x v="4"/>
    <x v="1"/>
    <x v="3"/>
    <x v="15"/>
    <n v="0.69"/>
    <x v="1"/>
    <n v="0"/>
    <n v="4"/>
    <n v="4"/>
  </r>
  <r>
    <n v="189"/>
    <d v="2011-01-09T00:00:00"/>
    <x v="0"/>
    <x v="0"/>
    <x v="0"/>
    <d v="1900-01-06T20:00:00"/>
    <x v="0"/>
    <x v="1"/>
    <x v="0"/>
    <x v="7"/>
    <x v="10"/>
    <n v="0.46"/>
    <x v="11"/>
    <n v="0"/>
    <n v="4"/>
    <n v="4"/>
  </r>
  <r>
    <n v="282"/>
    <d v="2011-01-13T00:00:00"/>
    <x v="0"/>
    <x v="0"/>
    <x v="0"/>
    <d v="1900-01-10T17:00:00"/>
    <x v="0"/>
    <x v="4"/>
    <x v="0"/>
    <x v="3"/>
    <x v="8"/>
    <n v="0.5"/>
    <x v="10"/>
    <n v="0"/>
    <n v="4"/>
    <n v="4"/>
  </r>
  <r>
    <n v="396"/>
    <d v="2011-01-17T00:00:00"/>
    <x v="0"/>
    <x v="0"/>
    <x v="0"/>
    <d v="1900-01-15T11:00:00"/>
    <x v="1"/>
    <x v="2"/>
    <x v="2"/>
    <x v="2"/>
    <x v="3"/>
    <n v="0.86"/>
    <x v="7"/>
    <n v="1"/>
    <n v="3"/>
    <n v="4"/>
  </r>
  <r>
    <n v="600"/>
    <d v="2011-01-28T00:00:00"/>
    <x v="0"/>
    <x v="0"/>
    <x v="0"/>
    <d v="1900-01-23T23:00:00"/>
    <x v="0"/>
    <x v="5"/>
    <x v="1"/>
    <x v="5"/>
    <x v="6"/>
    <n v="0.8"/>
    <x v="8"/>
    <n v="0"/>
    <n v="4"/>
    <n v="4"/>
  </r>
  <r>
    <n v="714"/>
    <d v="2011-02-02T00:00:00"/>
    <x v="0"/>
    <x v="0"/>
    <x v="1"/>
    <d v="1900-01-28T17:00:00"/>
    <x v="0"/>
    <x v="6"/>
    <x v="2"/>
    <x v="10"/>
    <x v="9"/>
    <n v="0.93"/>
    <x v="4"/>
    <n v="4"/>
    <n v="0"/>
    <n v="4"/>
  </r>
  <r>
    <n v="788"/>
    <d v="2011-02-05T00:00:00"/>
    <x v="0"/>
    <x v="0"/>
    <x v="1"/>
    <d v="1900-01-31T19:00:00"/>
    <x v="0"/>
    <x v="0"/>
    <x v="2"/>
    <x v="4"/>
    <x v="1"/>
    <n v="1"/>
    <x v="0"/>
    <n v="0"/>
    <n v="4"/>
    <n v="4"/>
  </r>
  <r>
    <n v="789"/>
    <d v="2011-02-05T00:00:00"/>
    <x v="0"/>
    <x v="0"/>
    <x v="1"/>
    <d v="1900-01-31T20:00:00"/>
    <x v="0"/>
    <x v="0"/>
    <x v="2"/>
    <x v="10"/>
    <x v="1"/>
    <n v="0.93"/>
    <x v="1"/>
    <n v="0"/>
    <n v="4"/>
    <n v="4"/>
  </r>
  <r>
    <n v="855"/>
    <d v="2011-02-08T00:00:00"/>
    <x v="0"/>
    <x v="0"/>
    <x v="1"/>
    <d v="1900-02-03T14:00:00"/>
    <x v="0"/>
    <x v="3"/>
    <x v="1"/>
    <x v="13"/>
    <x v="22"/>
    <n v="0.87"/>
    <x v="0"/>
    <n v="0"/>
    <n v="4"/>
    <n v="4"/>
  </r>
  <r>
    <n v="927"/>
    <d v="2011-02-11T00:00:00"/>
    <x v="0"/>
    <x v="0"/>
    <x v="1"/>
    <d v="1900-02-06T14:00:00"/>
    <x v="0"/>
    <x v="5"/>
    <x v="0"/>
    <x v="6"/>
    <x v="8"/>
    <n v="0.63"/>
    <x v="1"/>
    <n v="0"/>
    <n v="4"/>
    <n v="4"/>
  </r>
  <r>
    <n v="950"/>
    <d v="2011-02-12T00:00:00"/>
    <x v="0"/>
    <x v="0"/>
    <x v="1"/>
    <d v="1900-02-07T13:00:00"/>
    <x v="0"/>
    <x v="0"/>
    <x v="0"/>
    <x v="8"/>
    <x v="14"/>
    <n v="0.74"/>
    <x v="1"/>
    <n v="0"/>
    <n v="4"/>
    <n v="4"/>
  </r>
  <r>
    <n v="48"/>
    <d v="2011-01-03T00:00:00"/>
    <x v="0"/>
    <x v="0"/>
    <x v="0"/>
    <d v="1899-12-31T23:00:00"/>
    <x v="0"/>
    <x v="2"/>
    <x v="0"/>
    <x v="10"/>
    <x v="5"/>
    <n v="0.44"/>
    <x v="12"/>
    <n v="0"/>
    <n v="5"/>
    <n v="5"/>
  </r>
  <r>
    <n v="70"/>
    <d v="2011-01-04T00:00:00"/>
    <x v="0"/>
    <x v="0"/>
    <x v="0"/>
    <d v="1900-01-01T21:00:00"/>
    <x v="0"/>
    <x v="3"/>
    <x v="0"/>
    <x v="2"/>
    <x v="18"/>
    <n v="0.55000000000000004"/>
    <x v="8"/>
    <n v="0"/>
    <n v="5"/>
    <n v="5"/>
  </r>
  <r>
    <n v="143"/>
    <d v="2011-01-07T00:00:00"/>
    <x v="0"/>
    <x v="0"/>
    <x v="0"/>
    <d v="1900-01-04T22:00:00"/>
    <x v="0"/>
    <x v="5"/>
    <x v="2"/>
    <x v="10"/>
    <x v="16"/>
    <n v="0.55000000000000004"/>
    <x v="0"/>
    <n v="0"/>
    <n v="5"/>
    <n v="5"/>
  </r>
  <r>
    <n v="167"/>
    <d v="2011-01-08T00:00:00"/>
    <x v="0"/>
    <x v="0"/>
    <x v="0"/>
    <d v="1900-01-05T22:00:00"/>
    <x v="0"/>
    <x v="0"/>
    <x v="1"/>
    <x v="2"/>
    <x v="14"/>
    <n v="0.74"/>
    <x v="6"/>
    <n v="0"/>
    <n v="5"/>
    <n v="5"/>
  </r>
  <r>
    <n v="210"/>
    <d v="2011-01-10T00:00:00"/>
    <x v="0"/>
    <x v="0"/>
    <x v="0"/>
    <d v="1900-01-07T17:00:00"/>
    <x v="0"/>
    <x v="2"/>
    <x v="0"/>
    <x v="8"/>
    <x v="8"/>
    <n v="0.5"/>
    <x v="7"/>
    <n v="2"/>
    <n v="3"/>
    <n v="5"/>
  </r>
  <r>
    <n v="259"/>
    <d v="2011-01-12T00:00:00"/>
    <x v="0"/>
    <x v="0"/>
    <x v="0"/>
    <d v="1900-01-09T18:00:00"/>
    <x v="0"/>
    <x v="6"/>
    <x v="0"/>
    <x v="3"/>
    <x v="4"/>
    <n v="0.86"/>
    <x v="6"/>
    <n v="0"/>
    <n v="5"/>
    <n v="5"/>
  </r>
  <r>
    <n v="303"/>
    <d v="2011-01-14T00:00:00"/>
    <x v="0"/>
    <x v="0"/>
    <x v="0"/>
    <d v="1900-01-11T14:00:00"/>
    <x v="0"/>
    <x v="5"/>
    <x v="0"/>
    <x v="7"/>
    <x v="8"/>
    <n v="0.54"/>
    <x v="6"/>
    <n v="0"/>
    <n v="5"/>
    <n v="5"/>
  </r>
  <r>
    <n v="329"/>
    <d v="2011-01-15T00:00:00"/>
    <x v="0"/>
    <x v="0"/>
    <x v="0"/>
    <d v="1900-01-12T16:00:00"/>
    <x v="0"/>
    <x v="0"/>
    <x v="1"/>
    <x v="2"/>
    <x v="9"/>
    <n v="0.59"/>
    <x v="0"/>
    <n v="0"/>
    <n v="5"/>
    <n v="5"/>
  </r>
  <r>
    <n v="379"/>
    <d v="2011-01-17T00:00:00"/>
    <x v="0"/>
    <x v="0"/>
    <x v="0"/>
    <d v="1900-01-14T18:00:00"/>
    <x v="1"/>
    <x v="2"/>
    <x v="1"/>
    <x v="5"/>
    <x v="15"/>
    <n v="0.43"/>
    <x v="2"/>
    <n v="0"/>
    <n v="5"/>
    <n v="5"/>
  </r>
  <r>
    <n v="433"/>
    <d v="2011-01-20T00:00:00"/>
    <x v="0"/>
    <x v="0"/>
    <x v="0"/>
    <d v="1900-01-17T00:00:00"/>
    <x v="0"/>
    <x v="4"/>
    <x v="0"/>
    <x v="9"/>
    <x v="16"/>
    <n v="0.56000000000000005"/>
    <x v="0"/>
    <n v="2"/>
    <n v="3"/>
    <n v="5"/>
  </r>
  <r>
    <n v="461"/>
    <d v="2011-01-21T00:00:00"/>
    <x v="0"/>
    <x v="0"/>
    <x v="0"/>
    <d v="1900-01-18T04:00:00"/>
    <x v="0"/>
    <x v="5"/>
    <x v="0"/>
    <x v="0"/>
    <x v="5"/>
    <n v="0.6"/>
    <x v="11"/>
    <n v="1"/>
    <n v="4"/>
    <n v="5"/>
  </r>
  <r>
    <n v="506"/>
    <d v="2011-01-23T00:00:00"/>
    <x v="0"/>
    <x v="0"/>
    <x v="0"/>
    <d v="1900-01-20T01:00:00"/>
    <x v="0"/>
    <x v="1"/>
    <x v="0"/>
    <x v="12"/>
    <x v="13"/>
    <n v="0.62"/>
    <x v="4"/>
    <n v="1"/>
    <n v="4"/>
    <n v="5"/>
  </r>
  <r>
    <n v="530"/>
    <d v="2011-01-24T00:00:00"/>
    <x v="0"/>
    <x v="0"/>
    <x v="0"/>
    <d v="1900-01-21T01:00:00"/>
    <x v="0"/>
    <x v="2"/>
    <x v="0"/>
    <x v="12"/>
    <x v="13"/>
    <n v="0.48"/>
    <x v="4"/>
    <n v="0"/>
    <n v="5"/>
    <n v="5"/>
  </r>
  <r>
    <n v="550"/>
    <d v="2011-01-25T00:00:00"/>
    <x v="0"/>
    <x v="0"/>
    <x v="0"/>
    <d v="1900-01-21T21:00:00"/>
    <x v="0"/>
    <x v="3"/>
    <x v="1"/>
    <x v="2"/>
    <x v="14"/>
    <n v="0.69"/>
    <x v="6"/>
    <n v="0"/>
    <n v="5"/>
    <n v="5"/>
  </r>
  <r>
    <n v="573"/>
    <d v="2011-01-26T00:00:00"/>
    <x v="0"/>
    <x v="0"/>
    <x v="0"/>
    <d v="1900-01-22T20:00:00"/>
    <x v="0"/>
    <x v="6"/>
    <x v="1"/>
    <x v="0"/>
    <x v="19"/>
    <n v="0.65"/>
    <x v="4"/>
    <n v="0"/>
    <n v="5"/>
    <n v="5"/>
  </r>
  <r>
    <n v="625"/>
    <d v="2011-01-29T00:00:00"/>
    <x v="0"/>
    <x v="0"/>
    <x v="0"/>
    <d v="1900-01-25T00:00:00"/>
    <x v="0"/>
    <x v="0"/>
    <x v="0"/>
    <x v="2"/>
    <x v="15"/>
    <n v="0.59"/>
    <x v="8"/>
    <n v="1"/>
    <n v="4"/>
    <n v="5"/>
  </r>
  <r>
    <n v="737"/>
    <d v="2011-02-03T00:00:00"/>
    <x v="0"/>
    <x v="0"/>
    <x v="1"/>
    <d v="1900-01-29T16:00:00"/>
    <x v="0"/>
    <x v="4"/>
    <x v="0"/>
    <x v="4"/>
    <x v="4"/>
    <n v="0.44"/>
    <x v="14"/>
    <n v="0"/>
    <n v="5"/>
    <n v="5"/>
  </r>
  <r>
    <n v="831"/>
    <d v="2011-02-07T00:00:00"/>
    <x v="0"/>
    <x v="0"/>
    <x v="1"/>
    <d v="1900-02-02T14:00:00"/>
    <x v="0"/>
    <x v="2"/>
    <x v="0"/>
    <x v="10"/>
    <x v="16"/>
    <n v="0.75"/>
    <x v="0"/>
    <n v="1"/>
    <n v="4"/>
    <n v="5"/>
  </r>
  <r>
    <n v="975"/>
    <d v="2011-02-13T00:00:00"/>
    <x v="0"/>
    <x v="0"/>
    <x v="1"/>
    <d v="1900-02-08T14:00:00"/>
    <x v="0"/>
    <x v="1"/>
    <x v="1"/>
    <x v="4"/>
    <x v="6"/>
    <n v="0.69"/>
    <x v="4"/>
    <n v="2"/>
    <n v="3"/>
    <n v="5"/>
  </r>
  <r>
    <n v="28"/>
    <d v="2011-01-02T00:00:00"/>
    <x v="0"/>
    <x v="0"/>
    <x v="0"/>
    <d v="1899-12-31T03:00:00"/>
    <x v="0"/>
    <x v="1"/>
    <x v="1"/>
    <x v="19"/>
    <x v="25"/>
    <n v="0.94"/>
    <x v="2"/>
    <n v="2"/>
    <n v="4"/>
    <n v="6"/>
  </r>
  <r>
    <n v="93"/>
    <d v="2011-01-05T00:00:00"/>
    <x v="0"/>
    <x v="0"/>
    <x v="0"/>
    <d v="1900-01-02T20:00:00"/>
    <x v="0"/>
    <x v="6"/>
    <x v="0"/>
    <x v="4"/>
    <x v="1"/>
    <n v="0.64"/>
    <x v="0"/>
    <n v="0"/>
    <n v="6"/>
    <n v="6"/>
  </r>
  <r>
    <n v="94"/>
    <d v="2011-01-05T00:00:00"/>
    <x v="0"/>
    <x v="0"/>
    <x v="0"/>
    <d v="1900-01-02T21:00:00"/>
    <x v="0"/>
    <x v="6"/>
    <x v="0"/>
    <x v="2"/>
    <x v="5"/>
    <n v="0.74"/>
    <x v="1"/>
    <n v="0"/>
    <n v="6"/>
    <n v="6"/>
  </r>
  <r>
    <n v="193"/>
    <d v="2011-01-09T00:00:00"/>
    <x v="0"/>
    <x v="0"/>
    <x v="0"/>
    <d v="1900-01-07T00:00:00"/>
    <x v="0"/>
    <x v="1"/>
    <x v="0"/>
    <x v="6"/>
    <x v="7"/>
    <n v="0.53"/>
    <x v="2"/>
    <n v="1"/>
    <n v="5"/>
    <n v="6"/>
  </r>
  <r>
    <n v="209"/>
    <d v="2011-01-09T00:00:00"/>
    <x v="0"/>
    <x v="0"/>
    <x v="0"/>
    <d v="1900-01-07T16:00:00"/>
    <x v="0"/>
    <x v="1"/>
    <x v="0"/>
    <x v="8"/>
    <x v="3"/>
    <n v="0.5"/>
    <x v="2"/>
    <n v="0"/>
    <n v="6"/>
    <n v="6"/>
  </r>
  <r>
    <n v="237"/>
    <d v="2011-01-11T00:00:00"/>
    <x v="0"/>
    <x v="0"/>
    <x v="0"/>
    <d v="1900-01-08T20:00:00"/>
    <x v="0"/>
    <x v="3"/>
    <x v="1"/>
    <x v="2"/>
    <x v="15"/>
    <n v="0.55000000000000004"/>
    <x v="4"/>
    <n v="0"/>
    <n v="6"/>
    <n v="6"/>
  </r>
  <r>
    <n v="257"/>
    <d v="2011-01-12T00:00:00"/>
    <x v="0"/>
    <x v="0"/>
    <x v="0"/>
    <d v="1900-01-09T16:00:00"/>
    <x v="0"/>
    <x v="6"/>
    <x v="1"/>
    <x v="2"/>
    <x v="15"/>
    <n v="0.86"/>
    <x v="8"/>
    <n v="0"/>
    <n v="6"/>
    <n v="6"/>
  </r>
  <r>
    <n v="437"/>
    <d v="2011-01-20T00:00:00"/>
    <x v="0"/>
    <x v="0"/>
    <x v="0"/>
    <d v="1900-01-17T04:00:00"/>
    <x v="0"/>
    <x v="4"/>
    <x v="0"/>
    <x v="0"/>
    <x v="9"/>
    <n v="0.6"/>
    <x v="5"/>
    <n v="0"/>
    <n v="6"/>
    <n v="6"/>
  </r>
  <r>
    <n v="457"/>
    <d v="2011-01-21T00:00:00"/>
    <x v="0"/>
    <x v="0"/>
    <x v="0"/>
    <d v="1900-01-18T00:00:00"/>
    <x v="0"/>
    <x v="5"/>
    <x v="1"/>
    <x v="0"/>
    <x v="9"/>
    <n v="0.7"/>
    <x v="10"/>
    <n v="0"/>
    <n v="6"/>
    <n v="6"/>
  </r>
  <r>
    <n v="905"/>
    <d v="2011-02-10T00:00:00"/>
    <x v="0"/>
    <x v="0"/>
    <x v="1"/>
    <d v="1900-02-05T16:00:00"/>
    <x v="0"/>
    <x v="4"/>
    <x v="1"/>
    <x v="8"/>
    <x v="8"/>
    <n v="0.5"/>
    <x v="5"/>
    <n v="0"/>
    <n v="6"/>
    <n v="6"/>
  </r>
  <r>
    <n v="140"/>
    <d v="2011-01-07T00:00:00"/>
    <x v="0"/>
    <x v="0"/>
    <x v="0"/>
    <d v="1900-01-04T19:00:00"/>
    <x v="0"/>
    <x v="5"/>
    <x v="1"/>
    <x v="4"/>
    <x v="5"/>
    <n v="0.69"/>
    <x v="5"/>
    <n v="2"/>
    <n v="5"/>
    <n v="7"/>
  </r>
  <r>
    <n v="165"/>
    <d v="2011-01-08T00:00:00"/>
    <x v="0"/>
    <x v="0"/>
    <x v="0"/>
    <d v="1900-01-05T20:00:00"/>
    <x v="0"/>
    <x v="0"/>
    <x v="2"/>
    <x v="5"/>
    <x v="5"/>
    <n v="0.55000000000000004"/>
    <x v="6"/>
    <n v="0"/>
    <n v="7"/>
    <n v="7"/>
  </r>
  <r>
    <n v="256"/>
    <d v="2011-01-12T00:00:00"/>
    <x v="0"/>
    <x v="0"/>
    <x v="0"/>
    <d v="1900-01-09T15:00:00"/>
    <x v="0"/>
    <x v="6"/>
    <x v="1"/>
    <x v="2"/>
    <x v="5"/>
    <n v="0.86"/>
    <x v="1"/>
    <n v="0"/>
    <n v="7"/>
    <n v="7"/>
  </r>
  <r>
    <n v="278"/>
    <d v="2011-01-13T00:00:00"/>
    <x v="0"/>
    <x v="0"/>
    <x v="0"/>
    <d v="1900-01-10T13:00:00"/>
    <x v="0"/>
    <x v="4"/>
    <x v="0"/>
    <x v="3"/>
    <x v="8"/>
    <n v="0.59"/>
    <x v="7"/>
    <n v="1"/>
    <n v="6"/>
    <n v="7"/>
  </r>
  <r>
    <n v="410"/>
    <d v="2011-01-19T00:00:00"/>
    <x v="0"/>
    <x v="0"/>
    <x v="0"/>
    <d v="1900-01-16T01:00:00"/>
    <x v="0"/>
    <x v="6"/>
    <x v="2"/>
    <x v="10"/>
    <x v="9"/>
    <n v="0.93"/>
    <x v="4"/>
    <n v="1"/>
    <n v="6"/>
    <n v="7"/>
  </r>
  <r>
    <n v="413"/>
    <d v="2011-01-19T00:00:00"/>
    <x v="0"/>
    <x v="0"/>
    <x v="0"/>
    <d v="1900-01-16T04:00:00"/>
    <x v="0"/>
    <x v="6"/>
    <x v="1"/>
    <x v="10"/>
    <x v="1"/>
    <n v="0.93"/>
    <x v="1"/>
    <n v="0"/>
    <n v="7"/>
    <n v="7"/>
  </r>
  <r>
    <n v="483"/>
    <d v="2011-01-22T00:00:00"/>
    <x v="0"/>
    <x v="0"/>
    <x v="0"/>
    <d v="1900-01-19T02:00:00"/>
    <x v="0"/>
    <x v="0"/>
    <x v="1"/>
    <x v="11"/>
    <x v="12"/>
    <n v="0.41"/>
    <x v="7"/>
    <n v="1"/>
    <n v="6"/>
    <n v="7"/>
  </r>
  <r>
    <n v="526"/>
    <d v="2011-01-24T00:00:00"/>
    <x v="0"/>
    <x v="0"/>
    <x v="0"/>
    <d v="1900-01-20T21:00:00"/>
    <x v="0"/>
    <x v="2"/>
    <x v="0"/>
    <x v="15"/>
    <x v="13"/>
    <n v="0.41"/>
    <x v="2"/>
    <n v="0"/>
    <n v="7"/>
    <n v="7"/>
  </r>
  <r>
    <n v="665"/>
    <d v="2011-01-31T00:00:00"/>
    <x v="0"/>
    <x v="0"/>
    <x v="0"/>
    <d v="1900-01-26T16:00:00"/>
    <x v="0"/>
    <x v="2"/>
    <x v="1"/>
    <x v="0"/>
    <x v="9"/>
    <n v="0.65"/>
    <x v="5"/>
    <n v="1"/>
    <n v="6"/>
    <n v="7"/>
  </r>
  <r>
    <n v="666"/>
    <d v="2011-01-31T00:00:00"/>
    <x v="0"/>
    <x v="0"/>
    <x v="0"/>
    <d v="1900-01-26T17:00:00"/>
    <x v="0"/>
    <x v="2"/>
    <x v="0"/>
    <x v="10"/>
    <x v="6"/>
    <n v="0.64"/>
    <x v="10"/>
    <n v="2"/>
    <n v="5"/>
    <n v="7"/>
  </r>
  <r>
    <n v="760"/>
    <d v="2011-02-04T00:00:00"/>
    <x v="0"/>
    <x v="0"/>
    <x v="1"/>
    <d v="1900-01-30T15:00:00"/>
    <x v="0"/>
    <x v="5"/>
    <x v="1"/>
    <x v="2"/>
    <x v="9"/>
    <n v="0.59"/>
    <x v="0"/>
    <n v="0"/>
    <n v="7"/>
    <n v="7"/>
  </r>
  <r>
    <n v="763"/>
    <d v="2011-02-04T00:00:00"/>
    <x v="0"/>
    <x v="0"/>
    <x v="1"/>
    <d v="1900-01-30T18:00:00"/>
    <x v="0"/>
    <x v="5"/>
    <x v="1"/>
    <x v="3"/>
    <x v="4"/>
    <n v="0.63"/>
    <x v="4"/>
    <n v="0"/>
    <n v="7"/>
    <n v="7"/>
  </r>
  <r>
    <n v="879"/>
    <d v="2011-02-09T00:00:00"/>
    <x v="0"/>
    <x v="0"/>
    <x v="1"/>
    <d v="1900-02-04T14:00:00"/>
    <x v="0"/>
    <x v="6"/>
    <x v="0"/>
    <x v="7"/>
    <x v="20"/>
    <n v="0.36"/>
    <x v="5"/>
    <n v="0"/>
    <n v="7"/>
    <n v="7"/>
  </r>
  <r>
    <n v="882"/>
    <d v="2011-02-09T00:00:00"/>
    <x v="0"/>
    <x v="0"/>
    <x v="1"/>
    <d v="1900-02-04T17:00:00"/>
    <x v="0"/>
    <x v="6"/>
    <x v="0"/>
    <x v="15"/>
    <x v="20"/>
    <n v="0.45"/>
    <x v="8"/>
    <n v="0"/>
    <n v="7"/>
    <n v="7"/>
  </r>
  <r>
    <n v="902"/>
    <d v="2011-02-10T00:00:00"/>
    <x v="0"/>
    <x v="0"/>
    <x v="1"/>
    <d v="1900-02-05T13:00:00"/>
    <x v="0"/>
    <x v="4"/>
    <x v="2"/>
    <x v="3"/>
    <x v="4"/>
    <n v="0.8"/>
    <x v="4"/>
    <n v="0"/>
    <n v="7"/>
    <n v="7"/>
  </r>
  <r>
    <n v="925"/>
    <d v="2011-02-11T00:00:00"/>
    <x v="0"/>
    <x v="0"/>
    <x v="1"/>
    <d v="1900-02-06T12:00:00"/>
    <x v="0"/>
    <x v="5"/>
    <x v="0"/>
    <x v="7"/>
    <x v="3"/>
    <n v="0.54"/>
    <x v="1"/>
    <n v="1"/>
    <n v="6"/>
    <n v="7"/>
  </r>
  <r>
    <n v="994"/>
    <d v="2011-02-14T00:00:00"/>
    <x v="0"/>
    <x v="0"/>
    <x v="1"/>
    <d v="1900-02-09T09:00:00"/>
    <x v="0"/>
    <x v="2"/>
    <x v="0"/>
    <x v="20"/>
    <x v="26"/>
    <n v="0.37"/>
    <x v="12"/>
    <n v="1"/>
    <n v="6"/>
    <n v="7"/>
  </r>
  <r>
    <n v="9"/>
    <d v="2011-01-01T00:00:00"/>
    <x v="0"/>
    <x v="0"/>
    <x v="0"/>
    <d v="1899-12-30T08:00:00"/>
    <x v="0"/>
    <x v="0"/>
    <x v="0"/>
    <x v="0"/>
    <x v="18"/>
    <n v="0.75"/>
    <x v="0"/>
    <n v="1"/>
    <n v="7"/>
    <n v="8"/>
  </r>
  <r>
    <n v="32"/>
    <d v="2011-01-02T00:00:00"/>
    <x v="0"/>
    <x v="0"/>
    <x v="0"/>
    <d v="1899-12-31T07:00:00"/>
    <x v="0"/>
    <x v="1"/>
    <x v="2"/>
    <x v="1"/>
    <x v="2"/>
    <n v="0.71"/>
    <x v="5"/>
    <n v="0"/>
    <n v="8"/>
    <n v="8"/>
  </r>
  <r>
    <n v="47"/>
    <d v="2011-01-02T00:00:00"/>
    <x v="0"/>
    <x v="0"/>
    <x v="0"/>
    <d v="1899-12-31T22:00:00"/>
    <x v="0"/>
    <x v="1"/>
    <x v="0"/>
    <x v="10"/>
    <x v="9"/>
    <n v="0.47"/>
    <x v="6"/>
    <n v="0"/>
    <n v="8"/>
    <n v="8"/>
  </r>
  <r>
    <n v="306"/>
    <d v="2011-01-14T00:00:00"/>
    <x v="0"/>
    <x v="0"/>
    <x v="0"/>
    <d v="1900-01-11T17:00:00"/>
    <x v="0"/>
    <x v="5"/>
    <x v="0"/>
    <x v="7"/>
    <x v="3"/>
    <n v="0.54"/>
    <x v="1"/>
    <n v="0"/>
    <n v="8"/>
    <n v="8"/>
  </r>
  <r>
    <n v="328"/>
    <d v="2011-01-15T00:00:00"/>
    <x v="0"/>
    <x v="0"/>
    <x v="0"/>
    <d v="1900-01-12T15:00:00"/>
    <x v="0"/>
    <x v="0"/>
    <x v="1"/>
    <x v="2"/>
    <x v="9"/>
    <n v="0.59"/>
    <x v="0"/>
    <n v="1"/>
    <n v="7"/>
    <n v="8"/>
  </r>
  <r>
    <n v="375"/>
    <d v="2011-01-17T00:00:00"/>
    <x v="0"/>
    <x v="0"/>
    <x v="0"/>
    <d v="1900-01-14T14:00:00"/>
    <x v="1"/>
    <x v="2"/>
    <x v="1"/>
    <x v="5"/>
    <x v="14"/>
    <n v="0.43"/>
    <x v="10"/>
    <n v="0"/>
    <n v="8"/>
    <n v="8"/>
  </r>
  <r>
    <n v="486"/>
    <d v="2011-01-22T00:00:00"/>
    <x v="0"/>
    <x v="0"/>
    <x v="0"/>
    <d v="1900-01-19T05:00:00"/>
    <x v="0"/>
    <x v="0"/>
    <x v="0"/>
    <x v="12"/>
    <x v="24"/>
    <n v="0.44"/>
    <x v="7"/>
    <n v="0"/>
    <n v="8"/>
    <n v="8"/>
  </r>
  <r>
    <n v="576"/>
    <d v="2011-01-26T00:00:00"/>
    <x v="0"/>
    <x v="0"/>
    <x v="0"/>
    <d v="1900-01-22T23:00:00"/>
    <x v="0"/>
    <x v="6"/>
    <x v="2"/>
    <x v="4"/>
    <x v="15"/>
    <n v="0.86"/>
    <x v="7"/>
    <n v="0"/>
    <n v="8"/>
    <n v="8"/>
  </r>
  <r>
    <n v="622"/>
    <d v="2011-01-29T00:00:00"/>
    <x v="0"/>
    <x v="0"/>
    <x v="0"/>
    <d v="1900-01-24T21:00:00"/>
    <x v="0"/>
    <x v="0"/>
    <x v="0"/>
    <x v="4"/>
    <x v="6"/>
    <n v="0.64"/>
    <x v="4"/>
    <n v="3"/>
    <n v="5"/>
    <n v="8"/>
  </r>
  <r>
    <n v="645"/>
    <d v="2011-01-30T00:00:00"/>
    <x v="0"/>
    <x v="0"/>
    <x v="0"/>
    <d v="1900-01-25T20:00:00"/>
    <x v="0"/>
    <x v="1"/>
    <x v="0"/>
    <x v="3"/>
    <x v="6"/>
    <n v="0.93"/>
    <x v="0"/>
    <n v="1"/>
    <n v="7"/>
    <n v="8"/>
  </r>
  <r>
    <n v="670"/>
    <d v="2011-01-31T00:00:00"/>
    <x v="0"/>
    <x v="0"/>
    <x v="0"/>
    <d v="1900-01-26T21:00:00"/>
    <x v="0"/>
    <x v="2"/>
    <x v="0"/>
    <x v="5"/>
    <x v="14"/>
    <n v="0.64"/>
    <x v="7"/>
    <n v="0"/>
    <n v="8"/>
    <n v="8"/>
  </r>
  <r>
    <n v="689"/>
    <d v="2011-02-01T00:00:00"/>
    <x v="0"/>
    <x v="0"/>
    <x v="1"/>
    <d v="1900-01-27T16:00:00"/>
    <x v="0"/>
    <x v="3"/>
    <x v="1"/>
    <x v="2"/>
    <x v="15"/>
    <n v="0.64"/>
    <x v="8"/>
    <n v="2"/>
    <n v="6"/>
    <n v="8"/>
  </r>
  <r>
    <n v="786"/>
    <d v="2011-02-05T00:00:00"/>
    <x v="0"/>
    <x v="0"/>
    <x v="1"/>
    <d v="1900-01-31T17:00:00"/>
    <x v="0"/>
    <x v="0"/>
    <x v="2"/>
    <x v="10"/>
    <x v="9"/>
    <n v="0.93"/>
    <x v="4"/>
    <n v="0"/>
    <n v="8"/>
    <n v="8"/>
  </r>
  <r>
    <n v="813"/>
    <d v="2011-02-06T00:00:00"/>
    <x v="0"/>
    <x v="0"/>
    <x v="1"/>
    <d v="1900-02-01T20:00:00"/>
    <x v="0"/>
    <x v="1"/>
    <x v="0"/>
    <x v="0"/>
    <x v="19"/>
    <n v="0.65"/>
    <x v="6"/>
    <n v="0"/>
    <n v="8"/>
    <n v="8"/>
  </r>
  <r>
    <n v="27"/>
    <d v="2011-01-02T00:00:00"/>
    <x v="0"/>
    <x v="0"/>
    <x v="0"/>
    <d v="1899-12-31T02:00:00"/>
    <x v="0"/>
    <x v="1"/>
    <x v="1"/>
    <x v="14"/>
    <x v="17"/>
    <n v="1"/>
    <x v="7"/>
    <n v="1"/>
    <n v="8"/>
    <n v="9"/>
  </r>
  <r>
    <n v="46"/>
    <d v="2011-01-02T00:00:00"/>
    <x v="0"/>
    <x v="0"/>
    <x v="0"/>
    <d v="1899-12-31T21:00:00"/>
    <x v="0"/>
    <x v="1"/>
    <x v="0"/>
    <x v="0"/>
    <x v="6"/>
    <n v="0.44"/>
    <x v="9"/>
    <n v="0"/>
    <n v="9"/>
    <n v="9"/>
  </r>
  <r>
    <n v="169"/>
    <d v="2011-01-08T00:00:00"/>
    <x v="0"/>
    <x v="0"/>
    <x v="0"/>
    <d v="1900-01-06T00:00:00"/>
    <x v="0"/>
    <x v="0"/>
    <x v="1"/>
    <x v="2"/>
    <x v="15"/>
    <n v="0.74"/>
    <x v="8"/>
    <n v="1"/>
    <n v="8"/>
    <n v="9"/>
  </r>
  <r>
    <n v="549"/>
    <d v="2011-01-25T00:00:00"/>
    <x v="0"/>
    <x v="0"/>
    <x v="0"/>
    <d v="1900-01-21T20:00:00"/>
    <x v="0"/>
    <x v="3"/>
    <x v="1"/>
    <x v="2"/>
    <x v="3"/>
    <n v="0.69"/>
    <x v="7"/>
    <n v="3"/>
    <n v="6"/>
    <n v="9"/>
  </r>
  <r>
    <n v="553"/>
    <d v="2011-01-25T00:00:00"/>
    <x v="0"/>
    <x v="0"/>
    <x v="0"/>
    <d v="1900-01-22T00:00:00"/>
    <x v="0"/>
    <x v="3"/>
    <x v="0"/>
    <x v="3"/>
    <x v="3"/>
    <n v="0.74"/>
    <x v="5"/>
    <n v="0"/>
    <n v="9"/>
    <n v="9"/>
  </r>
  <r>
    <n v="596"/>
    <d v="2011-01-28T00:00:00"/>
    <x v="0"/>
    <x v="0"/>
    <x v="0"/>
    <d v="1900-01-23T19:00:00"/>
    <x v="0"/>
    <x v="5"/>
    <x v="1"/>
    <x v="4"/>
    <x v="6"/>
    <n v="0.75"/>
    <x v="4"/>
    <n v="0"/>
    <n v="9"/>
    <n v="9"/>
  </r>
  <r>
    <n v="787"/>
    <d v="2011-02-05T00:00:00"/>
    <x v="0"/>
    <x v="0"/>
    <x v="1"/>
    <d v="1900-01-31T18:00:00"/>
    <x v="0"/>
    <x v="0"/>
    <x v="2"/>
    <x v="4"/>
    <x v="9"/>
    <n v="1"/>
    <x v="1"/>
    <n v="0"/>
    <n v="9"/>
    <n v="9"/>
  </r>
  <r>
    <n v="194"/>
    <d v="2011-01-09T00:00:00"/>
    <x v="0"/>
    <x v="0"/>
    <x v="0"/>
    <d v="1900-01-07T01:00:00"/>
    <x v="0"/>
    <x v="1"/>
    <x v="0"/>
    <x v="7"/>
    <x v="7"/>
    <n v="0.49"/>
    <x v="7"/>
    <n v="0"/>
    <n v="10"/>
    <n v="10"/>
  </r>
  <r>
    <n v="332"/>
    <d v="2011-01-15T00:00:00"/>
    <x v="0"/>
    <x v="0"/>
    <x v="0"/>
    <d v="1900-01-12T19:00:00"/>
    <x v="0"/>
    <x v="0"/>
    <x v="0"/>
    <x v="3"/>
    <x v="6"/>
    <n v="0.63"/>
    <x v="0"/>
    <n v="1"/>
    <n v="9"/>
    <n v="10"/>
  </r>
  <r>
    <n v="574"/>
    <d v="2011-01-26T00:00:00"/>
    <x v="0"/>
    <x v="0"/>
    <x v="0"/>
    <d v="1900-01-22T21:00:00"/>
    <x v="0"/>
    <x v="6"/>
    <x v="2"/>
    <x v="10"/>
    <x v="9"/>
    <n v="0.69"/>
    <x v="2"/>
    <n v="3"/>
    <n v="7"/>
    <n v="10"/>
  </r>
  <r>
    <n v="790"/>
    <d v="2011-02-05T00:00:00"/>
    <x v="0"/>
    <x v="0"/>
    <x v="1"/>
    <d v="1900-01-31T21:00:00"/>
    <x v="0"/>
    <x v="0"/>
    <x v="2"/>
    <x v="4"/>
    <x v="9"/>
    <n v="1"/>
    <x v="1"/>
    <n v="0"/>
    <n v="10"/>
    <n v="10"/>
  </r>
  <r>
    <n v="835"/>
    <d v="2011-02-07T00:00:00"/>
    <x v="0"/>
    <x v="0"/>
    <x v="1"/>
    <d v="1900-02-02T18:00:00"/>
    <x v="0"/>
    <x v="2"/>
    <x v="0"/>
    <x v="4"/>
    <x v="1"/>
    <n v="0.86"/>
    <x v="0"/>
    <n v="1"/>
    <n v="9"/>
    <n v="10"/>
  </r>
  <r>
    <n v="854"/>
    <d v="2011-02-08T00:00:00"/>
    <x v="0"/>
    <x v="0"/>
    <x v="1"/>
    <d v="1900-02-03T13:00:00"/>
    <x v="0"/>
    <x v="3"/>
    <x v="1"/>
    <x v="13"/>
    <x v="22"/>
    <n v="0.87"/>
    <x v="0"/>
    <n v="4"/>
    <n v="6"/>
    <n v="10"/>
  </r>
  <r>
    <n v="949"/>
    <d v="2011-02-12T00:00:00"/>
    <x v="0"/>
    <x v="0"/>
    <x v="1"/>
    <d v="1900-02-07T12:00:00"/>
    <x v="0"/>
    <x v="0"/>
    <x v="0"/>
    <x v="8"/>
    <x v="5"/>
    <n v="0.8"/>
    <x v="0"/>
    <n v="3"/>
    <n v="7"/>
    <n v="10"/>
  </r>
  <r>
    <n v="92"/>
    <d v="2011-01-04T00:00:00"/>
    <x v="0"/>
    <x v="0"/>
    <x v="0"/>
    <d v="1900-01-02T19:00:00"/>
    <x v="0"/>
    <x v="3"/>
    <x v="0"/>
    <x v="4"/>
    <x v="9"/>
    <n v="0.69"/>
    <x v="1"/>
    <n v="2"/>
    <n v="9"/>
    <n v="11"/>
  </r>
  <r>
    <n v="116"/>
    <d v="2011-01-06T00:00:00"/>
    <x v="0"/>
    <x v="0"/>
    <x v="0"/>
    <d v="1900-01-03T19:00:00"/>
    <x v="0"/>
    <x v="4"/>
    <x v="0"/>
    <x v="5"/>
    <x v="19"/>
    <n v="0.55000000000000004"/>
    <x v="0"/>
    <n v="0"/>
    <n v="11"/>
    <n v="11"/>
  </r>
  <r>
    <n v="188"/>
    <d v="2011-01-09T00:00:00"/>
    <x v="0"/>
    <x v="0"/>
    <x v="0"/>
    <d v="1900-01-06T19:00:00"/>
    <x v="0"/>
    <x v="1"/>
    <x v="0"/>
    <x v="7"/>
    <x v="13"/>
    <n v="0.46"/>
    <x v="15"/>
    <n v="0"/>
    <n v="11"/>
    <n v="11"/>
  </r>
  <r>
    <n v="482"/>
    <d v="2011-01-22T00:00:00"/>
    <x v="0"/>
    <x v="0"/>
    <x v="0"/>
    <d v="1900-01-19T01:00:00"/>
    <x v="0"/>
    <x v="0"/>
    <x v="1"/>
    <x v="11"/>
    <x v="12"/>
    <n v="0.41"/>
    <x v="10"/>
    <n v="0"/>
    <n v="11"/>
    <n v="11"/>
  </r>
  <r>
    <n v="644"/>
    <d v="2011-01-30T00:00:00"/>
    <x v="0"/>
    <x v="0"/>
    <x v="0"/>
    <d v="1900-01-25T19:00:00"/>
    <x v="0"/>
    <x v="1"/>
    <x v="0"/>
    <x v="2"/>
    <x v="9"/>
    <n v="0.8"/>
    <x v="0"/>
    <n v="1"/>
    <n v="10"/>
    <n v="11"/>
  </r>
  <r>
    <n v="785"/>
    <d v="2011-02-05T00:00:00"/>
    <x v="0"/>
    <x v="0"/>
    <x v="1"/>
    <d v="1900-01-31T16:00:00"/>
    <x v="0"/>
    <x v="0"/>
    <x v="1"/>
    <x v="0"/>
    <x v="19"/>
    <n v="0.75"/>
    <x v="6"/>
    <n v="1"/>
    <n v="10"/>
    <n v="11"/>
  </r>
  <r>
    <n v="953"/>
    <d v="2011-02-12T00:00:00"/>
    <x v="0"/>
    <x v="0"/>
    <x v="1"/>
    <d v="1900-02-07T16:00:00"/>
    <x v="0"/>
    <x v="0"/>
    <x v="0"/>
    <x v="8"/>
    <x v="4"/>
    <n v="0.8"/>
    <x v="8"/>
    <n v="2"/>
    <n v="9"/>
    <n v="11"/>
  </r>
  <r>
    <n v="993"/>
    <d v="2011-02-14T00:00:00"/>
    <x v="0"/>
    <x v="0"/>
    <x v="1"/>
    <d v="1900-02-09T08:00:00"/>
    <x v="0"/>
    <x v="2"/>
    <x v="0"/>
    <x v="20"/>
    <x v="26"/>
    <n v="0.37"/>
    <x v="12"/>
    <n v="3"/>
    <n v="8"/>
    <n v="11"/>
  </r>
  <r>
    <n v="69"/>
    <d v="2011-01-03T00:00:00"/>
    <x v="0"/>
    <x v="0"/>
    <x v="0"/>
    <d v="1900-01-01T20:00:00"/>
    <x v="0"/>
    <x v="2"/>
    <x v="0"/>
    <x v="5"/>
    <x v="6"/>
    <n v="0.55000000000000004"/>
    <x v="8"/>
    <n v="1"/>
    <n v="11"/>
    <n v="12"/>
  </r>
  <r>
    <n v="187"/>
    <d v="2011-01-09T00:00:00"/>
    <x v="0"/>
    <x v="0"/>
    <x v="0"/>
    <d v="1900-01-06T18:00:00"/>
    <x v="0"/>
    <x v="1"/>
    <x v="0"/>
    <x v="7"/>
    <x v="13"/>
    <n v="0.42"/>
    <x v="15"/>
    <n v="0"/>
    <n v="12"/>
    <n v="12"/>
  </r>
  <r>
    <n v="234"/>
    <d v="2011-01-11T00:00:00"/>
    <x v="0"/>
    <x v="0"/>
    <x v="0"/>
    <d v="1900-01-08T17:00:00"/>
    <x v="0"/>
    <x v="3"/>
    <x v="0"/>
    <x v="3"/>
    <x v="14"/>
    <n v="0.59"/>
    <x v="8"/>
    <n v="2"/>
    <n v="10"/>
    <n v="12"/>
  </r>
  <r>
    <n v="327"/>
    <d v="2011-01-15T00:00:00"/>
    <x v="0"/>
    <x v="0"/>
    <x v="0"/>
    <d v="1900-01-12T14:00:00"/>
    <x v="0"/>
    <x v="0"/>
    <x v="1"/>
    <x v="2"/>
    <x v="5"/>
    <n v="0.59"/>
    <x v="1"/>
    <n v="0"/>
    <n v="12"/>
    <n v="12"/>
  </r>
  <r>
    <n v="481"/>
    <d v="2011-01-22T00:00:00"/>
    <x v="0"/>
    <x v="0"/>
    <x v="0"/>
    <d v="1900-01-19T00:00:00"/>
    <x v="0"/>
    <x v="0"/>
    <x v="1"/>
    <x v="11"/>
    <x v="18"/>
    <n v="0.41"/>
    <x v="3"/>
    <n v="3"/>
    <n v="9"/>
    <n v="12"/>
  </r>
  <r>
    <n v="649"/>
    <d v="2011-01-30T00:00:00"/>
    <x v="0"/>
    <x v="0"/>
    <x v="0"/>
    <d v="1900-01-26T00:00:00"/>
    <x v="0"/>
    <x v="1"/>
    <x v="1"/>
    <x v="3"/>
    <x v="6"/>
    <n v="0.86"/>
    <x v="0"/>
    <n v="1"/>
    <n v="11"/>
    <n v="12"/>
  </r>
  <r>
    <n v="736"/>
    <d v="2011-02-03T00:00:00"/>
    <x v="0"/>
    <x v="0"/>
    <x v="1"/>
    <d v="1900-01-29T15:00:00"/>
    <x v="0"/>
    <x v="4"/>
    <x v="0"/>
    <x v="4"/>
    <x v="14"/>
    <n v="0.4"/>
    <x v="16"/>
    <n v="1"/>
    <n v="11"/>
    <n v="12"/>
  </r>
  <r>
    <n v="877"/>
    <d v="2011-02-08T00:00:00"/>
    <x v="0"/>
    <x v="0"/>
    <x v="1"/>
    <d v="1900-02-04T12:00:00"/>
    <x v="0"/>
    <x v="3"/>
    <x v="0"/>
    <x v="8"/>
    <x v="20"/>
    <n v="0.33"/>
    <x v="13"/>
    <n v="3"/>
    <n v="9"/>
    <n v="12"/>
  </r>
  <r>
    <n v="973"/>
    <d v="2011-02-13T00:00:00"/>
    <x v="0"/>
    <x v="0"/>
    <x v="1"/>
    <d v="1900-02-08T12:00:00"/>
    <x v="0"/>
    <x v="1"/>
    <x v="1"/>
    <x v="4"/>
    <x v="9"/>
    <n v="0.69"/>
    <x v="8"/>
    <n v="4"/>
    <n v="8"/>
    <n v="12"/>
  </r>
  <r>
    <n v="977"/>
    <d v="2011-02-13T00:00:00"/>
    <x v="0"/>
    <x v="0"/>
    <x v="1"/>
    <d v="1900-02-08T16:00:00"/>
    <x v="0"/>
    <x v="1"/>
    <x v="1"/>
    <x v="10"/>
    <x v="9"/>
    <n v="0.64"/>
    <x v="2"/>
    <n v="1"/>
    <n v="11"/>
    <n v="12"/>
  </r>
  <r>
    <n v="4"/>
    <d v="2011-01-01T00:00:00"/>
    <x v="0"/>
    <x v="0"/>
    <x v="0"/>
    <d v="1899-12-30T03:00:00"/>
    <x v="0"/>
    <x v="0"/>
    <x v="0"/>
    <x v="0"/>
    <x v="0"/>
    <n v="0.75"/>
    <x v="0"/>
    <n v="3"/>
    <n v="10"/>
    <n v="13"/>
  </r>
  <r>
    <n v="380"/>
    <d v="2011-01-17T00:00:00"/>
    <x v="0"/>
    <x v="0"/>
    <x v="0"/>
    <d v="1900-01-14T19:00:00"/>
    <x v="1"/>
    <x v="2"/>
    <x v="1"/>
    <x v="2"/>
    <x v="15"/>
    <n v="0.5"/>
    <x v="4"/>
    <n v="4"/>
    <n v="9"/>
    <n v="13"/>
  </r>
  <r>
    <n v="395"/>
    <d v="2011-01-17T00:00:00"/>
    <x v="0"/>
    <x v="0"/>
    <x v="0"/>
    <d v="1900-01-15T10:00:00"/>
    <x v="1"/>
    <x v="2"/>
    <x v="2"/>
    <x v="3"/>
    <x v="8"/>
    <n v="0.93"/>
    <x v="10"/>
    <n v="0"/>
    <n v="13"/>
    <n v="13"/>
  </r>
  <r>
    <n v="432"/>
    <d v="2011-01-20T00:00:00"/>
    <x v="0"/>
    <x v="0"/>
    <x v="0"/>
    <d v="1900-01-16T23:00:00"/>
    <x v="0"/>
    <x v="4"/>
    <x v="0"/>
    <x v="9"/>
    <x v="9"/>
    <n v="0.56000000000000005"/>
    <x v="3"/>
    <n v="5"/>
    <n v="8"/>
    <n v="13"/>
  </r>
  <r>
    <n v="480"/>
    <d v="2011-01-22T00:00:00"/>
    <x v="0"/>
    <x v="0"/>
    <x v="0"/>
    <d v="1900-01-18T23:00:00"/>
    <x v="0"/>
    <x v="0"/>
    <x v="0"/>
    <x v="11"/>
    <x v="12"/>
    <n v="0.45"/>
    <x v="10"/>
    <n v="0"/>
    <n v="13"/>
    <n v="13"/>
  </r>
  <r>
    <n v="504"/>
    <d v="2011-01-23T00:00:00"/>
    <x v="0"/>
    <x v="0"/>
    <x v="0"/>
    <d v="1900-01-19T23:00:00"/>
    <x v="0"/>
    <x v="1"/>
    <x v="0"/>
    <x v="11"/>
    <x v="10"/>
    <n v="0.56999999999999995"/>
    <x v="8"/>
    <n v="1"/>
    <n v="12"/>
    <n v="13"/>
  </r>
  <r>
    <n v="759"/>
    <d v="2011-02-04T00:00:00"/>
    <x v="0"/>
    <x v="0"/>
    <x v="1"/>
    <d v="1900-01-30T14:00:00"/>
    <x v="0"/>
    <x v="5"/>
    <x v="1"/>
    <x v="4"/>
    <x v="1"/>
    <n v="0.44"/>
    <x v="0"/>
    <n v="3"/>
    <n v="10"/>
    <n v="13"/>
  </r>
  <r>
    <n v="809"/>
    <d v="2011-02-06T00:00:00"/>
    <x v="0"/>
    <x v="0"/>
    <x v="1"/>
    <d v="1900-02-01T16:00:00"/>
    <x v="0"/>
    <x v="1"/>
    <x v="0"/>
    <x v="9"/>
    <x v="0"/>
    <n v="0.6"/>
    <x v="1"/>
    <n v="3"/>
    <n v="10"/>
    <n v="13"/>
  </r>
  <r>
    <n v="10"/>
    <d v="2011-01-01T00:00:00"/>
    <x v="0"/>
    <x v="0"/>
    <x v="0"/>
    <d v="1899-12-30T09:00:00"/>
    <x v="0"/>
    <x v="0"/>
    <x v="0"/>
    <x v="18"/>
    <x v="27"/>
    <n v="0.76"/>
    <x v="0"/>
    <n v="8"/>
    <n v="6"/>
    <n v="14"/>
  </r>
  <r>
    <n v="302"/>
    <d v="2011-01-14T00:00:00"/>
    <x v="0"/>
    <x v="0"/>
    <x v="0"/>
    <d v="1900-01-11T13:00:00"/>
    <x v="0"/>
    <x v="5"/>
    <x v="0"/>
    <x v="8"/>
    <x v="3"/>
    <n v="0.5"/>
    <x v="2"/>
    <n v="0"/>
    <n v="14"/>
    <n v="14"/>
  </r>
  <r>
    <n v="924"/>
    <d v="2011-02-11T00:00:00"/>
    <x v="0"/>
    <x v="0"/>
    <x v="1"/>
    <d v="1900-02-06T11:00:00"/>
    <x v="0"/>
    <x v="5"/>
    <x v="0"/>
    <x v="7"/>
    <x v="3"/>
    <n v="0.49"/>
    <x v="8"/>
    <n v="2"/>
    <n v="12"/>
    <n v="14"/>
  </r>
  <r>
    <n v="161"/>
    <d v="2011-01-07T00:00:00"/>
    <x v="0"/>
    <x v="0"/>
    <x v="0"/>
    <d v="1900-01-05T16:00:00"/>
    <x v="0"/>
    <x v="5"/>
    <x v="1"/>
    <x v="5"/>
    <x v="5"/>
    <n v="0.51"/>
    <x v="6"/>
    <n v="1"/>
    <n v="14"/>
    <n v="15"/>
  </r>
  <r>
    <n v="170"/>
    <d v="2011-01-08T00:00:00"/>
    <x v="0"/>
    <x v="0"/>
    <x v="0"/>
    <d v="1900-01-06T01:00:00"/>
    <x v="0"/>
    <x v="0"/>
    <x v="2"/>
    <x v="2"/>
    <x v="15"/>
    <n v="0.93"/>
    <x v="8"/>
    <n v="0"/>
    <n v="15"/>
    <n v="15"/>
  </r>
  <r>
    <n v="208"/>
    <d v="2011-01-09T00:00:00"/>
    <x v="0"/>
    <x v="0"/>
    <x v="0"/>
    <d v="1900-01-07T15:00:00"/>
    <x v="0"/>
    <x v="1"/>
    <x v="0"/>
    <x v="3"/>
    <x v="8"/>
    <n v="0.46"/>
    <x v="9"/>
    <n v="5"/>
    <n v="10"/>
    <n v="15"/>
  </r>
  <r>
    <n v="301"/>
    <d v="2011-01-13T00:00:00"/>
    <x v="0"/>
    <x v="0"/>
    <x v="0"/>
    <d v="1900-01-11T12:00:00"/>
    <x v="0"/>
    <x v="4"/>
    <x v="0"/>
    <x v="8"/>
    <x v="3"/>
    <n v="0.5"/>
    <x v="2"/>
    <n v="1"/>
    <n v="14"/>
    <n v="15"/>
  </r>
  <r>
    <n v="352"/>
    <d v="2011-01-16T00:00:00"/>
    <x v="0"/>
    <x v="0"/>
    <x v="0"/>
    <d v="1900-01-13T15:00:00"/>
    <x v="0"/>
    <x v="1"/>
    <x v="0"/>
    <x v="10"/>
    <x v="16"/>
    <n v="0.69"/>
    <x v="0"/>
    <n v="9"/>
    <n v="6"/>
    <n v="15"/>
  </r>
  <r>
    <n v="531"/>
    <d v="2011-01-24T00:00:00"/>
    <x v="0"/>
    <x v="0"/>
    <x v="0"/>
    <d v="1900-01-21T02:00:00"/>
    <x v="0"/>
    <x v="2"/>
    <x v="0"/>
    <x v="12"/>
    <x v="10"/>
    <n v="0.48"/>
    <x v="1"/>
    <n v="0"/>
    <n v="15"/>
    <n v="15"/>
  </r>
  <r>
    <n v="621"/>
    <d v="2011-01-29T00:00:00"/>
    <x v="0"/>
    <x v="0"/>
    <x v="0"/>
    <d v="1900-01-24T20:00:00"/>
    <x v="0"/>
    <x v="0"/>
    <x v="0"/>
    <x v="10"/>
    <x v="9"/>
    <n v="0.64"/>
    <x v="6"/>
    <n v="0"/>
    <n v="15"/>
    <n v="15"/>
  </r>
  <r>
    <n v="830"/>
    <d v="2011-02-07T00:00:00"/>
    <x v="0"/>
    <x v="0"/>
    <x v="1"/>
    <d v="1900-02-02T13:00:00"/>
    <x v="0"/>
    <x v="2"/>
    <x v="0"/>
    <x v="0"/>
    <x v="0"/>
    <n v="0.65"/>
    <x v="0"/>
    <n v="1"/>
    <n v="14"/>
    <n v="15"/>
  </r>
  <r>
    <n v="948"/>
    <d v="2011-02-12T00:00:00"/>
    <x v="0"/>
    <x v="0"/>
    <x v="1"/>
    <d v="1900-02-07T11:00:00"/>
    <x v="0"/>
    <x v="0"/>
    <x v="0"/>
    <x v="3"/>
    <x v="6"/>
    <n v="0.8"/>
    <x v="0"/>
    <n v="2"/>
    <n v="13"/>
    <n v="15"/>
  </r>
  <r>
    <n v="1"/>
    <d v="2011-01-01T00:00:00"/>
    <x v="0"/>
    <x v="0"/>
    <x v="0"/>
    <d v="1899-12-30T00:00:00"/>
    <x v="0"/>
    <x v="0"/>
    <x v="0"/>
    <x v="0"/>
    <x v="0"/>
    <n v="0.81"/>
    <x v="0"/>
    <n v="3"/>
    <n v="13"/>
    <n v="16"/>
  </r>
  <r>
    <n v="163"/>
    <d v="2011-01-08T00:00:00"/>
    <x v="0"/>
    <x v="0"/>
    <x v="0"/>
    <d v="1900-01-05T18:00:00"/>
    <x v="0"/>
    <x v="0"/>
    <x v="1"/>
    <x v="5"/>
    <x v="6"/>
    <n v="0.55000000000000004"/>
    <x v="1"/>
    <n v="1"/>
    <n v="15"/>
    <n v="16"/>
  </r>
  <r>
    <n v="164"/>
    <d v="2011-01-08T00:00:00"/>
    <x v="0"/>
    <x v="0"/>
    <x v="0"/>
    <d v="1900-01-05T19:00:00"/>
    <x v="0"/>
    <x v="0"/>
    <x v="1"/>
    <x v="5"/>
    <x v="19"/>
    <n v="0.55000000000000004"/>
    <x v="0"/>
    <n v="3"/>
    <n v="13"/>
    <n v="16"/>
  </r>
  <r>
    <n v="260"/>
    <d v="2011-01-12T00:00:00"/>
    <x v="0"/>
    <x v="0"/>
    <x v="0"/>
    <d v="1900-01-09T19:00:00"/>
    <x v="0"/>
    <x v="6"/>
    <x v="0"/>
    <x v="8"/>
    <x v="4"/>
    <n v="0.93"/>
    <x v="4"/>
    <n v="0"/>
    <n v="16"/>
    <n v="16"/>
  </r>
  <r>
    <n v="351"/>
    <d v="2011-01-16T00:00:00"/>
    <x v="0"/>
    <x v="0"/>
    <x v="0"/>
    <d v="1900-01-13T14:00:00"/>
    <x v="0"/>
    <x v="1"/>
    <x v="0"/>
    <x v="9"/>
    <x v="0"/>
    <n v="0.56000000000000005"/>
    <x v="1"/>
    <n v="3"/>
    <n v="13"/>
    <n v="16"/>
  </r>
  <r>
    <n v="374"/>
    <d v="2011-01-17T00:00:00"/>
    <x v="0"/>
    <x v="0"/>
    <x v="0"/>
    <d v="1900-01-14T13:00:00"/>
    <x v="1"/>
    <x v="2"/>
    <x v="1"/>
    <x v="4"/>
    <x v="5"/>
    <n v="0.44"/>
    <x v="2"/>
    <n v="1"/>
    <n v="15"/>
    <n v="16"/>
  </r>
  <r>
    <n v="595"/>
    <d v="2011-01-27T00:00:00"/>
    <x v="0"/>
    <x v="0"/>
    <x v="0"/>
    <d v="1900-01-23T18:00:00"/>
    <x v="0"/>
    <x v="4"/>
    <x v="0"/>
    <x v="5"/>
    <x v="5"/>
    <n v="0.8"/>
    <x v="6"/>
    <n v="0"/>
    <n v="16"/>
    <n v="16"/>
  </r>
  <r>
    <n v="601"/>
    <d v="2011-01-28T00:00:00"/>
    <x v="0"/>
    <x v="0"/>
    <x v="0"/>
    <d v="1900-01-24T00:00:00"/>
    <x v="0"/>
    <x v="5"/>
    <x v="1"/>
    <x v="5"/>
    <x v="5"/>
    <n v="0.8"/>
    <x v="4"/>
    <n v="0"/>
    <n v="16"/>
    <n v="16"/>
  </r>
  <r>
    <n v="711"/>
    <d v="2011-02-01T00:00:00"/>
    <x v="0"/>
    <x v="0"/>
    <x v="1"/>
    <d v="1900-01-28T14:00:00"/>
    <x v="0"/>
    <x v="3"/>
    <x v="2"/>
    <x v="4"/>
    <x v="5"/>
    <n v="0.93"/>
    <x v="2"/>
    <n v="1"/>
    <n v="15"/>
    <n v="16"/>
  </r>
  <r>
    <n v="901"/>
    <d v="2011-02-10T00:00:00"/>
    <x v="0"/>
    <x v="0"/>
    <x v="1"/>
    <d v="1900-02-05T12:00:00"/>
    <x v="0"/>
    <x v="4"/>
    <x v="2"/>
    <x v="3"/>
    <x v="3"/>
    <n v="0.86"/>
    <x v="2"/>
    <n v="0"/>
    <n v="16"/>
    <n v="16"/>
  </r>
  <r>
    <n v="25"/>
    <d v="2011-01-02T00:00:00"/>
    <x v="0"/>
    <x v="0"/>
    <x v="0"/>
    <d v="1899-12-31T00:00:00"/>
    <x v="0"/>
    <x v="1"/>
    <x v="1"/>
    <x v="19"/>
    <x v="25"/>
    <n v="0.88"/>
    <x v="9"/>
    <n v="4"/>
    <n v="13"/>
    <n v="17"/>
  </r>
  <r>
    <n v="26"/>
    <d v="2011-01-02T00:00:00"/>
    <x v="0"/>
    <x v="0"/>
    <x v="0"/>
    <d v="1899-12-31T01:00:00"/>
    <x v="0"/>
    <x v="1"/>
    <x v="1"/>
    <x v="21"/>
    <x v="28"/>
    <n v="0.94"/>
    <x v="10"/>
    <n v="1"/>
    <n v="16"/>
    <n v="17"/>
  </r>
  <r>
    <n v="139"/>
    <d v="2011-01-07T00:00:00"/>
    <x v="0"/>
    <x v="0"/>
    <x v="0"/>
    <d v="1900-01-04T18:00:00"/>
    <x v="0"/>
    <x v="5"/>
    <x v="1"/>
    <x v="4"/>
    <x v="5"/>
    <n v="0.64"/>
    <x v="2"/>
    <n v="4"/>
    <n v="13"/>
    <n v="17"/>
  </r>
  <r>
    <n v="307"/>
    <d v="2011-01-14T00:00:00"/>
    <x v="0"/>
    <x v="0"/>
    <x v="0"/>
    <d v="1900-01-11T18:00:00"/>
    <x v="0"/>
    <x v="5"/>
    <x v="0"/>
    <x v="7"/>
    <x v="15"/>
    <n v="0.54"/>
    <x v="0"/>
    <n v="0"/>
    <n v="17"/>
    <n v="17"/>
  </r>
  <r>
    <n v="373"/>
    <d v="2011-01-17T00:00:00"/>
    <x v="0"/>
    <x v="0"/>
    <x v="0"/>
    <d v="1900-01-14T12:00:00"/>
    <x v="1"/>
    <x v="2"/>
    <x v="1"/>
    <x v="4"/>
    <x v="5"/>
    <n v="0.47"/>
    <x v="5"/>
    <n v="1"/>
    <n v="16"/>
    <n v="17"/>
  </r>
  <r>
    <n v="572"/>
    <d v="2011-01-26T00:00:00"/>
    <x v="0"/>
    <x v="0"/>
    <x v="0"/>
    <d v="1900-01-22T19:00:00"/>
    <x v="0"/>
    <x v="6"/>
    <x v="1"/>
    <x v="10"/>
    <x v="9"/>
    <n v="0.69"/>
    <x v="4"/>
    <n v="3"/>
    <n v="14"/>
    <n v="17"/>
  </r>
  <r>
    <n v="688"/>
    <d v="2011-01-31T00:00:00"/>
    <x v="0"/>
    <x v="0"/>
    <x v="0"/>
    <d v="1900-01-27T15:00:00"/>
    <x v="0"/>
    <x v="2"/>
    <x v="1"/>
    <x v="2"/>
    <x v="5"/>
    <n v="0.64"/>
    <x v="1"/>
    <n v="2"/>
    <n v="15"/>
    <n v="17"/>
  </r>
  <r>
    <n v="784"/>
    <d v="2011-02-05T00:00:00"/>
    <x v="0"/>
    <x v="0"/>
    <x v="1"/>
    <d v="1900-01-31T15:00:00"/>
    <x v="0"/>
    <x v="0"/>
    <x v="1"/>
    <x v="0"/>
    <x v="19"/>
    <n v="0.75"/>
    <x v="6"/>
    <n v="5"/>
    <n v="12"/>
    <n v="17"/>
  </r>
  <r>
    <n v="878"/>
    <d v="2011-02-09T00:00:00"/>
    <x v="0"/>
    <x v="0"/>
    <x v="1"/>
    <d v="1900-02-04T13:00:00"/>
    <x v="0"/>
    <x v="6"/>
    <x v="0"/>
    <x v="7"/>
    <x v="10"/>
    <n v="0.36"/>
    <x v="12"/>
    <n v="0"/>
    <n v="17"/>
    <n v="17"/>
  </r>
  <r>
    <n v="233"/>
    <d v="2011-01-10T00:00:00"/>
    <x v="0"/>
    <x v="0"/>
    <x v="0"/>
    <d v="1900-01-08T16:00:00"/>
    <x v="0"/>
    <x v="2"/>
    <x v="0"/>
    <x v="3"/>
    <x v="4"/>
    <n v="0.59"/>
    <x v="6"/>
    <n v="0"/>
    <n v="18"/>
    <n v="18"/>
  </r>
  <r>
    <n v="357"/>
    <d v="2011-01-16T00:00:00"/>
    <x v="0"/>
    <x v="0"/>
    <x v="0"/>
    <d v="1900-01-13T20:00:00"/>
    <x v="0"/>
    <x v="1"/>
    <x v="0"/>
    <x v="10"/>
    <x v="6"/>
    <n v="0.55000000000000004"/>
    <x v="7"/>
    <n v="0"/>
    <n v="18"/>
    <n v="18"/>
  </r>
  <r>
    <n v="372"/>
    <d v="2011-01-16T00:00:00"/>
    <x v="0"/>
    <x v="0"/>
    <x v="0"/>
    <d v="1900-01-14T11:00:00"/>
    <x v="0"/>
    <x v="1"/>
    <x v="1"/>
    <x v="4"/>
    <x v="9"/>
    <n v="0.4"/>
    <x v="8"/>
    <n v="0"/>
    <n v="18"/>
    <n v="18"/>
  </r>
  <r>
    <n v="505"/>
    <d v="2011-01-23T00:00:00"/>
    <x v="0"/>
    <x v="0"/>
    <x v="0"/>
    <d v="1900-01-20T00:00:00"/>
    <x v="0"/>
    <x v="1"/>
    <x v="0"/>
    <x v="12"/>
    <x v="13"/>
    <n v="0.62"/>
    <x v="4"/>
    <n v="3"/>
    <n v="15"/>
    <n v="18"/>
  </r>
  <r>
    <n v="718"/>
    <d v="2011-02-02T00:00:00"/>
    <x v="0"/>
    <x v="0"/>
    <x v="1"/>
    <d v="1900-01-28T21:00:00"/>
    <x v="0"/>
    <x v="6"/>
    <x v="2"/>
    <x v="10"/>
    <x v="19"/>
    <n v="0.93"/>
    <x v="8"/>
    <n v="1"/>
    <n v="17"/>
    <n v="18"/>
  </r>
  <r>
    <n v="783"/>
    <d v="2011-02-05T00:00:00"/>
    <x v="0"/>
    <x v="0"/>
    <x v="1"/>
    <d v="1900-01-31T14:00:00"/>
    <x v="0"/>
    <x v="0"/>
    <x v="1"/>
    <x v="0"/>
    <x v="19"/>
    <n v="0.65"/>
    <x v="6"/>
    <n v="1"/>
    <n v="17"/>
    <n v="18"/>
  </r>
  <r>
    <n v="115"/>
    <d v="2011-01-05T00:00:00"/>
    <x v="0"/>
    <x v="0"/>
    <x v="0"/>
    <d v="1900-01-03T18:00:00"/>
    <x v="0"/>
    <x v="6"/>
    <x v="0"/>
    <x v="4"/>
    <x v="1"/>
    <n v="0.47"/>
    <x v="0"/>
    <n v="1"/>
    <n v="18"/>
    <n v="19"/>
  </r>
  <r>
    <n v="195"/>
    <d v="2011-01-09T00:00:00"/>
    <x v="0"/>
    <x v="0"/>
    <x v="0"/>
    <d v="1900-01-07T02:00:00"/>
    <x v="0"/>
    <x v="1"/>
    <x v="0"/>
    <x v="8"/>
    <x v="10"/>
    <n v="0.46"/>
    <x v="14"/>
    <n v="0"/>
    <n v="19"/>
    <n v="19"/>
  </r>
  <r>
    <n v="255"/>
    <d v="2011-01-11T00:00:00"/>
    <x v="0"/>
    <x v="0"/>
    <x v="0"/>
    <d v="1900-01-09T14:00:00"/>
    <x v="0"/>
    <x v="3"/>
    <x v="2"/>
    <x v="2"/>
    <x v="5"/>
    <n v="0.93"/>
    <x v="1"/>
    <n v="1"/>
    <n v="18"/>
    <n v="19"/>
  </r>
  <r>
    <n v="510"/>
    <d v="2011-01-23T00:00:00"/>
    <x v="0"/>
    <x v="0"/>
    <x v="0"/>
    <d v="1900-01-20T05:00:00"/>
    <x v="0"/>
    <x v="1"/>
    <x v="0"/>
    <x v="15"/>
    <x v="10"/>
    <n v="0.62"/>
    <x v="6"/>
    <n v="2"/>
    <n v="17"/>
    <n v="19"/>
  </r>
  <r>
    <n v="33"/>
    <d v="2011-01-02T00:00:00"/>
    <x v="0"/>
    <x v="0"/>
    <x v="0"/>
    <d v="1899-12-31T08:00:00"/>
    <x v="0"/>
    <x v="1"/>
    <x v="1"/>
    <x v="20"/>
    <x v="18"/>
    <n v="0.76"/>
    <x v="5"/>
    <n v="1"/>
    <n v="19"/>
    <n v="20"/>
  </r>
  <r>
    <n v="68"/>
    <d v="2011-01-03T00:00:00"/>
    <x v="0"/>
    <x v="0"/>
    <x v="0"/>
    <d v="1900-01-01T19:00:00"/>
    <x v="0"/>
    <x v="2"/>
    <x v="0"/>
    <x v="3"/>
    <x v="4"/>
    <n v="0.69"/>
    <x v="4"/>
    <n v="0"/>
    <n v="20"/>
    <n v="20"/>
  </r>
  <r>
    <n v="171"/>
    <d v="2011-01-08T00:00:00"/>
    <x v="0"/>
    <x v="0"/>
    <x v="0"/>
    <d v="1900-01-06T02:00:00"/>
    <x v="0"/>
    <x v="0"/>
    <x v="2"/>
    <x v="2"/>
    <x v="15"/>
    <n v="0.93"/>
    <x v="8"/>
    <n v="0"/>
    <n v="20"/>
    <n v="20"/>
  </r>
  <r>
    <n v="207"/>
    <d v="2011-01-09T00:00:00"/>
    <x v="0"/>
    <x v="0"/>
    <x v="0"/>
    <d v="1900-01-07T14:00:00"/>
    <x v="0"/>
    <x v="1"/>
    <x v="0"/>
    <x v="3"/>
    <x v="20"/>
    <n v="0.46"/>
    <x v="11"/>
    <n v="1"/>
    <n v="19"/>
    <n v="20"/>
  </r>
  <r>
    <n v="253"/>
    <d v="2011-01-11T00:00:00"/>
    <x v="0"/>
    <x v="0"/>
    <x v="0"/>
    <d v="1900-01-09T12:00:00"/>
    <x v="0"/>
    <x v="3"/>
    <x v="2"/>
    <x v="2"/>
    <x v="5"/>
    <n v="0.86"/>
    <x v="1"/>
    <n v="0"/>
    <n v="20"/>
    <n v="20"/>
  </r>
  <r>
    <n v="277"/>
    <d v="2011-01-12T00:00:00"/>
    <x v="0"/>
    <x v="0"/>
    <x v="0"/>
    <d v="1900-01-10T12:00:00"/>
    <x v="0"/>
    <x v="6"/>
    <x v="0"/>
    <x v="3"/>
    <x v="20"/>
    <n v="0.59"/>
    <x v="11"/>
    <n v="1"/>
    <n v="19"/>
    <n v="20"/>
  </r>
  <r>
    <n v="326"/>
    <d v="2011-01-15T00:00:00"/>
    <x v="0"/>
    <x v="0"/>
    <x v="0"/>
    <d v="1900-01-12T13:00:00"/>
    <x v="0"/>
    <x v="0"/>
    <x v="1"/>
    <x v="2"/>
    <x v="5"/>
    <n v="0.59"/>
    <x v="1"/>
    <n v="2"/>
    <n v="18"/>
    <n v="20"/>
  </r>
  <r>
    <n v="408"/>
    <d v="2011-01-18T00:00:00"/>
    <x v="0"/>
    <x v="0"/>
    <x v="0"/>
    <d v="1900-01-15T23:00:00"/>
    <x v="0"/>
    <x v="3"/>
    <x v="1"/>
    <x v="10"/>
    <x v="16"/>
    <n v="0.93"/>
    <x v="0"/>
    <n v="1"/>
    <n v="19"/>
    <n v="20"/>
  </r>
  <r>
    <n v="620"/>
    <d v="2011-01-29T00:00:00"/>
    <x v="0"/>
    <x v="0"/>
    <x v="0"/>
    <d v="1900-01-24T19:00:00"/>
    <x v="0"/>
    <x v="0"/>
    <x v="0"/>
    <x v="10"/>
    <x v="9"/>
    <n v="0.64"/>
    <x v="2"/>
    <n v="0"/>
    <n v="20"/>
    <n v="20"/>
  </r>
  <r>
    <n v="791"/>
    <d v="2011-02-05T00:00:00"/>
    <x v="0"/>
    <x v="0"/>
    <x v="1"/>
    <d v="1900-01-31T22:00:00"/>
    <x v="0"/>
    <x v="0"/>
    <x v="2"/>
    <x v="4"/>
    <x v="9"/>
    <n v="1"/>
    <x v="1"/>
    <n v="3"/>
    <n v="17"/>
    <n v="20"/>
  </r>
  <r>
    <n v="808"/>
    <d v="2011-02-06T00:00:00"/>
    <x v="0"/>
    <x v="0"/>
    <x v="1"/>
    <d v="1900-02-01T15:00:00"/>
    <x v="0"/>
    <x v="1"/>
    <x v="0"/>
    <x v="9"/>
    <x v="9"/>
    <n v="0.6"/>
    <x v="13"/>
    <n v="0"/>
    <n v="20"/>
    <n v="20"/>
  </r>
  <r>
    <n v="972"/>
    <d v="2011-02-13T00:00:00"/>
    <x v="0"/>
    <x v="0"/>
    <x v="1"/>
    <d v="1900-02-08T11:00:00"/>
    <x v="0"/>
    <x v="1"/>
    <x v="1"/>
    <x v="4"/>
    <x v="9"/>
    <n v="0.75"/>
    <x v="1"/>
    <n v="1"/>
    <n v="19"/>
    <n v="20"/>
  </r>
  <r>
    <n v="371"/>
    <d v="2011-01-16T00:00:00"/>
    <x v="0"/>
    <x v="0"/>
    <x v="0"/>
    <d v="1900-01-14T10:00:00"/>
    <x v="0"/>
    <x v="1"/>
    <x v="1"/>
    <x v="4"/>
    <x v="6"/>
    <n v="0.49"/>
    <x v="4"/>
    <n v="2"/>
    <n v="19"/>
    <n v="21"/>
  </r>
  <r>
    <n v="456"/>
    <d v="2011-01-21T00:00:00"/>
    <x v="0"/>
    <x v="0"/>
    <x v="0"/>
    <d v="1900-01-17T23:00:00"/>
    <x v="0"/>
    <x v="5"/>
    <x v="1"/>
    <x v="0"/>
    <x v="9"/>
    <n v="0.7"/>
    <x v="10"/>
    <n v="1"/>
    <n v="20"/>
    <n v="21"/>
  </r>
  <r>
    <n v="525"/>
    <d v="2011-01-23T00:00:00"/>
    <x v="0"/>
    <x v="0"/>
    <x v="0"/>
    <d v="1900-01-20T20:00:00"/>
    <x v="0"/>
    <x v="1"/>
    <x v="0"/>
    <x v="15"/>
    <x v="13"/>
    <n v="0.41"/>
    <x v="5"/>
    <n v="4"/>
    <n v="17"/>
    <n v="21"/>
  </r>
  <r>
    <n v="663"/>
    <d v="2011-01-30T00:00:00"/>
    <x v="0"/>
    <x v="0"/>
    <x v="0"/>
    <d v="1900-01-26T14:00:00"/>
    <x v="0"/>
    <x v="1"/>
    <x v="1"/>
    <x v="0"/>
    <x v="9"/>
    <n v="0.7"/>
    <x v="2"/>
    <n v="2"/>
    <n v="19"/>
    <n v="21"/>
  </r>
  <r>
    <n v="664"/>
    <d v="2011-01-30T00:00:00"/>
    <x v="0"/>
    <x v="0"/>
    <x v="0"/>
    <d v="1900-01-26T15:00:00"/>
    <x v="0"/>
    <x v="1"/>
    <x v="1"/>
    <x v="0"/>
    <x v="6"/>
    <n v="0.65"/>
    <x v="7"/>
    <n v="5"/>
    <n v="16"/>
    <n v="21"/>
  </r>
  <r>
    <n v="825"/>
    <d v="2011-02-06T00:00:00"/>
    <x v="0"/>
    <x v="0"/>
    <x v="1"/>
    <d v="1900-02-02T08:00:00"/>
    <x v="0"/>
    <x v="1"/>
    <x v="0"/>
    <x v="13"/>
    <x v="0"/>
    <n v="0.61"/>
    <x v="4"/>
    <n v="1"/>
    <n v="20"/>
    <n v="21"/>
  </r>
  <r>
    <n v="44"/>
    <d v="2011-01-02T00:00:00"/>
    <x v="0"/>
    <x v="0"/>
    <x v="0"/>
    <d v="1899-12-31T19:00:00"/>
    <x v="0"/>
    <x v="1"/>
    <x v="0"/>
    <x v="22"/>
    <x v="18"/>
    <n v="0.39"/>
    <x v="12"/>
    <n v="5"/>
    <n v="17"/>
    <n v="22"/>
  </r>
  <r>
    <n v="185"/>
    <d v="2011-01-08T00:00:00"/>
    <x v="0"/>
    <x v="0"/>
    <x v="0"/>
    <d v="1900-01-06T16:00:00"/>
    <x v="0"/>
    <x v="0"/>
    <x v="0"/>
    <x v="7"/>
    <x v="13"/>
    <n v="0.39"/>
    <x v="16"/>
    <n v="0"/>
    <n v="22"/>
    <n v="22"/>
  </r>
  <r>
    <n v="398"/>
    <d v="2011-01-18T00:00:00"/>
    <x v="0"/>
    <x v="0"/>
    <x v="0"/>
    <d v="1900-01-15T13:00:00"/>
    <x v="0"/>
    <x v="3"/>
    <x v="1"/>
    <x v="4"/>
    <x v="5"/>
    <n v="0.86"/>
    <x v="5"/>
    <n v="0"/>
    <n v="22"/>
    <n v="22"/>
  </r>
  <r>
    <n v="503"/>
    <d v="2011-01-23T00:00:00"/>
    <x v="0"/>
    <x v="0"/>
    <x v="0"/>
    <d v="1900-01-19T22:00:00"/>
    <x v="0"/>
    <x v="1"/>
    <x v="0"/>
    <x v="11"/>
    <x v="10"/>
    <n v="0.56999999999999995"/>
    <x v="8"/>
    <n v="2"/>
    <n v="20"/>
    <n v="22"/>
  </r>
  <r>
    <n v="694"/>
    <d v="2011-02-01T00:00:00"/>
    <x v="0"/>
    <x v="0"/>
    <x v="1"/>
    <d v="1900-01-27T21:00:00"/>
    <x v="0"/>
    <x v="3"/>
    <x v="2"/>
    <x v="3"/>
    <x v="6"/>
    <n v="0.93"/>
    <x v="0"/>
    <n v="0"/>
    <n v="22"/>
    <n v="22"/>
  </r>
  <r>
    <n v="138"/>
    <d v="2011-01-06T00:00:00"/>
    <x v="0"/>
    <x v="0"/>
    <x v="0"/>
    <d v="1900-01-04T17:00:00"/>
    <x v="0"/>
    <x v="4"/>
    <x v="1"/>
    <x v="4"/>
    <x v="5"/>
    <n v="0.59"/>
    <x v="2"/>
    <n v="4"/>
    <n v="19"/>
    <n v="23"/>
  </r>
  <r>
    <n v="333"/>
    <d v="2011-01-15T00:00:00"/>
    <x v="0"/>
    <x v="0"/>
    <x v="0"/>
    <d v="1900-01-12T20:00:00"/>
    <x v="0"/>
    <x v="0"/>
    <x v="0"/>
    <x v="3"/>
    <x v="4"/>
    <n v="0.63"/>
    <x v="4"/>
    <n v="1"/>
    <n v="22"/>
    <n v="23"/>
  </r>
  <r>
    <n v="350"/>
    <d v="2011-01-16T00:00:00"/>
    <x v="0"/>
    <x v="0"/>
    <x v="0"/>
    <d v="1900-01-13T13:00:00"/>
    <x v="0"/>
    <x v="1"/>
    <x v="0"/>
    <x v="9"/>
    <x v="16"/>
    <n v="0.56000000000000005"/>
    <x v="4"/>
    <n v="4"/>
    <n v="19"/>
    <n v="23"/>
  </r>
  <r>
    <n v="618"/>
    <d v="2011-01-28T00:00:00"/>
    <x v="0"/>
    <x v="0"/>
    <x v="0"/>
    <d v="1900-01-24T17:00:00"/>
    <x v="0"/>
    <x v="5"/>
    <x v="0"/>
    <x v="0"/>
    <x v="9"/>
    <n v="0.6"/>
    <x v="5"/>
    <n v="1"/>
    <n v="22"/>
    <n v="23"/>
  </r>
  <r>
    <n v="814"/>
    <d v="2011-02-06T00:00:00"/>
    <x v="0"/>
    <x v="0"/>
    <x v="1"/>
    <d v="1900-02-01T21:00:00"/>
    <x v="0"/>
    <x v="1"/>
    <x v="0"/>
    <x v="0"/>
    <x v="1"/>
    <n v="0.65"/>
    <x v="8"/>
    <n v="2"/>
    <n v="21"/>
    <n v="23"/>
  </r>
  <r>
    <n v="232"/>
    <d v="2011-01-10T00:00:00"/>
    <x v="0"/>
    <x v="0"/>
    <x v="0"/>
    <d v="1900-01-08T15:00:00"/>
    <x v="0"/>
    <x v="2"/>
    <x v="0"/>
    <x v="3"/>
    <x v="4"/>
    <n v="0.59"/>
    <x v="6"/>
    <n v="2"/>
    <n v="22"/>
    <n v="24"/>
  </r>
  <r>
    <n v="548"/>
    <d v="2011-01-24T00:00:00"/>
    <x v="0"/>
    <x v="0"/>
    <x v="0"/>
    <d v="1900-01-21T19:00:00"/>
    <x v="0"/>
    <x v="2"/>
    <x v="1"/>
    <x v="2"/>
    <x v="4"/>
    <n v="0.64"/>
    <x v="10"/>
    <n v="3"/>
    <n v="21"/>
    <n v="24"/>
  </r>
  <r>
    <n v="588"/>
    <d v="2011-01-27T00:00:00"/>
    <x v="0"/>
    <x v="0"/>
    <x v="0"/>
    <d v="1900-01-23T11:00:00"/>
    <x v="0"/>
    <x v="4"/>
    <x v="0"/>
    <x v="10"/>
    <x v="9"/>
    <n v="0.55000000000000004"/>
    <x v="2"/>
    <n v="1"/>
    <n v="23"/>
    <n v="24"/>
  </r>
  <r>
    <n v="928"/>
    <d v="2011-02-11T00:00:00"/>
    <x v="0"/>
    <x v="0"/>
    <x v="1"/>
    <d v="1900-02-06T15:00:00"/>
    <x v="0"/>
    <x v="5"/>
    <x v="0"/>
    <x v="7"/>
    <x v="15"/>
    <n v="0.68"/>
    <x v="0"/>
    <n v="1"/>
    <n v="23"/>
    <n v="24"/>
  </r>
  <r>
    <n v="947"/>
    <d v="2011-02-12T00:00:00"/>
    <x v="0"/>
    <x v="0"/>
    <x v="1"/>
    <d v="1900-02-07T10:00:00"/>
    <x v="0"/>
    <x v="0"/>
    <x v="0"/>
    <x v="3"/>
    <x v="6"/>
    <n v="0.86"/>
    <x v="0"/>
    <n v="2"/>
    <n v="22"/>
    <n v="24"/>
  </r>
  <r>
    <n v="971"/>
    <d v="2011-02-13T00:00:00"/>
    <x v="0"/>
    <x v="0"/>
    <x v="1"/>
    <d v="1900-02-08T10:00:00"/>
    <x v="0"/>
    <x v="1"/>
    <x v="0"/>
    <x v="4"/>
    <x v="9"/>
    <n v="0.59"/>
    <x v="1"/>
    <n v="1"/>
    <n v="23"/>
    <n v="24"/>
  </r>
  <r>
    <n v="162"/>
    <d v="2011-01-08T00:00:00"/>
    <x v="0"/>
    <x v="0"/>
    <x v="0"/>
    <d v="1900-01-05T17:00:00"/>
    <x v="0"/>
    <x v="0"/>
    <x v="1"/>
    <x v="5"/>
    <x v="5"/>
    <n v="0.51"/>
    <x v="6"/>
    <n v="1"/>
    <n v="24"/>
    <n v="25"/>
  </r>
  <r>
    <n v="186"/>
    <d v="2011-01-09T00:00:00"/>
    <x v="0"/>
    <x v="0"/>
    <x v="0"/>
    <d v="1900-01-06T17:00:00"/>
    <x v="0"/>
    <x v="1"/>
    <x v="0"/>
    <x v="7"/>
    <x v="10"/>
    <n v="0.42"/>
    <x v="3"/>
    <n v="1"/>
    <n v="24"/>
    <n v="25"/>
  </r>
  <r>
    <n v="523"/>
    <d v="2011-01-23T00:00:00"/>
    <x v="0"/>
    <x v="0"/>
    <x v="0"/>
    <d v="1900-01-20T18:00:00"/>
    <x v="0"/>
    <x v="1"/>
    <x v="0"/>
    <x v="7"/>
    <x v="20"/>
    <n v="0.36"/>
    <x v="2"/>
    <n v="5"/>
    <n v="20"/>
    <n v="25"/>
  </r>
  <r>
    <n v="853"/>
    <d v="2011-02-07T00:00:00"/>
    <x v="0"/>
    <x v="0"/>
    <x v="1"/>
    <d v="1900-02-03T12:00:00"/>
    <x v="0"/>
    <x v="2"/>
    <x v="1"/>
    <x v="22"/>
    <x v="21"/>
    <n v="0.81"/>
    <x v="0"/>
    <n v="6"/>
    <n v="19"/>
    <n v="25"/>
  </r>
  <r>
    <n v="347"/>
    <d v="2011-01-15T00:00:00"/>
    <x v="0"/>
    <x v="0"/>
    <x v="0"/>
    <d v="1900-01-13T10:00:00"/>
    <x v="0"/>
    <x v="0"/>
    <x v="1"/>
    <x v="22"/>
    <x v="22"/>
    <n v="0.42"/>
    <x v="8"/>
    <n v="0"/>
    <n v="26"/>
    <n v="26"/>
  </r>
  <r>
    <n v="587"/>
    <d v="2011-01-26T00:00:00"/>
    <x v="0"/>
    <x v="0"/>
    <x v="0"/>
    <d v="1900-01-23T10:00:00"/>
    <x v="0"/>
    <x v="6"/>
    <x v="2"/>
    <x v="4"/>
    <x v="15"/>
    <n v="0.93"/>
    <x v="12"/>
    <n v="0"/>
    <n v="26"/>
    <n v="26"/>
  </r>
  <r>
    <n v="617"/>
    <d v="2011-01-28T00:00:00"/>
    <x v="0"/>
    <x v="0"/>
    <x v="0"/>
    <d v="1900-01-24T16:00:00"/>
    <x v="0"/>
    <x v="5"/>
    <x v="0"/>
    <x v="0"/>
    <x v="6"/>
    <n v="0.65"/>
    <x v="12"/>
    <n v="0"/>
    <n v="26"/>
    <n v="26"/>
  </r>
  <r>
    <n v="826"/>
    <d v="2011-02-06T00:00:00"/>
    <x v="0"/>
    <x v="0"/>
    <x v="1"/>
    <d v="1900-02-02T09:00:00"/>
    <x v="0"/>
    <x v="1"/>
    <x v="0"/>
    <x v="13"/>
    <x v="0"/>
    <n v="0.61"/>
    <x v="8"/>
    <n v="5"/>
    <n v="21"/>
    <n v="26"/>
  </r>
  <r>
    <n v="906"/>
    <d v="2011-02-10T00:00:00"/>
    <x v="0"/>
    <x v="0"/>
    <x v="1"/>
    <d v="1900-02-05T17:00:00"/>
    <x v="0"/>
    <x v="4"/>
    <x v="1"/>
    <x v="8"/>
    <x v="8"/>
    <n v="0.54"/>
    <x v="7"/>
    <n v="0"/>
    <n v="26"/>
    <n v="26"/>
  </r>
  <r>
    <n v="999"/>
    <d v="2011-02-14T00:00:00"/>
    <x v="0"/>
    <x v="0"/>
    <x v="1"/>
    <d v="1900-02-09T14:00:00"/>
    <x v="0"/>
    <x v="2"/>
    <x v="0"/>
    <x v="17"/>
    <x v="23"/>
    <n v="0.46"/>
    <x v="9"/>
    <n v="1"/>
    <n v="25"/>
    <n v="26"/>
  </r>
  <r>
    <n v="238"/>
    <d v="2011-01-11T00:00:00"/>
    <x v="0"/>
    <x v="0"/>
    <x v="0"/>
    <d v="1900-01-08T21:00:00"/>
    <x v="0"/>
    <x v="3"/>
    <x v="1"/>
    <x v="2"/>
    <x v="15"/>
    <n v="0.55000000000000004"/>
    <x v="4"/>
    <n v="0"/>
    <n v="27"/>
    <n v="27"/>
  </r>
  <r>
    <n v="324"/>
    <d v="2011-01-14T00:00:00"/>
    <x v="0"/>
    <x v="0"/>
    <x v="0"/>
    <d v="1900-01-12T11:00:00"/>
    <x v="0"/>
    <x v="5"/>
    <x v="1"/>
    <x v="5"/>
    <x v="19"/>
    <n v="0.55000000000000004"/>
    <x v="0"/>
    <n v="1"/>
    <n v="26"/>
    <n v="27"/>
  </r>
  <r>
    <n v="394"/>
    <d v="2011-01-17T00:00:00"/>
    <x v="0"/>
    <x v="0"/>
    <x v="0"/>
    <d v="1900-01-15T09:00:00"/>
    <x v="1"/>
    <x v="2"/>
    <x v="2"/>
    <x v="2"/>
    <x v="4"/>
    <n v="0.8"/>
    <x v="2"/>
    <n v="3"/>
    <n v="24"/>
    <n v="27"/>
  </r>
  <r>
    <n v="462"/>
    <d v="2011-01-21T00:00:00"/>
    <x v="0"/>
    <x v="0"/>
    <x v="0"/>
    <d v="1900-01-18T05:00:00"/>
    <x v="0"/>
    <x v="5"/>
    <x v="0"/>
    <x v="10"/>
    <x v="6"/>
    <n v="0.55000000000000004"/>
    <x v="10"/>
    <n v="0"/>
    <n v="27"/>
    <n v="27"/>
  </r>
  <r>
    <n v="479"/>
    <d v="2011-01-21T00:00:00"/>
    <x v="0"/>
    <x v="0"/>
    <x v="0"/>
    <d v="1900-01-18T22:00:00"/>
    <x v="0"/>
    <x v="5"/>
    <x v="0"/>
    <x v="15"/>
    <x v="11"/>
    <n v="0.38"/>
    <x v="13"/>
    <n v="0"/>
    <n v="27"/>
    <n v="27"/>
  </r>
  <r>
    <n v="487"/>
    <d v="2011-01-22T00:00:00"/>
    <x v="0"/>
    <x v="0"/>
    <x v="0"/>
    <d v="1900-01-19T06:00:00"/>
    <x v="0"/>
    <x v="0"/>
    <x v="0"/>
    <x v="12"/>
    <x v="18"/>
    <n v="0.44"/>
    <x v="13"/>
    <n v="1"/>
    <n v="26"/>
    <n v="27"/>
  </r>
  <r>
    <n v="594"/>
    <d v="2011-01-27T00:00:00"/>
    <x v="0"/>
    <x v="0"/>
    <x v="0"/>
    <d v="1900-01-23T17:00:00"/>
    <x v="0"/>
    <x v="4"/>
    <x v="0"/>
    <x v="5"/>
    <x v="6"/>
    <n v="0.74"/>
    <x v="1"/>
    <n v="0"/>
    <n v="27"/>
    <n v="27"/>
  </r>
  <r>
    <n v="827"/>
    <d v="2011-02-06T00:00:00"/>
    <x v="0"/>
    <x v="0"/>
    <x v="1"/>
    <d v="1900-02-02T10:00:00"/>
    <x v="0"/>
    <x v="1"/>
    <x v="0"/>
    <x v="9"/>
    <x v="23"/>
    <n v="0.6"/>
    <x v="0"/>
    <n v="5"/>
    <n v="22"/>
    <n v="27"/>
  </r>
  <r>
    <n v="23"/>
    <d v="2011-01-01T00:00:00"/>
    <x v="0"/>
    <x v="0"/>
    <x v="0"/>
    <d v="1899-12-30T22:00:00"/>
    <x v="0"/>
    <x v="0"/>
    <x v="1"/>
    <x v="1"/>
    <x v="2"/>
    <n v="0.94"/>
    <x v="5"/>
    <n v="11"/>
    <n v="17"/>
    <n v="28"/>
  </r>
  <r>
    <n v="182"/>
    <d v="2011-01-08T00:00:00"/>
    <x v="0"/>
    <x v="0"/>
    <x v="0"/>
    <d v="1900-01-06T13:00:00"/>
    <x v="0"/>
    <x v="0"/>
    <x v="0"/>
    <x v="8"/>
    <x v="8"/>
    <n v="0.36"/>
    <x v="10"/>
    <n v="0"/>
    <n v="28"/>
    <n v="28"/>
  </r>
  <r>
    <n v="284"/>
    <d v="2011-01-13T00:00:00"/>
    <x v="0"/>
    <x v="0"/>
    <x v="0"/>
    <d v="1900-01-10T19:00:00"/>
    <x v="0"/>
    <x v="4"/>
    <x v="0"/>
    <x v="8"/>
    <x v="4"/>
    <n v="0.54"/>
    <x v="4"/>
    <n v="0"/>
    <n v="28"/>
    <n v="28"/>
  </r>
  <r>
    <n v="325"/>
    <d v="2011-01-15T00:00:00"/>
    <x v="0"/>
    <x v="0"/>
    <x v="0"/>
    <d v="1900-01-12T12:00:00"/>
    <x v="0"/>
    <x v="0"/>
    <x v="0"/>
    <x v="5"/>
    <x v="19"/>
    <n v="0.55000000000000004"/>
    <x v="0"/>
    <n v="3"/>
    <n v="25"/>
    <n v="28"/>
  </r>
  <r>
    <n v="370"/>
    <d v="2011-01-16T00:00:00"/>
    <x v="0"/>
    <x v="0"/>
    <x v="0"/>
    <d v="1900-01-14T09:00:00"/>
    <x v="0"/>
    <x v="1"/>
    <x v="0"/>
    <x v="5"/>
    <x v="5"/>
    <n v="0.51"/>
    <x v="6"/>
    <n v="6"/>
    <n v="22"/>
    <n v="28"/>
  </r>
  <r>
    <n v="399"/>
    <d v="2011-01-18T00:00:00"/>
    <x v="0"/>
    <x v="0"/>
    <x v="0"/>
    <d v="1900-01-15T14:00:00"/>
    <x v="0"/>
    <x v="3"/>
    <x v="1"/>
    <x v="10"/>
    <x v="9"/>
    <n v="0.8"/>
    <x v="6"/>
    <n v="2"/>
    <n v="26"/>
    <n v="28"/>
  </r>
  <r>
    <n v="431"/>
    <d v="2011-01-19T00:00:00"/>
    <x v="0"/>
    <x v="0"/>
    <x v="0"/>
    <d v="1900-01-16T22:00:00"/>
    <x v="0"/>
    <x v="6"/>
    <x v="0"/>
    <x v="22"/>
    <x v="16"/>
    <n v="0.52"/>
    <x v="15"/>
    <n v="1"/>
    <n v="27"/>
    <n v="28"/>
  </r>
  <r>
    <n v="511"/>
    <d v="2011-01-23T00:00:00"/>
    <x v="0"/>
    <x v="0"/>
    <x v="0"/>
    <d v="1900-01-20T06:00:00"/>
    <x v="0"/>
    <x v="1"/>
    <x v="0"/>
    <x v="7"/>
    <x v="10"/>
    <n v="0.54"/>
    <x v="12"/>
    <n v="3"/>
    <n v="25"/>
    <n v="28"/>
  </r>
  <r>
    <n v="524"/>
    <d v="2011-01-23T00:00:00"/>
    <x v="0"/>
    <x v="0"/>
    <x v="0"/>
    <d v="1900-01-20T19:00:00"/>
    <x v="0"/>
    <x v="1"/>
    <x v="0"/>
    <x v="6"/>
    <x v="7"/>
    <n v="0.38"/>
    <x v="2"/>
    <n v="5"/>
    <n v="23"/>
    <n v="28"/>
  </r>
  <r>
    <n v="580"/>
    <d v="2011-01-26T00:00:00"/>
    <x v="0"/>
    <x v="0"/>
    <x v="0"/>
    <d v="1900-01-23T03:00:00"/>
    <x v="0"/>
    <x v="6"/>
    <x v="2"/>
    <x v="10"/>
    <x v="6"/>
    <n v="0.93"/>
    <x v="7"/>
    <n v="2"/>
    <n v="26"/>
    <n v="28"/>
  </r>
  <r>
    <n v="619"/>
    <d v="2011-01-29T00:00:00"/>
    <x v="0"/>
    <x v="0"/>
    <x v="0"/>
    <d v="1900-01-24T18:00:00"/>
    <x v="0"/>
    <x v="0"/>
    <x v="0"/>
    <x v="10"/>
    <x v="5"/>
    <n v="0.64"/>
    <x v="12"/>
    <n v="2"/>
    <n v="26"/>
    <n v="28"/>
  </r>
  <r>
    <n v="662"/>
    <d v="2011-01-30T00:00:00"/>
    <x v="0"/>
    <x v="0"/>
    <x v="0"/>
    <d v="1900-01-26T13:00:00"/>
    <x v="0"/>
    <x v="1"/>
    <x v="1"/>
    <x v="0"/>
    <x v="19"/>
    <n v="0.7"/>
    <x v="6"/>
    <n v="3"/>
    <n v="25"/>
    <n v="28"/>
  </r>
  <r>
    <n v="764"/>
    <d v="2011-02-04T00:00:00"/>
    <x v="0"/>
    <x v="0"/>
    <x v="1"/>
    <d v="1900-01-30T19:00:00"/>
    <x v="0"/>
    <x v="5"/>
    <x v="1"/>
    <x v="2"/>
    <x v="9"/>
    <n v="0.55000000000000004"/>
    <x v="0"/>
    <n v="2"/>
    <n v="26"/>
    <n v="28"/>
  </r>
  <r>
    <n v="254"/>
    <d v="2011-01-11T00:00:00"/>
    <x v="0"/>
    <x v="0"/>
    <x v="0"/>
    <d v="1900-01-09T13:00:00"/>
    <x v="0"/>
    <x v="3"/>
    <x v="2"/>
    <x v="2"/>
    <x v="15"/>
    <n v="0.93"/>
    <x v="8"/>
    <n v="1"/>
    <n v="28"/>
    <n v="29"/>
  </r>
  <r>
    <n v="607"/>
    <d v="2011-01-28T00:00:00"/>
    <x v="0"/>
    <x v="0"/>
    <x v="0"/>
    <d v="1900-01-24T06:00:00"/>
    <x v="0"/>
    <x v="5"/>
    <x v="2"/>
    <x v="5"/>
    <x v="6"/>
    <n v="0.93"/>
    <x v="8"/>
    <n v="1"/>
    <n v="28"/>
    <n v="29"/>
  </r>
  <r>
    <n v="643"/>
    <d v="2011-01-30T00:00:00"/>
    <x v="0"/>
    <x v="0"/>
    <x v="0"/>
    <d v="1900-01-25T18:00:00"/>
    <x v="0"/>
    <x v="1"/>
    <x v="0"/>
    <x v="3"/>
    <x v="6"/>
    <n v="0.8"/>
    <x v="0"/>
    <n v="7"/>
    <n v="22"/>
    <n v="29"/>
  </r>
  <r>
    <n v="876"/>
    <d v="2011-02-08T00:00:00"/>
    <x v="0"/>
    <x v="0"/>
    <x v="1"/>
    <d v="1900-02-04T11:00:00"/>
    <x v="0"/>
    <x v="3"/>
    <x v="0"/>
    <x v="8"/>
    <x v="20"/>
    <n v="0.33"/>
    <x v="12"/>
    <n v="0"/>
    <n v="29"/>
    <n v="29"/>
  </r>
  <r>
    <n v="43"/>
    <d v="2011-01-02T00:00:00"/>
    <x v="0"/>
    <x v="0"/>
    <x v="0"/>
    <d v="1899-12-31T18:00:00"/>
    <x v="0"/>
    <x v="1"/>
    <x v="0"/>
    <x v="18"/>
    <x v="0"/>
    <n v="0.42"/>
    <x v="16"/>
    <n v="1"/>
    <n v="29"/>
    <n v="30"/>
  </r>
  <r>
    <n v="52"/>
    <d v="2011-01-03T00:00:00"/>
    <x v="0"/>
    <x v="0"/>
    <x v="0"/>
    <d v="1900-01-01T03:00:00"/>
    <x v="0"/>
    <x v="2"/>
    <x v="0"/>
    <x v="3"/>
    <x v="20"/>
    <n v="0.5"/>
    <x v="3"/>
    <n v="0"/>
    <n v="30"/>
    <n v="30"/>
  </r>
  <r>
    <n v="181"/>
    <d v="2011-01-08T00:00:00"/>
    <x v="0"/>
    <x v="0"/>
    <x v="0"/>
    <d v="1900-01-06T12:00:00"/>
    <x v="0"/>
    <x v="0"/>
    <x v="0"/>
    <x v="3"/>
    <x v="8"/>
    <n v="0.36"/>
    <x v="10"/>
    <n v="4"/>
    <n v="26"/>
    <n v="30"/>
  </r>
  <r>
    <n v="221"/>
    <d v="2011-01-10T00:00:00"/>
    <x v="0"/>
    <x v="0"/>
    <x v="0"/>
    <d v="1900-01-08T04:00:00"/>
    <x v="0"/>
    <x v="2"/>
    <x v="1"/>
    <x v="2"/>
    <x v="3"/>
    <n v="0.47"/>
    <x v="7"/>
    <n v="2"/>
    <n v="28"/>
    <n v="30"/>
  </r>
  <r>
    <n v="300"/>
    <d v="2011-01-13T00:00:00"/>
    <x v="0"/>
    <x v="0"/>
    <x v="0"/>
    <d v="1900-01-11T11:00:00"/>
    <x v="0"/>
    <x v="4"/>
    <x v="0"/>
    <x v="3"/>
    <x v="8"/>
    <n v="0.46"/>
    <x v="13"/>
    <n v="0"/>
    <n v="30"/>
    <n v="30"/>
  </r>
  <r>
    <n v="501"/>
    <d v="2011-01-22T00:00:00"/>
    <x v="0"/>
    <x v="0"/>
    <x v="0"/>
    <d v="1900-01-19T20:00:00"/>
    <x v="0"/>
    <x v="0"/>
    <x v="0"/>
    <x v="15"/>
    <x v="4"/>
    <n v="0.49"/>
    <x v="0"/>
    <n v="7"/>
    <n v="23"/>
    <n v="30"/>
  </r>
  <r>
    <n v="577"/>
    <d v="2011-01-26T00:00:00"/>
    <x v="0"/>
    <x v="0"/>
    <x v="0"/>
    <d v="1900-01-23T00:00:00"/>
    <x v="0"/>
    <x v="6"/>
    <x v="2"/>
    <x v="10"/>
    <x v="6"/>
    <n v="0.87"/>
    <x v="9"/>
    <n v="1"/>
    <n v="29"/>
    <n v="30"/>
  </r>
  <r>
    <n v="606"/>
    <d v="2011-01-28T00:00:00"/>
    <x v="0"/>
    <x v="0"/>
    <x v="0"/>
    <d v="1900-01-24T05:00:00"/>
    <x v="0"/>
    <x v="5"/>
    <x v="2"/>
    <x v="5"/>
    <x v="6"/>
    <n v="0.93"/>
    <x v="8"/>
    <n v="0"/>
    <n v="30"/>
    <n v="30"/>
  </r>
  <r>
    <n v="829"/>
    <d v="2011-02-06T00:00:00"/>
    <x v="0"/>
    <x v="0"/>
    <x v="1"/>
    <d v="1900-02-02T12:00:00"/>
    <x v="0"/>
    <x v="1"/>
    <x v="0"/>
    <x v="0"/>
    <x v="0"/>
    <n v="0.65"/>
    <x v="0"/>
    <n v="4"/>
    <n v="26"/>
    <n v="30"/>
  </r>
  <r>
    <n v="836"/>
    <d v="2011-02-07T00:00:00"/>
    <x v="0"/>
    <x v="0"/>
    <x v="1"/>
    <d v="1900-02-02T19:00:00"/>
    <x v="0"/>
    <x v="2"/>
    <x v="0"/>
    <x v="5"/>
    <x v="19"/>
    <n v="0.93"/>
    <x v="0"/>
    <n v="1"/>
    <n v="29"/>
    <n v="30"/>
  </r>
  <r>
    <n v="946"/>
    <d v="2011-02-12T00:00:00"/>
    <x v="0"/>
    <x v="0"/>
    <x v="1"/>
    <d v="1900-02-07T09:00:00"/>
    <x v="0"/>
    <x v="0"/>
    <x v="0"/>
    <x v="2"/>
    <x v="5"/>
    <n v="0.69"/>
    <x v="1"/>
    <n v="3"/>
    <n v="27"/>
    <n v="30"/>
  </r>
  <r>
    <n v="954"/>
    <d v="2011-02-12T00:00:00"/>
    <x v="0"/>
    <x v="0"/>
    <x v="1"/>
    <d v="1900-02-07T17:00:00"/>
    <x v="0"/>
    <x v="0"/>
    <x v="0"/>
    <x v="3"/>
    <x v="4"/>
    <n v="0.86"/>
    <x v="4"/>
    <n v="2"/>
    <n v="28"/>
    <n v="30"/>
  </r>
  <r>
    <n v="992"/>
    <d v="2011-02-13T00:00:00"/>
    <x v="0"/>
    <x v="0"/>
    <x v="1"/>
    <d v="1900-02-09T07:00:00"/>
    <x v="0"/>
    <x v="1"/>
    <x v="0"/>
    <x v="1"/>
    <x v="2"/>
    <n v="0.35"/>
    <x v="12"/>
    <n v="3"/>
    <n v="27"/>
    <n v="30"/>
  </r>
  <r>
    <n v="45"/>
    <d v="2011-01-02T00:00:00"/>
    <x v="0"/>
    <x v="0"/>
    <x v="0"/>
    <d v="1899-12-31T20:00:00"/>
    <x v="0"/>
    <x v="1"/>
    <x v="0"/>
    <x v="9"/>
    <x v="9"/>
    <n v="0.44"/>
    <x v="13"/>
    <n v="11"/>
    <n v="20"/>
    <n v="31"/>
  </r>
  <r>
    <n v="216"/>
    <d v="2011-01-10T00:00:00"/>
    <x v="0"/>
    <x v="0"/>
    <x v="0"/>
    <d v="1900-01-07T23:00:00"/>
    <x v="0"/>
    <x v="2"/>
    <x v="0"/>
    <x v="8"/>
    <x v="8"/>
    <n v="0.5"/>
    <x v="7"/>
    <n v="0"/>
    <n v="31"/>
    <n v="31"/>
  </r>
  <r>
    <n v="220"/>
    <d v="2011-01-10T00:00:00"/>
    <x v="0"/>
    <x v="0"/>
    <x v="0"/>
    <d v="1900-01-08T03:00:00"/>
    <x v="0"/>
    <x v="2"/>
    <x v="1"/>
    <x v="3"/>
    <x v="8"/>
    <n v="0.5"/>
    <x v="9"/>
    <n v="0"/>
    <n v="31"/>
    <n v="31"/>
  </r>
  <r>
    <n v="455"/>
    <d v="2011-01-20T00:00:00"/>
    <x v="0"/>
    <x v="0"/>
    <x v="0"/>
    <d v="1900-01-17T22:00:00"/>
    <x v="0"/>
    <x v="4"/>
    <x v="1"/>
    <x v="0"/>
    <x v="6"/>
    <n v="0.65"/>
    <x v="13"/>
    <n v="3"/>
    <n v="28"/>
    <n v="31"/>
  </r>
  <r>
    <n v="608"/>
    <d v="2011-01-28T00:00:00"/>
    <x v="0"/>
    <x v="0"/>
    <x v="0"/>
    <d v="1900-01-24T07:00:00"/>
    <x v="0"/>
    <x v="5"/>
    <x v="2"/>
    <x v="5"/>
    <x v="6"/>
    <n v="0.93"/>
    <x v="8"/>
    <n v="0"/>
    <n v="31"/>
    <n v="31"/>
  </r>
  <r>
    <n v="781"/>
    <d v="2011-02-04T00:00:00"/>
    <x v="0"/>
    <x v="0"/>
    <x v="1"/>
    <d v="1900-01-31T12:00:00"/>
    <x v="0"/>
    <x v="5"/>
    <x v="1"/>
    <x v="0"/>
    <x v="19"/>
    <n v="0.7"/>
    <x v="4"/>
    <n v="1"/>
    <n v="30"/>
    <n v="31"/>
  </r>
  <r>
    <n v="3"/>
    <d v="2011-01-01T00:00:00"/>
    <x v="0"/>
    <x v="0"/>
    <x v="0"/>
    <d v="1899-12-30T02:00:00"/>
    <x v="0"/>
    <x v="0"/>
    <x v="0"/>
    <x v="10"/>
    <x v="16"/>
    <n v="0.8"/>
    <x v="0"/>
    <n v="5"/>
    <n v="27"/>
    <n v="32"/>
  </r>
  <r>
    <n v="252"/>
    <d v="2011-01-11T00:00:00"/>
    <x v="0"/>
    <x v="0"/>
    <x v="0"/>
    <d v="1900-01-09T11:00:00"/>
    <x v="0"/>
    <x v="3"/>
    <x v="2"/>
    <x v="2"/>
    <x v="4"/>
    <n v="0.93"/>
    <x v="2"/>
    <n v="0"/>
    <n v="32"/>
    <n v="32"/>
  </r>
  <r>
    <n v="358"/>
    <d v="2011-01-16T00:00:00"/>
    <x v="0"/>
    <x v="0"/>
    <x v="0"/>
    <d v="1900-01-13T21:00:00"/>
    <x v="0"/>
    <x v="1"/>
    <x v="0"/>
    <x v="10"/>
    <x v="6"/>
    <n v="0.51"/>
    <x v="10"/>
    <n v="3"/>
    <n v="29"/>
    <n v="32"/>
  </r>
  <r>
    <n v="414"/>
    <d v="2011-01-19T00:00:00"/>
    <x v="0"/>
    <x v="0"/>
    <x v="0"/>
    <d v="1900-01-16T05:00:00"/>
    <x v="0"/>
    <x v="6"/>
    <x v="1"/>
    <x v="10"/>
    <x v="1"/>
    <n v="0.93"/>
    <x v="1"/>
    <n v="0"/>
    <n v="32"/>
    <n v="32"/>
  </r>
  <r>
    <n v="640"/>
    <d v="2011-01-29T00:00:00"/>
    <x v="0"/>
    <x v="0"/>
    <x v="0"/>
    <d v="1900-01-25T15:00:00"/>
    <x v="0"/>
    <x v="0"/>
    <x v="0"/>
    <x v="2"/>
    <x v="5"/>
    <n v="0.8"/>
    <x v="1"/>
    <n v="4"/>
    <n v="28"/>
    <n v="32"/>
  </r>
  <r>
    <n v="735"/>
    <d v="2011-02-02T00:00:00"/>
    <x v="0"/>
    <x v="0"/>
    <x v="1"/>
    <d v="1900-01-29T14:00:00"/>
    <x v="0"/>
    <x v="6"/>
    <x v="0"/>
    <x v="4"/>
    <x v="14"/>
    <n v="0.44"/>
    <x v="16"/>
    <n v="3"/>
    <n v="29"/>
    <n v="32"/>
  </r>
  <r>
    <n v="969"/>
    <d v="2011-02-12T00:00:00"/>
    <x v="0"/>
    <x v="0"/>
    <x v="1"/>
    <d v="1900-02-08T08:00:00"/>
    <x v="0"/>
    <x v="0"/>
    <x v="0"/>
    <x v="10"/>
    <x v="9"/>
    <n v="0.51"/>
    <x v="4"/>
    <n v="1"/>
    <n v="31"/>
    <n v="32"/>
  </r>
  <r>
    <n v="98"/>
    <d v="2011-01-05T00:00:00"/>
    <x v="0"/>
    <x v="0"/>
    <x v="0"/>
    <d v="1900-01-03T01:00:00"/>
    <x v="0"/>
    <x v="6"/>
    <x v="0"/>
    <x v="4"/>
    <x v="5"/>
    <n v="0.47"/>
    <x v="5"/>
    <n v="0"/>
    <n v="33"/>
    <n v="33"/>
  </r>
  <r>
    <n v="276"/>
    <d v="2011-01-12T00:00:00"/>
    <x v="0"/>
    <x v="0"/>
    <x v="0"/>
    <d v="1900-01-10T11:00:00"/>
    <x v="0"/>
    <x v="6"/>
    <x v="0"/>
    <x v="2"/>
    <x v="8"/>
    <n v="0.55000000000000004"/>
    <x v="16"/>
    <n v="1"/>
    <n v="32"/>
    <n v="33"/>
  </r>
  <r>
    <n v="334"/>
    <d v="2011-01-15T00:00:00"/>
    <x v="0"/>
    <x v="0"/>
    <x v="0"/>
    <d v="1900-01-12T21:00:00"/>
    <x v="0"/>
    <x v="0"/>
    <x v="0"/>
    <x v="2"/>
    <x v="15"/>
    <n v="0.64"/>
    <x v="4"/>
    <n v="2"/>
    <n v="31"/>
    <n v="33"/>
  </r>
  <r>
    <n v="381"/>
    <d v="2011-01-17T00:00:00"/>
    <x v="0"/>
    <x v="0"/>
    <x v="0"/>
    <d v="1900-01-14T20:00:00"/>
    <x v="1"/>
    <x v="2"/>
    <x v="1"/>
    <x v="2"/>
    <x v="4"/>
    <n v="0.47"/>
    <x v="5"/>
    <n v="3"/>
    <n v="30"/>
    <n v="33"/>
  </r>
  <r>
    <n v="393"/>
    <d v="2011-01-17T00:00:00"/>
    <x v="0"/>
    <x v="0"/>
    <x v="0"/>
    <d v="1900-01-15T08:00:00"/>
    <x v="1"/>
    <x v="2"/>
    <x v="2"/>
    <x v="2"/>
    <x v="4"/>
    <n v="0.8"/>
    <x v="2"/>
    <n v="4"/>
    <n v="29"/>
    <n v="33"/>
  </r>
  <r>
    <n v="407"/>
    <d v="2011-01-18T00:00:00"/>
    <x v="0"/>
    <x v="0"/>
    <x v="0"/>
    <d v="1900-01-15T22:00:00"/>
    <x v="0"/>
    <x v="3"/>
    <x v="1"/>
    <x v="10"/>
    <x v="1"/>
    <n v="0.93"/>
    <x v="1"/>
    <n v="0"/>
    <n v="33"/>
    <n v="33"/>
  </r>
  <r>
    <n v="502"/>
    <d v="2011-01-22T00:00:00"/>
    <x v="0"/>
    <x v="0"/>
    <x v="0"/>
    <d v="1900-01-19T21:00:00"/>
    <x v="0"/>
    <x v="0"/>
    <x v="0"/>
    <x v="11"/>
    <x v="10"/>
    <n v="0.56999999999999995"/>
    <x v="8"/>
    <n v="2"/>
    <n v="31"/>
    <n v="33"/>
  </r>
  <r>
    <n v="641"/>
    <d v="2011-01-29T00:00:00"/>
    <x v="0"/>
    <x v="0"/>
    <x v="0"/>
    <d v="1900-01-25T16:00:00"/>
    <x v="0"/>
    <x v="0"/>
    <x v="0"/>
    <x v="2"/>
    <x v="5"/>
    <n v="0.8"/>
    <x v="1"/>
    <n v="3"/>
    <n v="30"/>
    <n v="33"/>
  </r>
  <r>
    <n v="642"/>
    <d v="2011-01-30T00:00:00"/>
    <x v="0"/>
    <x v="0"/>
    <x v="0"/>
    <d v="1900-01-25T17:00:00"/>
    <x v="0"/>
    <x v="1"/>
    <x v="0"/>
    <x v="2"/>
    <x v="15"/>
    <n v="0.8"/>
    <x v="8"/>
    <n v="0"/>
    <n v="33"/>
    <n v="33"/>
  </r>
  <r>
    <n v="661"/>
    <d v="2011-01-30T00:00:00"/>
    <x v="0"/>
    <x v="0"/>
    <x v="0"/>
    <d v="1900-01-26T12:00:00"/>
    <x v="0"/>
    <x v="1"/>
    <x v="1"/>
    <x v="9"/>
    <x v="16"/>
    <n v="0.65"/>
    <x v="8"/>
    <n v="3"/>
    <n v="30"/>
    <n v="33"/>
  </r>
  <r>
    <n v="22"/>
    <d v="2011-01-01T00:00:00"/>
    <x v="0"/>
    <x v="0"/>
    <x v="0"/>
    <d v="1899-12-30T21:00:00"/>
    <x v="0"/>
    <x v="0"/>
    <x v="1"/>
    <x v="1"/>
    <x v="2"/>
    <n v="0.87"/>
    <x v="2"/>
    <n v="3"/>
    <n v="31"/>
    <n v="34"/>
  </r>
  <r>
    <n v="144"/>
    <d v="2011-01-07T00:00:00"/>
    <x v="0"/>
    <x v="0"/>
    <x v="0"/>
    <d v="1900-01-04T23:00:00"/>
    <x v="0"/>
    <x v="5"/>
    <x v="1"/>
    <x v="4"/>
    <x v="1"/>
    <n v="0.69"/>
    <x v="0"/>
    <n v="8"/>
    <n v="26"/>
    <n v="34"/>
  </r>
  <r>
    <n v="184"/>
    <d v="2011-01-08T00:00:00"/>
    <x v="0"/>
    <x v="0"/>
    <x v="0"/>
    <d v="1900-01-06T15:00:00"/>
    <x v="0"/>
    <x v="0"/>
    <x v="0"/>
    <x v="8"/>
    <x v="20"/>
    <n v="0.36"/>
    <x v="3"/>
    <n v="1"/>
    <n v="33"/>
    <n v="34"/>
  </r>
  <r>
    <n v="478"/>
    <d v="2011-01-21T00:00:00"/>
    <x v="0"/>
    <x v="0"/>
    <x v="0"/>
    <d v="1900-01-18T21:00:00"/>
    <x v="0"/>
    <x v="5"/>
    <x v="0"/>
    <x v="15"/>
    <x v="12"/>
    <n v="0.41"/>
    <x v="3"/>
    <n v="1"/>
    <n v="33"/>
    <n v="34"/>
  </r>
  <r>
    <n v="626"/>
    <d v="2011-01-29T00:00:00"/>
    <x v="0"/>
    <x v="0"/>
    <x v="0"/>
    <d v="1900-01-25T01:00:00"/>
    <x v="0"/>
    <x v="0"/>
    <x v="0"/>
    <x v="5"/>
    <x v="5"/>
    <n v="0.55000000000000004"/>
    <x v="6"/>
    <n v="3"/>
    <n v="31"/>
    <n v="34"/>
  </r>
  <r>
    <n v="627"/>
    <d v="2011-01-29T00:00:00"/>
    <x v="0"/>
    <x v="0"/>
    <x v="0"/>
    <d v="1900-01-25T02:00:00"/>
    <x v="0"/>
    <x v="0"/>
    <x v="0"/>
    <x v="5"/>
    <x v="6"/>
    <n v="0.59"/>
    <x v="1"/>
    <n v="0"/>
    <n v="34"/>
    <n v="34"/>
  </r>
  <r>
    <n v="687"/>
    <d v="2011-01-31T00:00:00"/>
    <x v="0"/>
    <x v="0"/>
    <x v="0"/>
    <d v="1900-01-27T14:00:00"/>
    <x v="0"/>
    <x v="2"/>
    <x v="1"/>
    <x v="2"/>
    <x v="15"/>
    <n v="0.59"/>
    <x v="8"/>
    <n v="0"/>
    <n v="34"/>
    <n v="34"/>
  </r>
  <r>
    <n v="792"/>
    <d v="2011-02-05T00:00:00"/>
    <x v="0"/>
    <x v="0"/>
    <x v="1"/>
    <d v="1900-01-31T23:00:00"/>
    <x v="0"/>
    <x v="0"/>
    <x v="2"/>
    <x v="4"/>
    <x v="6"/>
    <n v="1"/>
    <x v="4"/>
    <n v="3"/>
    <n v="31"/>
    <n v="34"/>
  </r>
  <r>
    <n v="923"/>
    <d v="2011-02-10T00:00:00"/>
    <x v="0"/>
    <x v="0"/>
    <x v="1"/>
    <d v="1900-02-06T10:00:00"/>
    <x v="0"/>
    <x v="4"/>
    <x v="0"/>
    <x v="8"/>
    <x v="4"/>
    <n v="0.42"/>
    <x v="8"/>
    <n v="1"/>
    <n v="33"/>
    <n v="34"/>
  </r>
  <r>
    <n v="19"/>
    <d v="2011-01-01T00:00:00"/>
    <x v="0"/>
    <x v="0"/>
    <x v="0"/>
    <d v="1899-12-30T18:00:00"/>
    <x v="0"/>
    <x v="0"/>
    <x v="2"/>
    <x v="14"/>
    <x v="17"/>
    <n v="0.88"/>
    <x v="10"/>
    <n v="9"/>
    <n v="26"/>
    <n v="35"/>
  </r>
  <r>
    <n v="91"/>
    <d v="2011-01-04T00:00:00"/>
    <x v="0"/>
    <x v="0"/>
    <x v="0"/>
    <d v="1900-01-02T18:00:00"/>
    <x v="0"/>
    <x v="3"/>
    <x v="0"/>
    <x v="10"/>
    <x v="1"/>
    <n v="0.64"/>
    <x v="1"/>
    <n v="1"/>
    <n v="34"/>
    <n v="35"/>
  </r>
  <r>
    <n v="243"/>
    <d v="2011-01-11T00:00:00"/>
    <x v="0"/>
    <x v="0"/>
    <x v="0"/>
    <d v="1900-01-09T02:00:00"/>
    <x v="0"/>
    <x v="3"/>
    <x v="1"/>
    <x v="4"/>
    <x v="6"/>
    <n v="0.47"/>
    <x v="4"/>
    <n v="4"/>
    <n v="31"/>
    <n v="35"/>
  </r>
  <r>
    <n v="265"/>
    <d v="2011-01-12T00:00:00"/>
    <x v="0"/>
    <x v="0"/>
    <x v="0"/>
    <d v="1900-01-10T00:00:00"/>
    <x v="0"/>
    <x v="6"/>
    <x v="0"/>
    <x v="4"/>
    <x v="15"/>
    <n v="0.51"/>
    <x v="3"/>
    <n v="3"/>
    <n v="32"/>
    <n v="35"/>
  </r>
  <r>
    <n v="400"/>
    <d v="2011-01-18T00:00:00"/>
    <x v="0"/>
    <x v="0"/>
    <x v="0"/>
    <d v="1900-01-15T15:00:00"/>
    <x v="0"/>
    <x v="3"/>
    <x v="1"/>
    <x v="10"/>
    <x v="9"/>
    <n v="0.87"/>
    <x v="6"/>
    <n v="3"/>
    <n v="32"/>
    <n v="35"/>
  </r>
  <r>
    <n v="438"/>
    <d v="2011-01-20T00:00:00"/>
    <x v="0"/>
    <x v="0"/>
    <x v="0"/>
    <d v="1900-01-17T05:00:00"/>
    <x v="0"/>
    <x v="4"/>
    <x v="0"/>
    <x v="10"/>
    <x v="6"/>
    <n v="0.6"/>
    <x v="5"/>
    <n v="0"/>
    <n v="35"/>
    <n v="35"/>
  </r>
  <r>
    <n v="522"/>
    <d v="2011-01-23T00:00:00"/>
    <x v="0"/>
    <x v="0"/>
    <x v="0"/>
    <d v="1900-01-20T17:00:00"/>
    <x v="0"/>
    <x v="1"/>
    <x v="0"/>
    <x v="7"/>
    <x v="20"/>
    <n v="0.36"/>
    <x v="10"/>
    <n v="4"/>
    <n v="31"/>
    <n v="35"/>
  </r>
  <r>
    <n v="547"/>
    <d v="2011-01-24T00:00:00"/>
    <x v="0"/>
    <x v="0"/>
    <x v="0"/>
    <d v="1900-01-21T18:00:00"/>
    <x v="0"/>
    <x v="2"/>
    <x v="1"/>
    <x v="3"/>
    <x v="3"/>
    <n v="0.63"/>
    <x v="5"/>
    <n v="3"/>
    <n v="32"/>
    <n v="35"/>
  </r>
  <r>
    <n v="910"/>
    <d v="2011-02-10T00:00:00"/>
    <x v="0"/>
    <x v="0"/>
    <x v="1"/>
    <d v="1900-02-05T21:00:00"/>
    <x v="0"/>
    <x v="4"/>
    <x v="0"/>
    <x v="8"/>
    <x v="20"/>
    <n v="0.42"/>
    <x v="9"/>
    <n v="1"/>
    <n v="34"/>
    <n v="35"/>
  </r>
  <r>
    <n v="11"/>
    <d v="2011-01-01T00:00:00"/>
    <x v="0"/>
    <x v="0"/>
    <x v="0"/>
    <d v="1899-12-30T10:00:00"/>
    <x v="0"/>
    <x v="0"/>
    <x v="0"/>
    <x v="20"/>
    <x v="26"/>
    <n v="0.76"/>
    <x v="10"/>
    <n v="12"/>
    <n v="24"/>
    <n v="36"/>
  </r>
  <r>
    <n v="21"/>
    <d v="2011-01-01T00:00:00"/>
    <x v="0"/>
    <x v="0"/>
    <x v="0"/>
    <d v="1899-12-30T20:00:00"/>
    <x v="0"/>
    <x v="0"/>
    <x v="1"/>
    <x v="1"/>
    <x v="2"/>
    <n v="0.87"/>
    <x v="10"/>
    <n v="11"/>
    <n v="25"/>
    <n v="36"/>
  </r>
  <r>
    <n v="75"/>
    <d v="2011-01-04T00:00:00"/>
    <x v="0"/>
    <x v="0"/>
    <x v="0"/>
    <d v="1900-01-02T02:00:00"/>
    <x v="0"/>
    <x v="3"/>
    <x v="0"/>
    <x v="8"/>
    <x v="4"/>
    <n v="0.74"/>
    <x v="8"/>
    <n v="0"/>
    <n v="36"/>
    <n v="36"/>
  </r>
  <r>
    <n v="121"/>
    <d v="2011-01-06T00:00:00"/>
    <x v="0"/>
    <x v="0"/>
    <x v="0"/>
    <d v="1900-01-04T00:00:00"/>
    <x v="0"/>
    <x v="4"/>
    <x v="1"/>
    <x v="3"/>
    <x v="14"/>
    <n v="0.63"/>
    <x v="8"/>
    <n v="0"/>
    <n v="36"/>
    <n v="36"/>
  </r>
  <r>
    <n v="160"/>
    <d v="2011-01-07T00:00:00"/>
    <x v="0"/>
    <x v="0"/>
    <x v="0"/>
    <d v="1900-01-05T15:00:00"/>
    <x v="0"/>
    <x v="5"/>
    <x v="1"/>
    <x v="5"/>
    <x v="5"/>
    <n v="0.43"/>
    <x v="6"/>
    <n v="2"/>
    <n v="34"/>
    <n v="36"/>
  </r>
  <r>
    <n v="323"/>
    <d v="2011-01-14T00:00:00"/>
    <x v="0"/>
    <x v="0"/>
    <x v="0"/>
    <d v="1900-01-12T10:00:00"/>
    <x v="0"/>
    <x v="5"/>
    <x v="1"/>
    <x v="2"/>
    <x v="9"/>
    <n v="0.69"/>
    <x v="0"/>
    <n v="2"/>
    <n v="34"/>
    <n v="36"/>
  </r>
  <r>
    <n v="554"/>
    <d v="2011-01-25T00:00:00"/>
    <x v="0"/>
    <x v="0"/>
    <x v="0"/>
    <d v="1900-01-22T01:00:00"/>
    <x v="0"/>
    <x v="3"/>
    <x v="0"/>
    <x v="2"/>
    <x v="15"/>
    <n v="0.74"/>
    <x v="8"/>
    <n v="1"/>
    <n v="35"/>
    <n v="36"/>
  </r>
  <r>
    <n v="584"/>
    <d v="2011-01-26T00:00:00"/>
    <x v="0"/>
    <x v="0"/>
    <x v="0"/>
    <d v="1900-01-23T07:00:00"/>
    <x v="0"/>
    <x v="6"/>
    <x v="2"/>
    <x v="10"/>
    <x v="5"/>
    <n v="0.93"/>
    <x v="12"/>
    <n v="0"/>
    <n v="36"/>
    <n v="36"/>
  </r>
  <r>
    <n v="586"/>
    <d v="2011-01-26T00:00:00"/>
    <x v="0"/>
    <x v="0"/>
    <x v="0"/>
    <d v="1900-01-23T09:00:00"/>
    <x v="0"/>
    <x v="6"/>
    <x v="3"/>
    <x v="10"/>
    <x v="5"/>
    <n v="0.93"/>
    <x v="13"/>
    <n v="1"/>
    <n v="35"/>
    <n v="36"/>
  </r>
  <r>
    <n v="639"/>
    <d v="2011-01-29T00:00:00"/>
    <x v="0"/>
    <x v="0"/>
    <x v="0"/>
    <d v="1900-01-25T14:00:00"/>
    <x v="0"/>
    <x v="0"/>
    <x v="0"/>
    <x v="5"/>
    <x v="6"/>
    <n v="0.74"/>
    <x v="1"/>
    <n v="1"/>
    <n v="35"/>
    <n v="36"/>
  </r>
  <r>
    <n v="710"/>
    <d v="2011-02-01T00:00:00"/>
    <x v="0"/>
    <x v="0"/>
    <x v="1"/>
    <d v="1900-01-28T13:00:00"/>
    <x v="0"/>
    <x v="3"/>
    <x v="1"/>
    <x v="10"/>
    <x v="1"/>
    <n v="0.87"/>
    <x v="1"/>
    <n v="2"/>
    <n v="34"/>
    <n v="36"/>
  </r>
  <r>
    <n v="991"/>
    <d v="2011-02-13T00:00:00"/>
    <x v="0"/>
    <x v="0"/>
    <x v="1"/>
    <d v="1900-02-09T06:00:00"/>
    <x v="0"/>
    <x v="1"/>
    <x v="0"/>
    <x v="1"/>
    <x v="2"/>
    <n v="0.35"/>
    <x v="9"/>
    <n v="5"/>
    <n v="31"/>
    <n v="36"/>
  </r>
  <r>
    <n v="20"/>
    <d v="2011-01-01T00:00:00"/>
    <x v="0"/>
    <x v="0"/>
    <x v="0"/>
    <d v="1899-12-30T19:00:00"/>
    <x v="0"/>
    <x v="0"/>
    <x v="2"/>
    <x v="14"/>
    <x v="17"/>
    <n v="0.88"/>
    <x v="10"/>
    <n v="6"/>
    <n v="31"/>
    <n v="37"/>
  </r>
  <r>
    <n v="183"/>
    <d v="2011-01-08T00:00:00"/>
    <x v="0"/>
    <x v="0"/>
    <x v="0"/>
    <d v="1900-01-06T14:00:00"/>
    <x v="0"/>
    <x v="0"/>
    <x v="0"/>
    <x v="8"/>
    <x v="20"/>
    <n v="0.39"/>
    <x v="12"/>
    <n v="2"/>
    <n v="35"/>
    <n v="37"/>
  </r>
  <r>
    <n v="289"/>
    <d v="2011-01-13T00:00:00"/>
    <x v="0"/>
    <x v="0"/>
    <x v="0"/>
    <d v="1900-01-11T00:00:00"/>
    <x v="0"/>
    <x v="4"/>
    <x v="1"/>
    <x v="4"/>
    <x v="14"/>
    <n v="0.44"/>
    <x v="16"/>
    <n v="4"/>
    <n v="33"/>
    <n v="37"/>
  </r>
  <r>
    <n v="671"/>
    <d v="2011-01-31T00:00:00"/>
    <x v="0"/>
    <x v="0"/>
    <x v="0"/>
    <d v="1900-01-26T22:00:00"/>
    <x v="0"/>
    <x v="2"/>
    <x v="0"/>
    <x v="2"/>
    <x v="3"/>
    <n v="0.69"/>
    <x v="13"/>
    <n v="0"/>
    <n v="37"/>
    <n v="37"/>
  </r>
  <r>
    <n v="852"/>
    <d v="2011-02-07T00:00:00"/>
    <x v="0"/>
    <x v="0"/>
    <x v="1"/>
    <d v="1900-02-03T11:00:00"/>
    <x v="0"/>
    <x v="2"/>
    <x v="0"/>
    <x v="13"/>
    <x v="23"/>
    <n v="0.81"/>
    <x v="1"/>
    <n v="3"/>
    <n v="34"/>
    <n v="37"/>
  </r>
  <r>
    <n v="900"/>
    <d v="2011-02-09T00:00:00"/>
    <x v="0"/>
    <x v="0"/>
    <x v="1"/>
    <d v="1900-02-05T11:00:00"/>
    <x v="0"/>
    <x v="6"/>
    <x v="2"/>
    <x v="2"/>
    <x v="4"/>
    <n v="0.8"/>
    <x v="2"/>
    <n v="0"/>
    <n v="37"/>
    <n v="37"/>
  </r>
  <r>
    <n v="206"/>
    <d v="2011-01-09T00:00:00"/>
    <x v="0"/>
    <x v="0"/>
    <x v="0"/>
    <d v="1900-01-07T13:00:00"/>
    <x v="0"/>
    <x v="1"/>
    <x v="0"/>
    <x v="3"/>
    <x v="8"/>
    <n v="0.46"/>
    <x v="10"/>
    <n v="0"/>
    <n v="38"/>
    <n v="38"/>
  </r>
  <r>
    <n v="231"/>
    <d v="2011-01-10T00:00:00"/>
    <x v="0"/>
    <x v="0"/>
    <x v="0"/>
    <d v="1900-01-08T14:00:00"/>
    <x v="0"/>
    <x v="2"/>
    <x v="0"/>
    <x v="3"/>
    <x v="3"/>
    <n v="0.59"/>
    <x v="2"/>
    <n v="1"/>
    <n v="37"/>
    <n v="38"/>
  </r>
  <r>
    <n v="288"/>
    <d v="2011-01-13T00:00:00"/>
    <x v="0"/>
    <x v="0"/>
    <x v="0"/>
    <d v="1900-01-10T23:00:00"/>
    <x v="0"/>
    <x v="4"/>
    <x v="1"/>
    <x v="2"/>
    <x v="3"/>
    <n v="0.5"/>
    <x v="12"/>
    <n v="2"/>
    <n v="36"/>
    <n v="38"/>
  </r>
  <r>
    <n v="593"/>
    <d v="2011-01-27T00:00:00"/>
    <x v="0"/>
    <x v="0"/>
    <x v="0"/>
    <d v="1900-01-23T16:00:00"/>
    <x v="0"/>
    <x v="4"/>
    <x v="0"/>
    <x v="5"/>
    <x v="6"/>
    <n v="0.74"/>
    <x v="1"/>
    <n v="2"/>
    <n v="36"/>
    <n v="38"/>
  </r>
  <r>
    <n v="609"/>
    <d v="2011-01-28T00:00:00"/>
    <x v="0"/>
    <x v="0"/>
    <x v="0"/>
    <d v="1900-01-24T08:00:00"/>
    <x v="0"/>
    <x v="5"/>
    <x v="2"/>
    <x v="10"/>
    <x v="16"/>
    <n v="0.8"/>
    <x v="0"/>
    <n v="2"/>
    <n v="36"/>
    <n v="38"/>
  </r>
  <r>
    <n v="650"/>
    <d v="2011-01-30T00:00:00"/>
    <x v="0"/>
    <x v="0"/>
    <x v="0"/>
    <d v="1900-01-26T01:00:00"/>
    <x v="0"/>
    <x v="1"/>
    <x v="1"/>
    <x v="2"/>
    <x v="9"/>
    <n v="0.8"/>
    <x v="0"/>
    <n v="4"/>
    <n v="34"/>
    <n v="38"/>
  </r>
  <r>
    <n v="758"/>
    <d v="2011-02-03T00:00:00"/>
    <x v="0"/>
    <x v="0"/>
    <x v="1"/>
    <d v="1900-01-30T13:00:00"/>
    <x v="0"/>
    <x v="4"/>
    <x v="0"/>
    <x v="4"/>
    <x v="9"/>
    <n v="0.47"/>
    <x v="8"/>
    <n v="4"/>
    <n v="34"/>
    <n v="38"/>
  </r>
  <r>
    <n v="24"/>
    <d v="2011-01-01T00:00:00"/>
    <x v="0"/>
    <x v="0"/>
    <x v="0"/>
    <d v="1899-12-30T23:00:00"/>
    <x v="0"/>
    <x v="0"/>
    <x v="1"/>
    <x v="19"/>
    <x v="18"/>
    <n v="0.88"/>
    <x v="9"/>
    <n v="15"/>
    <n v="24"/>
    <n v="39"/>
  </r>
  <r>
    <n v="159"/>
    <d v="2011-01-07T00:00:00"/>
    <x v="0"/>
    <x v="0"/>
    <x v="0"/>
    <d v="1900-01-05T14:00:00"/>
    <x v="0"/>
    <x v="5"/>
    <x v="0"/>
    <x v="5"/>
    <x v="5"/>
    <n v="0.47"/>
    <x v="4"/>
    <n v="0"/>
    <n v="39"/>
    <n v="39"/>
  </r>
  <r>
    <n v="264"/>
    <d v="2011-01-12T00:00:00"/>
    <x v="0"/>
    <x v="0"/>
    <x v="0"/>
    <d v="1900-01-09T23:00:00"/>
    <x v="0"/>
    <x v="6"/>
    <x v="0"/>
    <x v="5"/>
    <x v="15"/>
    <n v="0.55000000000000004"/>
    <x v="5"/>
    <n v="0"/>
    <n v="39"/>
    <n v="39"/>
  </r>
  <r>
    <n v="349"/>
    <d v="2011-01-16T00:00:00"/>
    <x v="0"/>
    <x v="0"/>
    <x v="0"/>
    <d v="1900-01-13T12:00:00"/>
    <x v="0"/>
    <x v="1"/>
    <x v="0"/>
    <x v="9"/>
    <x v="23"/>
    <n v="0.56000000000000005"/>
    <x v="0"/>
    <n v="6"/>
    <n v="33"/>
    <n v="39"/>
  </r>
  <r>
    <n v="500"/>
    <d v="2011-01-22T00:00:00"/>
    <x v="0"/>
    <x v="0"/>
    <x v="0"/>
    <d v="1900-01-19T19:00:00"/>
    <x v="0"/>
    <x v="0"/>
    <x v="0"/>
    <x v="15"/>
    <x v="20"/>
    <n v="0.41"/>
    <x v="1"/>
    <n v="0"/>
    <n v="39"/>
    <n v="39"/>
  </r>
  <r>
    <n v="741"/>
    <d v="2011-02-03T00:00:00"/>
    <x v="0"/>
    <x v="0"/>
    <x v="1"/>
    <d v="1900-01-29T20:00:00"/>
    <x v="0"/>
    <x v="4"/>
    <x v="0"/>
    <x v="2"/>
    <x v="3"/>
    <n v="0.43"/>
    <x v="12"/>
    <n v="0"/>
    <n v="39"/>
    <n v="39"/>
  </r>
  <r>
    <n v="782"/>
    <d v="2011-02-05T00:00:00"/>
    <x v="0"/>
    <x v="0"/>
    <x v="1"/>
    <d v="1900-01-31T13:00:00"/>
    <x v="0"/>
    <x v="0"/>
    <x v="1"/>
    <x v="0"/>
    <x v="19"/>
    <n v="0.7"/>
    <x v="6"/>
    <n v="3"/>
    <n v="36"/>
    <n v="39"/>
  </r>
  <r>
    <n v="806"/>
    <d v="2011-02-06T00:00:00"/>
    <x v="0"/>
    <x v="0"/>
    <x v="1"/>
    <d v="1900-02-01T13:00:00"/>
    <x v="0"/>
    <x v="1"/>
    <x v="0"/>
    <x v="9"/>
    <x v="1"/>
    <n v="0.7"/>
    <x v="2"/>
    <n v="2"/>
    <n v="37"/>
    <n v="39"/>
  </r>
  <r>
    <n v="860"/>
    <d v="2011-02-08T00:00:00"/>
    <x v="0"/>
    <x v="0"/>
    <x v="1"/>
    <d v="1900-02-03T19:00:00"/>
    <x v="0"/>
    <x v="3"/>
    <x v="0"/>
    <x v="9"/>
    <x v="9"/>
    <n v="0.7"/>
    <x v="13"/>
    <n v="0"/>
    <n v="39"/>
    <n v="39"/>
  </r>
  <r>
    <n v="970"/>
    <d v="2011-02-13T00:00:00"/>
    <x v="0"/>
    <x v="0"/>
    <x v="1"/>
    <d v="1900-02-08T09:00:00"/>
    <x v="0"/>
    <x v="1"/>
    <x v="0"/>
    <x v="4"/>
    <x v="9"/>
    <n v="0.64"/>
    <x v="8"/>
    <n v="5"/>
    <n v="34"/>
    <n v="39"/>
  </r>
  <r>
    <n v="2"/>
    <d v="2011-01-01T00:00:00"/>
    <x v="0"/>
    <x v="0"/>
    <x v="1"/>
    <d v="1899-12-30T01:00:00"/>
    <x v="0"/>
    <x v="0"/>
    <x v="0"/>
    <x v="10"/>
    <x v="16"/>
    <n v="0.8"/>
    <x v="0"/>
    <n v="8"/>
    <n v="32"/>
    <n v="40"/>
  </r>
  <r>
    <n v="299"/>
    <d v="2011-01-13T00:00:00"/>
    <x v="0"/>
    <x v="0"/>
    <x v="0"/>
    <d v="1900-01-11T10:00:00"/>
    <x v="0"/>
    <x v="4"/>
    <x v="0"/>
    <x v="3"/>
    <x v="8"/>
    <n v="0.46"/>
    <x v="9"/>
    <n v="0"/>
    <n v="40"/>
    <n v="40"/>
  </r>
  <r>
    <n v="488"/>
    <d v="2011-01-22T00:00:00"/>
    <x v="0"/>
    <x v="0"/>
    <x v="0"/>
    <d v="1900-01-19T07:00:00"/>
    <x v="0"/>
    <x v="0"/>
    <x v="0"/>
    <x v="11"/>
    <x v="12"/>
    <n v="0.41"/>
    <x v="10"/>
    <n v="3"/>
    <n v="37"/>
    <n v="40"/>
  </r>
  <r>
    <n v="535"/>
    <d v="2011-01-24T00:00:00"/>
    <x v="0"/>
    <x v="0"/>
    <x v="0"/>
    <d v="1900-01-21T06:00:00"/>
    <x v="0"/>
    <x v="2"/>
    <x v="0"/>
    <x v="7"/>
    <x v="3"/>
    <n v="0.42"/>
    <x v="0"/>
    <n v="6"/>
    <n v="34"/>
    <n v="40"/>
  </r>
  <r>
    <n v="571"/>
    <d v="2011-01-25T00:00:00"/>
    <x v="0"/>
    <x v="0"/>
    <x v="0"/>
    <d v="1900-01-22T18:00:00"/>
    <x v="0"/>
    <x v="3"/>
    <x v="1"/>
    <x v="10"/>
    <x v="9"/>
    <n v="0.64"/>
    <x v="6"/>
    <n v="3"/>
    <n v="37"/>
    <n v="40"/>
  </r>
  <r>
    <n v="734"/>
    <d v="2011-02-02T00:00:00"/>
    <x v="0"/>
    <x v="0"/>
    <x v="1"/>
    <d v="1900-01-29T13:00:00"/>
    <x v="0"/>
    <x v="6"/>
    <x v="0"/>
    <x v="10"/>
    <x v="6"/>
    <n v="0.44"/>
    <x v="10"/>
    <n v="5"/>
    <n v="35"/>
    <n v="40"/>
  </r>
  <r>
    <n v="966"/>
    <d v="2011-02-12T00:00:00"/>
    <x v="0"/>
    <x v="0"/>
    <x v="1"/>
    <d v="1900-02-08T05:00:00"/>
    <x v="0"/>
    <x v="0"/>
    <x v="0"/>
    <x v="9"/>
    <x v="1"/>
    <n v="0.41"/>
    <x v="5"/>
    <n v="1"/>
    <n v="39"/>
    <n v="40"/>
  </r>
  <r>
    <n v="205"/>
    <d v="2011-01-09T00:00:00"/>
    <x v="0"/>
    <x v="0"/>
    <x v="0"/>
    <d v="1900-01-07T12:00:00"/>
    <x v="0"/>
    <x v="1"/>
    <x v="0"/>
    <x v="2"/>
    <x v="3"/>
    <n v="0.43"/>
    <x v="13"/>
    <n v="1"/>
    <n v="40"/>
    <n v="41"/>
  </r>
  <r>
    <n v="345"/>
    <d v="2011-01-15T00:00:00"/>
    <x v="0"/>
    <x v="0"/>
    <x v="0"/>
    <d v="1900-01-13T08:00:00"/>
    <x v="0"/>
    <x v="0"/>
    <x v="1"/>
    <x v="18"/>
    <x v="23"/>
    <n v="0.39"/>
    <x v="10"/>
    <n v="6"/>
    <n v="35"/>
    <n v="41"/>
  </r>
  <r>
    <n v="406"/>
    <d v="2011-01-18T00:00:00"/>
    <x v="0"/>
    <x v="0"/>
    <x v="0"/>
    <d v="1900-01-15T21:00:00"/>
    <x v="0"/>
    <x v="3"/>
    <x v="1"/>
    <x v="10"/>
    <x v="19"/>
    <n v="0.93"/>
    <x v="8"/>
    <n v="0"/>
    <n v="41"/>
    <n v="41"/>
  </r>
  <r>
    <n v="477"/>
    <d v="2011-01-21T00:00:00"/>
    <x v="0"/>
    <x v="0"/>
    <x v="0"/>
    <d v="1900-01-18T20:00:00"/>
    <x v="0"/>
    <x v="5"/>
    <x v="0"/>
    <x v="6"/>
    <x v="10"/>
    <n v="0.38"/>
    <x v="7"/>
    <n v="0"/>
    <n v="41"/>
    <n v="41"/>
  </r>
  <r>
    <n v="581"/>
    <d v="2011-01-26T00:00:00"/>
    <x v="0"/>
    <x v="0"/>
    <x v="0"/>
    <d v="1900-01-23T04:00:00"/>
    <x v="0"/>
    <x v="6"/>
    <x v="2"/>
    <x v="10"/>
    <x v="5"/>
    <n v="0.93"/>
    <x v="13"/>
    <n v="6"/>
    <n v="35"/>
    <n v="41"/>
  </r>
  <r>
    <n v="610"/>
    <d v="2011-01-28T00:00:00"/>
    <x v="0"/>
    <x v="0"/>
    <x v="0"/>
    <d v="1900-01-24T09:00:00"/>
    <x v="0"/>
    <x v="5"/>
    <x v="1"/>
    <x v="4"/>
    <x v="1"/>
    <n v="0.86"/>
    <x v="0"/>
    <n v="1"/>
    <n v="40"/>
    <n v="41"/>
  </r>
  <r>
    <n v="757"/>
    <d v="2011-02-03T00:00:00"/>
    <x v="0"/>
    <x v="0"/>
    <x v="1"/>
    <d v="1900-01-30T12:00:00"/>
    <x v="0"/>
    <x v="4"/>
    <x v="0"/>
    <x v="5"/>
    <x v="6"/>
    <n v="0.51"/>
    <x v="1"/>
    <n v="2"/>
    <n v="39"/>
    <n v="41"/>
  </r>
  <r>
    <n v="888"/>
    <d v="2011-02-09T00:00:00"/>
    <x v="0"/>
    <x v="0"/>
    <x v="1"/>
    <d v="1900-02-04T23:00:00"/>
    <x v="0"/>
    <x v="6"/>
    <x v="1"/>
    <x v="3"/>
    <x v="4"/>
    <n v="0.43"/>
    <x v="6"/>
    <n v="1"/>
    <n v="40"/>
    <n v="41"/>
  </r>
  <r>
    <n v="965"/>
    <d v="2011-02-12T00:00:00"/>
    <x v="0"/>
    <x v="0"/>
    <x v="1"/>
    <d v="1900-02-08T04:00:00"/>
    <x v="0"/>
    <x v="0"/>
    <x v="0"/>
    <x v="13"/>
    <x v="16"/>
    <n v="0.38"/>
    <x v="6"/>
    <n v="2"/>
    <n v="39"/>
    <n v="41"/>
  </r>
  <r>
    <n v="79"/>
    <d v="2011-01-04T00:00:00"/>
    <x v="0"/>
    <x v="0"/>
    <x v="0"/>
    <d v="1900-01-02T06:00:00"/>
    <x v="0"/>
    <x v="3"/>
    <x v="1"/>
    <x v="2"/>
    <x v="3"/>
    <n v="0.69"/>
    <x v="13"/>
    <n v="5"/>
    <n v="37"/>
    <n v="42"/>
  </r>
  <r>
    <n v="114"/>
    <d v="2011-01-05T00:00:00"/>
    <x v="0"/>
    <x v="0"/>
    <x v="0"/>
    <d v="1900-01-03T17:00:00"/>
    <x v="0"/>
    <x v="6"/>
    <x v="0"/>
    <x v="5"/>
    <x v="5"/>
    <n v="0.55000000000000004"/>
    <x v="4"/>
    <n v="1"/>
    <n v="41"/>
    <n v="42"/>
  </r>
  <r>
    <n v="292"/>
    <d v="2011-01-13T00:00:00"/>
    <x v="0"/>
    <x v="0"/>
    <x v="0"/>
    <d v="1900-01-11T03:00:00"/>
    <x v="0"/>
    <x v="4"/>
    <x v="0"/>
    <x v="10"/>
    <x v="5"/>
    <n v="0.41"/>
    <x v="3"/>
    <n v="3"/>
    <n v="39"/>
    <n v="42"/>
  </r>
  <r>
    <n v="113"/>
    <d v="2011-01-05T00:00:00"/>
    <x v="0"/>
    <x v="0"/>
    <x v="0"/>
    <d v="1900-01-03T16:00:00"/>
    <x v="0"/>
    <x v="6"/>
    <x v="0"/>
    <x v="4"/>
    <x v="5"/>
    <n v="0.51"/>
    <x v="2"/>
    <n v="3"/>
    <n v="40"/>
    <n v="43"/>
  </r>
  <r>
    <n v="585"/>
    <d v="2011-01-26T00:00:00"/>
    <x v="0"/>
    <x v="0"/>
    <x v="0"/>
    <d v="1900-01-23T08:00:00"/>
    <x v="0"/>
    <x v="6"/>
    <x v="2"/>
    <x v="10"/>
    <x v="15"/>
    <n v="0.93"/>
    <x v="15"/>
    <n v="1"/>
    <n v="42"/>
    <n v="43"/>
  </r>
  <r>
    <n v="638"/>
    <d v="2011-01-29T00:00:00"/>
    <x v="0"/>
    <x v="0"/>
    <x v="0"/>
    <d v="1900-01-25T13:00:00"/>
    <x v="0"/>
    <x v="0"/>
    <x v="0"/>
    <x v="5"/>
    <x v="6"/>
    <n v="0.74"/>
    <x v="1"/>
    <n v="1"/>
    <n v="42"/>
    <n v="43"/>
  </r>
  <r>
    <n v="779"/>
    <d v="2011-02-04T00:00:00"/>
    <x v="0"/>
    <x v="0"/>
    <x v="1"/>
    <d v="1900-01-31T10:00:00"/>
    <x v="0"/>
    <x v="5"/>
    <x v="1"/>
    <x v="0"/>
    <x v="19"/>
    <n v="0.7"/>
    <x v="6"/>
    <n v="2"/>
    <n v="41"/>
    <n v="43"/>
  </r>
  <r>
    <n v="883"/>
    <d v="2011-02-09T00:00:00"/>
    <x v="0"/>
    <x v="0"/>
    <x v="1"/>
    <d v="1900-02-04T18:00:00"/>
    <x v="0"/>
    <x v="6"/>
    <x v="0"/>
    <x v="15"/>
    <x v="4"/>
    <n v="0.45"/>
    <x v="0"/>
    <n v="0"/>
    <n v="43"/>
    <n v="43"/>
  </r>
  <r>
    <n v="944"/>
    <d v="2011-02-11T00:00:00"/>
    <x v="0"/>
    <x v="0"/>
    <x v="1"/>
    <d v="1900-02-07T07:00:00"/>
    <x v="0"/>
    <x v="5"/>
    <x v="0"/>
    <x v="4"/>
    <x v="9"/>
    <n v="0.64"/>
    <x v="1"/>
    <n v="2"/>
    <n v="41"/>
    <n v="43"/>
  </r>
  <r>
    <n v="955"/>
    <d v="2011-02-12T00:00:00"/>
    <x v="0"/>
    <x v="0"/>
    <x v="1"/>
    <d v="1900-02-07T18:00:00"/>
    <x v="0"/>
    <x v="0"/>
    <x v="0"/>
    <x v="2"/>
    <x v="15"/>
    <n v="0.64"/>
    <x v="4"/>
    <n v="5"/>
    <n v="38"/>
    <n v="43"/>
  </r>
  <r>
    <n v="56"/>
    <d v="2011-01-03T00:00:00"/>
    <x v="0"/>
    <x v="0"/>
    <x v="0"/>
    <d v="1900-01-01T07:00:00"/>
    <x v="0"/>
    <x v="2"/>
    <x v="0"/>
    <x v="5"/>
    <x v="14"/>
    <n v="0.43"/>
    <x v="10"/>
    <n v="11"/>
    <n v="33"/>
    <n v="44"/>
  </r>
  <r>
    <n v="268"/>
    <d v="2011-01-12T00:00:00"/>
    <x v="0"/>
    <x v="0"/>
    <x v="0"/>
    <d v="1900-01-10T03:00:00"/>
    <x v="0"/>
    <x v="6"/>
    <x v="0"/>
    <x v="4"/>
    <x v="15"/>
    <n v="0.47"/>
    <x v="13"/>
    <n v="0"/>
    <n v="44"/>
    <n v="44"/>
  </r>
  <r>
    <n v="311"/>
    <d v="2011-01-14T00:00:00"/>
    <x v="0"/>
    <x v="0"/>
    <x v="0"/>
    <d v="1900-01-11T22:00:00"/>
    <x v="0"/>
    <x v="5"/>
    <x v="0"/>
    <x v="5"/>
    <x v="15"/>
    <n v="0.55000000000000004"/>
    <x v="2"/>
    <n v="4"/>
    <n v="40"/>
    <n v="44"/>
  </r>
  <r>
    <n v="348"/>
    <d v="2011-01-15T00:00:00"/>
    <x v="0"/>
    <x v="0"/>
    <x v="0"/>
    <d v="1900-01-13T11:00:00"/>
    <x v="0"/>
    <x v="0"/>
    <x v="0"/>
    <x v="22"/>
    <x v="0"/>
    <n v="0.45"/>
    <x v="7"/>
    <n v="5"/>
    <n v="39"/>
    <n v="44"/>
  </r>
  <r>
    <n v="680"/>
    <d v="2011-01-31T00:00:00"/>
    <x v="0"/>
    <x v="0"/>
    <x v="0"/>
    <d v="1900-01-27T07:00:00"/>
    <x v="0"/>
    <x v="2"/>
    <x v="1"/>
    <x v="2"/>
    <x v="15"/>
    <n v="0.59"/>
    <x v="4"/>
    <n v="3"/>
    <n v="41"/>
    <n v="44"/>
  </r>
  <r>
    <n v="807"/>
    <d v="2011-02-06T00:00:00"/>
    <x v="0"/>
    <x v="0"/>
    <x v="1"/>
    <d v="1900-02-01T14:00:00"/>
    <x v="0"/>
    <x v="1"/>
    <x v="0"/>
    <x v="9"/>
    <x v="9"/>
    <n v="0.65"/>
    <x v="11"/>
    <n v="4"/>
    <n v="40"/>
    <n v="44"/>
  </r>
  <r>
    <n v="932"/>
    <d v="2011-02-11T00:00:00"/>
    <x v="0"/>
    <x v="0"/>
    <x v="1"/>
    <d v="1900-02-06T19:00:00"/>
    <x v="0"/>
    <x v="5"/>
    <x v="0"/>
    <x v="3"/>
    <x v="3"/>
    <n v="0.69"/>
    <x v="2"/>
    <n v="5"/>
    <n v="39"/>
    <n v="44"/>
  </r>
  <r>
    <n v="125"/>
    <d v="2011-01-06T00:00:00"/>
    <x v="0"/>
    <x v="0"/>
    <x v="0"/>
    <d v="1900-01-04T04:00:00"/>
    <x v="0"/>
    <x v="4"/>
    <x v="0"/>
    <x v="4"/>
    <x v="1"/>
    <n v="0.47"/>
    <x v="0"/>
    <n v="3"/>
    <n v="42"/>
    <n v="45"/>
  </r>
  <r>
    <n v="225"/>
    <d v="2011-01-10T00:00:00"/>
    <x v="0"/>
    <x v="0"/>
    <x v="0"/>
    <d v="1900-01-08T08:00:00"/>
    <x v="0"/>
    <x v="2"/>
    <x v="1"/>
    <x v="4"/>
    <x v="5"/>
    <n v="0.4"/>
    <x v="5"/>
    <n v="2"/>
    <n v="43"/>
    <n v="45"/>
  </r>
  <r>
    <n v="499"/>
    <d v="2011-01-22T00:00:00"/>
    <x v="0"/>
    <x v="0"/>
    <x v="0"/>
    <d v="1900-01-19T18:00:00"/>
    <x v="0"/>
    <x v="0"/>
    <x v="0"/>
    <x v="15"/>
    <x v="10"/>
    <n v="0.45"/>
    <x v="6"/>
    <n v="1"/>
    <n v="44"/>
    <n v="45"/>
  </r>
  <r>
    <n v="539"/>
    <d v="2011-01-24T00:00:00"/>
    <x v="0"/>
    <x v="0"/>
    <x v="0"/>
    <d v="1900-01-21T10:00:00"/>
    <x v="0"/>
    <x v="2"/>
    <x v="1"/>
    <x v="3"/>
    <x v="3"/>
    <n v="0.46"/>
    <x v="5"/>
    <n v="2"/>
    <n v="43"/>
    <n v="45"/>
  </r>
  <r>
    <n v="569"/>
    <d v="2011-01-25T00:00:00"/>
    <x v="0"/>
    <x v="0"/>
    <x v="0"/>
    <d v="1900-01-22T16:00:00"/>
    <x v="0"/>
    <x v="3"/>
    <x v="0"/>
    <x v="0"/>
    <x v="9"/>
    <n v="0.65"/>
    <x v="2"/>
    <n v="5"/>
    <n v="40"/>
    <n v="45"/>
  </r>
  <r>
    <n v="804"/>
    <d v="2011-02-05T00:00:00"/>
    <x v="0"/>
    <x v="0"/>
    <x v="1"/>
    <d v="1900-02-01T11:00:00"/>
    <x v="0"/>
    <x v="0"/>
    <x v="0"/>
    <x v="9"/>
    <x v="16"/>
    <n v="0.93"/>
    <x v="4"/>
    <n v="2"/>
    <n v="43"/>
    <n v="45"/>
  </r>
  <r>
    <n v="815"/>
    <d v="2011-02-06T00:00:00"/>
    <x v="0"/>
    <x v="0"/>
    <x v="1"/>
    <d v="1900-02-01T22:00:00"/>
    <x v="0"/>
    <x v="1"/>
    <x v="0"/>
    <x v="13"/>
    <x v="0"/>
    <n v="0.56000000000000005"/>
    <x v="8"/>
    <n v="7"/>
    <n v="38"/>
    <n v="45"/>
  </r>
  <r>
    <n v="911"/>
    <d v="2011-02-10T00:00:00"/>
    <x v="0"/>
    <x v="0"/>
    <x v="1"/>
    <d v="1900-02-05T22:00:00"/>
    <x v="0"/>
    <x v="4"/>
    <x v="0"/>
    <x v="3"/>
    <x v="8"/>
    <n v="0.39"/>
    <x v="12"/>
    <n v="1"/>
    <n v="44"/>
    <n v="45"/>
  </r>
  <r>
    <n v="968"/>
    <d v="2011-02-12T00:00:00"/>
    <x v="0"/>
    <x v="0"/>
    <x v="1"/>
    <d v="1900-02-08T07:00:00"/>
    <x v="0"/>
    <x v="0"/>
    <x v="0"/>
    <x v="0"/>
    <x v="1"/>
    <n v="0.44"/>
    <x v="1"/>
    <n v="6"/>
    <n v="39"/>
    <n v="45"/>
  </r>
  <r>
    <n v="103"/>
    <d v="2011-01-05T00:00:00"/>
    <x v="0"/>
    <x v="0"/>
    <x v="0"/>
    <d v="1900-01-03T06:00:00"/>
    <x v="0"/>
    <x v="6"/>
    <x v="0"/>
    <x v="9"/>
    <x v="9"/>
    <n v="0.33"/>
    <x v="13"/>
    <n v="12"/>
    <n v="34"/>
    <n v="46"/>
  </r>
  <r>
    <n v="536"/>
    <d v="2011-01-24T00:00:00"/>
    <x v="0"/>
    <x v="0"/>
    <x v="0"/>
    <d v="1900-01-21T07:00:00"/>
    <x v="0"/>
    <x v="2"/>
    <x v="0"/>
    <x v="7"/>
    <x v="8"/>
    <n v="0.46"/>
    <x v="4"/>
    <n v="3"/>
    <n v="43"/>
    <n v="46"/>
  </r>
  <r>
    <n v="780"/>
    <d v="2011-02-04T00:00:00"/>
    <x v="0"/>
    <x v="0"/>
    <x v="1"/>
    <d v="1900-01-31T11:00:00"/>
    <x v="0"/>
    <x v="5"/>
    <x v="1"/>
    <x v="0"/>
    <x v="19"/>
    <n v="0.65"/>
    <x v="6"/>
    <n v="1"/>
    <n v="45"/>
    <n v="46"/>
  </r>
  <r>
    <n v="899"/>
    <d v="2011-02-09T00:00:00"/>
    <x v="0"/>
    <x v="0"/>
    <x v="1"/>
    <d v="1900-02-05T10:00:00"/>
    <x v="0"/>
    <x v="6"/>
    <x v="2"/>
    <x v="2"/>
    <x v="14"/>
    <n v="0.8"/>
    <x v="6"/>
    <n v="4"/>
    <n v="42"/>
    <n v="46"/>
  </r>
  <r>
    <n v="224"/>
    <d v="2011-01-10T00:00:00"/>
    <x v="0"/>
    <x v="0"/>
    <x v="0"/>
    <d v="1900-01-08T07:00:00"/>
    <x v="0"/>
    <x v="2"/>
    <x v="1"/>
    <x v="4"/>
    <x v="5"/>
    <n v="0.4"/>
    <x v="5"/>
    <n v="0"/>
    <n v="47"/>
    <n v="47"/>
  </r>
  <r>
    <n v="247"/>
    <d v="2011-01-11T00:00:00"/>
    <x v="0"/>
    <x v="0"/>
    <x v="0"/>
    <d v="1900-01-09T06:00:00"/>
    <x v="0"/>
    <x v="3"/>
    <x v="1"/>
    <x v="2"/>
    <x v="5"/>
    <n v="0.8"/>
    <x v="1"/>
    <n v="2"/>
    <n v="45"/>
    <n v="47"/>
  </r>
  <r>
    <n v="382"/>
    <d v="2011-01-17T00:00:00"/>
    <x v="0"/>
    <x v="0"/>
    <x v="0"/>
    <d v="1900-01-14T21:00:00"/>
    <x v="1"/>
    <x v="2"/>
    <x v="1"/>
    <x v="2"/>
    <x v="4"/>
    <n v="0.47"/>
    <x v="5"/>
    <n v="8"/>
    <n v="39"/>
    <n v="47"/>
  </r>
  <r>
    <n v="418"/>
    <d v="2011-01-19T00:00:00"/>
    <x v="0"/>
    <x v="0"/>
    <x v="0"/>
    <d v="1900-01-16T09:00:00"/>
    <x v="0"/>
    <x v="6"/>
    <x v="1"/>
    <x v="9"/>
    <x v="16"/>
    <n v="0.93"/>
    <x v="4"/>
    <n v="1"/>
    <n v="46"/>
    <n v="47"/>
  </r>
  <r>
    <n v="583"/>
    <d v="2011-01-26T00:00:00"/>
    <x v="0"/>
    <x v="0"/>
    <x v="0"/>
    <d v="1900-01-23T06:00:00"/>
    <x v="0"/>
    <x v="6"/>
    <x v="2"/>
    <x v="10"/>
    <x v="5"/>
    <n v="0.93"/>
    <x v="13"/>
    <n v="4"/>
    <n v="43"/>
    <n v="47"/>
  </r>
  <r>
    <n v="698"/>
    <d v="2011-02-01T00:00:00"/>
    <x v="0"/>
    <x v="0"/>
    <x v="1"/>
    <d v="1900-01-28T01:00:00"/>
    <x v="0"/>
    <x v="3"/>
    <x v="1"/>
    <x v="2"/>
    <x v="9"/>
    <n v="0.93"/>
    <x v="0"/>
    <n v="0"/>
    <n v="47"/>
    <n v="47"/>
  </r>
  <r>
    <n v="749"/>
    <d v="2011-02-03T00:00:00"/>
    <x v="0"/>
    <x v="0"/>
    <x v="1"/>
    <d v="1900-01-30T04:00:00"/>
    <x v="0"/>
    <x v="4"/>
    <x v="0"/>
    <x v="10"/>
    <x v="5"/>
    <n v="0.37"/>
    <x v="3"/>
    <n v="4"/>
    <n v="43"/>
    <n v="47"/>
  </r>
  <r>
    <n v="793"/>
    <d v="2011-02-05T00:00:00"/>
    <x v="0"/>
    <x v="0"/>
    <x v="1"/>
    <d v="1900-02-01T00:00:00"/>
    <x v="0"/>
    <x v="0"/>
    <x v="2"/>
    <x v="10"/>
    <x v="9"/>
    <n v="1"/>
    <x v="4"/>
    <n v="1"/>
    <n v="46"/>
    <n v="47"/>
  </r>
  <r>
    <n v="841"/>
    <d v="2011-02-07T00:00:00"/>
    <x v="0"/>
    <x v="0"/>
    <x v="1"/>
    <d v="1900-02-03T00:00:00"/>
    <x v="0"/>
    <x v="2"/>
    <x v="0"/>
    <x v="22"/>
    <x v="22"/>
    <n v="0.65"/>
    <x v="1"/>
    <n v="11"/>
    <n v="36"/>
    <n v="47"/>
  </r>
  <r>
    <n v="943"/>
    <d v="2011-02-11T00:00:00"/>
    <x v="0"/>
    <x v="0"/>
    <x v="1"/>
    <d v="1900-02-07T06:00:00"/>
    <x v="0"/>
    <x v="5"/>
    <x v="0"/>
    <x v="4"/>
    <x v="6"/>
    <n v="0.59"/>
    <x v="4"/>
    <n v="1"/>
    <n v="46"/>
    <n v="47"/>
  </r>
  <r>
    <n v="978"/>
    <d v="2011-02-13T00:00:00"/>
    <x v="0"/>
    <x v="0"/>
    <x v="1"/>
    <d v="1900-02-08T17:00:00"/>
    <x v="0"/>
    <x v="1"/>
    <x v="1"/>
    <x v="0"/>
    <x v="9"/>
    <n v="0.6"/>
    <x v="5"/>
    <n v="12"/>
    <n v="35"/>
    <n v="47"/>
  </r>
  <r>
    <n v="989"/>
    <d v="2011-02-13T00:00:00"/>
    <x v="0"/>
    <x v="0"/>
    <x v="1"/>
    <d v="1900-02-09T04:00:00"/>
    <x v="0"/>
    <x v="1"/>
    <x v="0"/>
    <x v="1"/>
    <x v="2"/>
    <n v="0.35"/>
    <x v="13"/>
    <n v="15"/>
    <n v="32"/>
    <n v="47"/>
  </r>
  <r>
    <n v="90"/>
    <d v="2011-01-04T00:00:00"/>
    <x v="0"/>
    <x v="0"/>
    <x v="0"/>
    <d v="1900-01-02T17:00:00"/>
    <x v="0"/>
    <x v="3"/>
    <x v="0"/>
    <x v="10"/>
    <x v="16"/>
    <n v="0.64"/>
    <x v="0"/>
    <n v="0"/>
    <n v="48"/>
    <n v="48"/>
  </r>
  <r>
    <n v="136"/>
    <d v="2011-01-06T00:00:00"/>
    <x v="0"/>
    <x v="0"/>
    <x v="0"/>
    <d v="1900-01-04T15:00:00"/>
    <x v="0"/>
    <x v="4"/>
    <x v="1"/>
    <x v="10"/>
    <x v="6"/>
    <n v="0.55000000000000004"/>
    <x v="5"/>
    <n v="0"/>
    <n v="48"/>
    <n v="48"/>
  </r>
  <r>
    <n v="204"/>
    <d v="2011-01-09T00:00:00"/>
    <x v="0"/>
    <x v="0"/>
    <x v="0"/>
    <d v="1900-01-07T11:00:00"/>
    <x v="0"/>
    <x v="1"/>
    <x v="0"/>
    <x v="2"/>
    <x v="3"/>
    <n v="0.4"/>
    <x v="13"/>
    <n v="4"/>
    <n v="44"/>
    <n v="48"/>
  </r>
  <r>
    <n v="582"/>
    <d v="2011-01-26T00:00:00"/>
    <x v="0"/>
    <x v="0"/>
    <x v="0"/>
    <d v="1900-01-23T05:00:00"/>
    <x v="0"/>
    <x v="6"/>
    <x v="2"/>
    <x v="10"/>
    <x v="5"/>
    <n v="0.93"/>
    <x v="13"/>
    <n v="7"/>
    <n v="41"/>
    <n v="48"/>
  </r>
  <r>
    <n v="676"/>
    <d v="2011-01-31T00:00:00"/>
    <x v="0"/>
    <x v="0"/>
    <x v="0"/>
    <d v="1900-01-27T03:00:00"/>
    <x v="0"/>
    <x v="2"/>
    <x v="1"/>
    <x v="2"/>
    <x v="4"/>
    <n v="0.59"/>
    <x v="2"/>
    <n v="2"/>
    <n v="46"/>
    <n v="48"/>
  </r>
  <r>
    <n v="864"/>
    <d v="2011-02-08T00:00:00"/>
    <x v="0"/>
    <x v="0"/>
    <x v="1"/>
    <d v="1900-02-03T23:00:00"/>
    <x v="0"/>
    <x v="3"/>
    <x v="0"/>
    <x v="10"/>
    <x v="15"/>
    <n v="0.47"/>
    <x v="17"/>
    <n v="4"/>
    <n v="44"/>
    <n v="48"/>
  </r>
  <r>
    <n v="914"/>
    <d v="2011-02-10T00:00:00"/>
    <x v="0"/>
    <x v="0"/>
    <x v="1"/>
    <d v="1900-02-06T01:00:00"/>
    <x v="0"/>
    <x v="4"/>
    <x v="0"/>
    <x v="4"/>
    <x v="15"/>
    <n v="0.27"/>
    <x v="7"/>
    <n v="6"/>
    <n v="42"/>
    <n v="48"/>
  </r>
  <r>
    <n v="196"/>
    <d v="2011-01-09T00:00:00"/>
    <x v="0"/>
    <x v="0"/>
    <x v="0"/>
    <d v="1900-01-07T03:00:00"/>
    <x v="0"/>
    <x v="1"/>
    <x v="0"/>
    <x v="3"/>
    <x v="20"/>
    <n v="0.43"/>
    <x v="3"/>
    <n v="0"/>
    <n v="49"/>
    <n v="49"/>
  </r>
  <r>
    <n v="197"/>
    <d v="2011-01-09T00:00:00"/>
    <x v="0"/>
    <x v="0"/>
    <x v="0"/>
    <d v="1900-01-07T04:00:00"/>
    <x v="0"/>
    <x v="1"/>
    <x v="0"/>
    <x v="2"/>
    <x v="8"/>
    <n v="0.4"/>
    <x v="14"/>
    <n v="2"/>
    <n v="47"/>
    <n v="49"/>
  </r>
  <r>
    <n v="267"/>
    <d v="2011-01-12T00:00:00"/>
    <x v="0"/>
    <x v="0"/>
    <x v="0"/>
    <d v="1900-01-10T02:00:00"/>
    <x v="0"/>
    <x v="6"/>
    <x v="0"/>
    <x v="10"/>
    <x v="5"/>
    <n v="0.44"/>
    <x v="12"/>
    <n v="0"/>
    <n v="49"/>
    <n v="49"/>
  </r>
  <r>
    <n v="269"/>
    <d v="2011-01-12T00:00:00"/>
    <x v="0"/>
    <x v="0"/>
    <x v="0"/>
    <d v="1900-01-10T04:00:00"/>
    <x v="0"/>
    <x v="6"/>
    <x v="0"/>
    <x v="4"/>
    <x v="14"/>
    <n v="0.47"/>
    <x v="11"/>
    <n v="1"/>
    <n v="48"/>
    <n v="49"/>
  </r>
  <r>
    <n v="520"/>
    <d v="2011-01-23T00:00:00"/>
    <x v="0"/>
    <x v="0"/>
    <x v="0"/>
    <d v="1900-01-20T15:00:00"/>
    <x v="0"/>
    <x v="1"/>
    <x v="0"/>
    <x v="8"/>
    <x v="8"/>
    <n v="0.3"/>
    <x v="10"/>
    <n v="5"/>
    <n v="44"/>
    <n v="49"/>
  </r>
  <r>
    <n v="605"/>
    <d v="2011-01-28T00:00:00"/>
    <x v="0"/>
    <x v="0"/>
    <x v="0"/>
    <d v="1900-01-24T04:00:00"/>
    <x v="0"/>
    <x v="5"/>
    <x v="2"/>
    <x v="5"/>
    <x v="6"/>
    <n v="0.86"/>
    <x v="8"/>
    <n v="0"/>
    <n v="49"/>
    <n v="49"/>
  </r>
  <r>
    <n v="719"/>
    <d v="2011-02-02T00:00:00"/>
    <x v="0"/>
    <x v="0"/>
    <x v="1"/>
    <d v="1900-01-28T22:00:00"/>
    <x v="0"/>
    <x v="6"/>
    <x v="2"/>
    <x v="10"/>
    <x v="6"/>
    <n v="0.93"/>
    <x v="5"/>
    <n v="1"/>
    <n v="48"/>
    <n v="49"/>
  </r>
  <r>
    <n v="152"/>
    <d v="2011-01-07T00:00:00"/>
    <x v="0"/>
    <x v="0"/>
    <x v="0"/>
    <d v="1900-01-05T07:00:00"/>
    <x v="0"/>
    <x v="5"/>
    <x v="1"/>
    <x v="4"/>
    <x v="5"/>
    <n v="0.4"/>
    <x v="10"/>
    <n v="7"/>
    <n v="43"/>
    <n v="50"/>
  </r>
  <r>
    <n v="521"/>
    <d v="2011-01-23T00:00:00"/>
    <x v="0"/>
    <x v="0"/>
    <x v="0"/>
    <d v="1900-01-20T16:00:00"/>
    <x v="0"/>
    <x v="1"/>
    <x v="0"/>
    <x v="8"/>
    <x v="8"/>
    <n v="0.3"/>
    <x v="7"/>
    <n v="5"/>
    <n v="45"/>
    <n v="50"/>
  </r>
  <r>
    <n v="845"/>
    <d v="2011-02-07T00:00:00"/>
    <x v="0"/>
    <x v="0"/>
    <x v="1"/>
    <d v="1900-02-03T04:00:00"/>
    <x v="0"/>
    <x v="2"/>
    <x v="1"/>
    <x v="20"/>
    <x v="26"/>
    <n v="0.54"/>
    <x v="1"/>
    <n v="4"/>
    <n v="46"/>
    <n v="50"/>
  </r>
  <r>
    <n v="865"/>
    <d v="2011-02-08T00:00:00"/>
    <x v="0"/>
    <x v="0"/>
    <x v="1"/>
    <d v="1900-02-04T00:00:00"/>
    <x v="0"/>
    <x v="3"/>
    <x v="0"/>
    <x v="10"/>
    <x v="15"/>
    <n v="0.47"/>
    <x v="15"/>
    <n v="1"/>
    <n v="49"/>
    <n v="50"/>
  </r>
  <r>
    <n v="867"/>
    <d v="2011-02-08T00:00:00"/>
    <x v="0"/>
    <x v="0"/>
    <x v="1"/>
    <d v="1900-02-04T02:00:00"/>
    <x v="0"/>
    <x v="3"/>
    <x v="1"/>
    <x v="0"/>
    <x v="5"/>
    <n v="0.32"/>
    <x v="16"/>
    <n v="2"/>
    <n v="48"/>
    <n v="50"/>
  </r>
  <r>
    <n v="915"/>
    <d v="2011-02-10T00:00:00"/>
    <x v="0"/>
    <x v="0"/>
    <x v="1"/>
    <d v="1900-02-06T02:00:00"/>
    <x v="0"/>
    <x v="4"/>
    <x v="0"/>
    <x v="4"/>
    <x v="5"/>
    <n v="0.25"/>
    <x v="10"/>
    <n v="0"/>
    <n v="50"/>
    <n v="50"/>
  </r>
  <r>
    <n v="57"/>
    <d v="2011-01-03T00:00:00"/>
    <x v="0"/>
    <x v="0"/>
    <x v="0"/>
    <d v="1900-01-01T08:00:00"/>
    <x v="0"/>
    <x v="2"/>
    <x v="0"/>
    <x v="4"/>
    <x v="15"/>
    <n v="0.4"/>
    <x v="13"/>
    <n v="10"/>
    <n v="41"/>
    <n v="51"/>
  </r>
  <r>
    <n v="158"/>
    <d v="2011-01-07T00:00:00"/>
    <x v="0"/>
    <x v="0"/>
    <x v="0"/>
    <d v="1900-01-05T13:00:00"/>
    <x v="0"/>
    <x v="5"/>
    <x v="0"/>
    <x v="5"/>
    <x v="6"/>
    <n v="0.47"/>
    <x v="8"/>
    <n v="1"/>
    <n v="50"/>
    <n v="51"/>
  </r>
  <r>
    <n v="251"/>
    <d v="2011-01-11T00:00:00"/>
    <x v="0"/>
    <x v="0"/>
    <x v="0"/>
    <d v="1900-01-09T10:00:00"/>
    <x v="0"/>
    <x v="3"/>
    <x v="2"/>
    <x v="2"/>
    <x v="9"/>
    <n v="0.93"/>
    <x v="0"/>
    <n v="0"/>
    <n v="51"/>
    <n v="51"/>
  </r>
  <r>
    <n v="699"/>
    <d v="2011-02-01T00:00:00"/>
    <x v="0"/>
    <x v="0"/>
    <x v="1"/>
    <d v="1900-01-28T02:00:00"/>
    <x v="0"/>
    <x v="3"/>
    <x v="1"/>
    <x v="5"/>
    <x v="19"/>
    <n v="0.86"/>
    <x v="0"/>
    <n v="2"/>
    <n v="49"/>
    <n v="51"/>
  </r>
  <r>
    <n v="748"/>
    <d v="2011-02-03T00:00:00"/>
    <x v="0"/>
    <x v="0"/>
    <x v="1"/>
    <d v="1900-01-30T03:00:00"/>
    <x v="0"/>
    <x v="4"/>
    <x v="0"/>
    <x v="4"/>
    <x v="14"/>
    <n v="0.4"/>
    <x v="11"/>
    <n v="4"/>
    <n v="47"/>
    <n v="51"/>
  </r>
  <r>
    <n v="768"/>
    <d v="2011-02-04T00:00:00"/>
    <x v="0"/>
    <x v="0"/>
    <x v="1"/>
    <d v="1900-01-30T23:00:00"/>
    <x v="0"/>
    <x v="5"/>
    <x v="1"/>
    <x v="4"/>
    <x v="6"/>
    <n v="0.51"/>
    <x v="4"/>
    <n v="5"/>
    <n v="46"/>
    <n v="51"/>
  </r>
  <r>
    <n v="869"/>
    <d v="2011-02-08T00:00:00"/>
    <x v="0"/>
    <x v="0"/>
    <x v="1"/>
    <d v="1900-02-04T04:00:00"/>
    <x v="0"/>
    <x v="3"/>
    <x v="0"/>
    <x v="10"/>
    <x v="5"/>
    <n v="0.35"/>
    <x v="3"/>
    <n v="6"/>
    <n v="45"/>
    <n v="51"/>
  </r>
  <r>
    <n v="922"/>
    <d v="2011-02-10T00:00:00"/>
    <x v="0"/>
    <x v="0"/>
    <x v="1"/>
    <d v="1900-02-06T09:00:00"/>
    <x v="0"/>
    <x v="4"/>
    <x v="0"/>
    <x v="8"/>
    <x v="5"/>
    <n v="0.39"/>
    <x v="0"/>
    <n v="4"/>
    <n v="47"/>
    <n v="51"/>
  </r>
  <r>
    <n v="967"/>
    <d v="2011-02-12T00:00:00"/>
    <x v="0"/>
    <x v="0"/>
    <x v="1"/>
    <d v="1900-02-08T06:00:00"/>
    <x v="0"/>
    <x v="0"/>
    <x v="0"/>
    <x v="9"/>
    <x v="23"/>
    <n v="0.41"/>
    <x v="0"/>
    <n v="9"/>
    <n v="42"/>
    <n v="51"/>
  </r>
  <r>
    <n v="990"/>
    <d v="2011-02-13T00:00:00"/>
    <x v="0"/>
    <x v="0"/>
    <x v="1"/>
    <d v="1900-02-09T05:00:00"/>
    <x v="0"/>
    <x v="1"/>
    <x v="0"/>
    <x v="1"/>
    <x v="2"/>
    <n v="0.35"/>
    <x v="12"/>
    <n v="6"/>
    <n v="45"/>
    <n v="51"/>
  </r>
  <r>
    <n v="66"/>
    <d v="2011-01-03T00:00:00"/>
    <x v="0"/>
    <x v="0"/>
    <x v="0"/>
    <d v="1900-01-01T17:00:00"/>
    <x v="0"/>
    <x v="2"/>
    <x v="0"/>
    <x v="4"/>
    <x v="18"/>
    <n v="0.47"/>
    <x v="8"/>
    <n v="3"/>
    <n v="49"/>
    <n v="52"/>
  </r>
  <r>
    <n v="67"/>
    <d v="2011-01-03T00:00:00"/>
    <x v="0"/>
    <x v="0"/>
    <x v="0"/>
    <d v="1900-01-01T18:00:00"/>
    <x v="0"/>
    <x v="2"/>
    <x v="0"/>
    <x v="5"/>
    <x v="5"/>
    <n v="0.64"/>
    <x v="4"/>
    <n v="3"/>
    <n v="49"/>
    <n v="52"/>
  </r>
  <r>
    <n v="137"/>
    <d v="2011-01-06T00:00:00"/>
    <x v="0"/>
    <x v="0"/>
    <x v="0"/>
    <d v="1900-01-04T16:00:00"/>
    <x v="0"/>
    <x v="4"/>
    <x v="1"/>
    <x v="10"/>
    <x v="6"/>
    <n v="0.51"/>
    <x v="7"/>
    <n v="1"/>
    <n v="51"/>
    <n v="52"/>
  </r>
  <r>
    <n v="222"/>
    <d v="2011-01-10T00:00:00"/>
    <x v="0"/>
    <x v="0"/>
    <x v="0"/>
    <d v="1900-01-08T05:00:00"/>
    <x v="0"/>
    <x v="2"/>
    <x v="1"/>
    <x v="4"/>
    <x v="15"/>
    <n v="0.4"/>
    <x v="7"/>
    <n v="5"/>
    <n v="47"/>
    <n v="52"/>
  </r>
  <r>
    <n v="245"/>
    <d v="2011-01-11T00:00:00"/>
    <x v="0"/>
    <x v="0"/>
    <x v="0"/>
    <d v="1900-01-09T04:00:00"/>
    <x v="0"/>
    <x v="3"/>
    <x v="1"/>
    <x v="4"/>
    <x v="9"/>
    <n v="0.59"/>
    <x v="1"/>
    <n v="6"/>
    <n v="46"/>
    <n v="52"/>
  </r>
  <r>
    <n v="290"/>
    <d v="2011-01-13T00:00:00"/>
    <x v="0"/>
    <x v="0"/>
    <x v="0"/>
    <d v="1900-01-11T01:00:00"/>
    <x v="0"/>
    <x v="4"/>
    <x v="0"/>
    <x v="4"/>
    <x v="14"/>
    <n v="0.44"/>
    <x v="11"/>
    <n v="3"/>
    <n v="49"/>
    <n v="52"/>
  </r>
  <r>
    <n v="322"/>
    <d v="2011-01-14T00:00:00"/>
    <x v="0"/>
    <x v="0"/>
    <x v="0"/>
    <d v="1900-01-12T09:00:00"/>
    <x v="0"/>
    <x v="5"/>
    <x v="0"/>
    <x v="2"/>
    <x v="9"/>
    <n v="0.69"/>
    <x v="0"/>
    <n v="4"/>
    <n v="48"/>
    <n v="52"/>
  </r>
  <r>
    <n v="419"/>
    <d v="2011-01-19T00:00:00"/>
    <x v="0"/>
    <x v="0"/>
    <x v="0"/>
    <d v="1900-01-16T10:00:00"/>
    <x v="0"/>
    <x v="6"/>
    <x v="1"/>
    <x v="13"/>
    <x v="23"/>
    <n v="0.87"/>
    <x v="1"/>
    <n v="5"/>
    <n v="47"/>
    <n v="52"/>
  </r>
  <r>
    <n v="695"/>
    <d v="2011-02-01T00:00:00"/>
    <x v="0"/>
    <x v="0"/>
    <x v="1"/>
    <d v="1900-01-27T22:00:00"/>
    <x v="0"/>
    <x v="3"/>
    <x v="2"/>
    <x v="2"/>
    <x v="9"/>
    <n v="0.93"/>
    <x v="0"/>
    <n v="0"/>
    <n v="52"/>
    <n v="52"/>
  </r>
  <r>
    <n v="701"/>
    <d v="2011-02-01T00:00:00"/>
    <x v="0"/>
    <x v="0"/>
    <x v="1"/>
    <d v="1900-01-28T04:00:00"/>
    <x v="0"/>
    <x v="3"/>
    <x v="1"/>
    <x v="4"/>
    <x v="1"/>
    <n v="0.86"/>
    <x v="0"/>
    <n v="3"/>
    <n v="49"/>
    <n v="52"/>
  </r>
  <r>
    <n v="703"/>
    <d v="2011-02-01T00:00:00"/>
    <x v="0"/>
    <x v="0"/>
    <x v="1"/>
    <d v="1900-01-28T06:00:00"/>
    <x v="0"/>
    <x v="3"/>
    <x v="1"/>
    <x v="0"/>
    <x v="0"/>
    <n v="0.75"/>
    <x v="0"/>
    <n v="7"/>
    <n v="45"/>
    <n v="52"/>
  </r>
  <r>
    <n v="723"/>
    <d v="2011-02-02T00:00:00"/>
    <x v="0"/>
    <x v="0"/>
    <x v="1"/>
    <d v="1900-01-29T02:00:00"/>
    <x v="0"/>
    <x v="6"/>
    <x v="1"/>
    <x v="0"/>
    <x v="9"/>
    <n v="0.93"/>
    <x v="2"/>
    <n v="5"/>
    <n v="47"/>
    <n v="52"/>
  </r>
  <r>
    <n v="745"/>
    <d v="2011-02-03T00:00:00"/>
    <x v="0"/>
    <x v="0"/>
    <x v="1"/>
    <d v="1900-01-30T00:00:00"/>
    <x v="0"/>
    <x v="4"/>
    <x v="0"/>
    <x v="5"/>
    <x v="4"/>
    <n v="0.43"/>
    <x v="13"/>
    <n v="2"/>
    <n v="50"/>
    <n v="52"/>
  </r>
  <r>
    <n v="794"/>
    <d v="2011-02-05T00:00:00"/>
    <x v="0"/>
    <x v="0"/>
    <x v="1"/>
    <d v="1900-02-01T01:00:00"/>
    <x v="0"/>
    <x v="0"/>
    <x v="2"/>
    <x v="10"/>
    <x v="9"/>
    <n v="1"/>
    <x v="6"/>
    <n v="10"/>
    <n v="42"/>
    <n v="52"/>
  </r>
  <r>
    <n v="34"/>
    <d v="2011-01-02T00:00:00"/>
    <x v="0"/>
    <x v="0"/>
    <x v="0"/>
    <d v="1899-12-31T09:00:00"/>
    <x v="0"/>
    <x v="1"/>
    <x v="1"/>
    <x v="16"/>
    <x v="27"/>
    <n v="0.81"/>
    <x v="5"/>
    <n v="7"/>
    <n v="46"/>
    <n v="53"/>
  </r>
  <r>
    <n v="42"/>
    <d v="2011-01-02T00:00:00"/>
    <x v="0"/>
    <x v="0"/>
    <x v="0"/>
    <d v="1899-12-31T17:00:00"/>
    <x v="0"/>
    <x v="1"/>
    <x v="1"/>
    <x v="16"/>
    <x v="21"/>
    <n v="0.46"/>
    <x v="13"/>
    <n v="10"/>
    <n v="43"/>
    <n v="53"/>
  </r>
  <r>
    <n v="312"/>
    <d v="2011-01-14T00:00:00"/>
    <x v="0"/>
    <x v="0"/>
    <x v="0"/>
    <d v="1900-01-11T23:00:00"/>
    <x v="0"/>
    <x v="5"/>
    <x v="0"/>
    <x v="5"/>
    <x v="14"/>
    <n v="0.51"/>
    <x v="7"/>
    <n v="6"/>
    <n v="47"/>
    <n v="53"/>
  </r>
  <r>
    <n v="476"/>
    <d v="2011-01-21T00:00:00"/>
    <x v="0"/>
    <x v="0"/>
    <x v="0"/>
    <d v="1900-01-18T19:00:00"/>
    <x v="0"/>
    <x v="5"/>
    <x v="0"/>
    <x v="7"/>
    <x v="10"/>
    <n v="0.33"/>
    <x v="11"/>
    <n v="1"/>
    <n v="52"/>
    <n v="53"/>
  </r>
  <r>
    <n v="489"/>
    <d v="2011-01-22T00:00:00"/>
    <x v="0"/>
    <x v="0"/>
    <x v="0"/>
    <d v="1900-01-19T08:00:00"/>
    <x v="0"/>
    <x v="0"/>
    <x v="1"/>
    <x v="11"/>
    <x v="13"/>
    <n v="0.41"/>
    <x v="6"/>
    <n v="3"/>
    <n v="50"/>
    <n v="53"/>
  </r>
  <r>
    <n v="570"/>
    <d v="2011-01-25T00:00:00"/>
    <x v="0"/>
    <x v="0"/>
    <x v="0"/>
    <d v="1900-01-22T17:00:00"/>
    <x v="0"/>
    <x v="3"/>
    <x v="0"/>
    <x v="10"/>
    <x v="9"/>
    <n v="0.64"/>
    <x v="6"/>
    <n v="4"/>
    <n v="49"/>
    <n v="53"/>
  </r>
  <r>
    <n v="945"/>
    <d v="2011-02-11T00:00:00"/>
    <x v="0"/>
    <x v="0"/>
    <x v="1"/>
    <d v="1900-02-07T08:00:00"/>
    <x v="0"/>
    <x v="5"/>
    <x v="0"/>
    <x v="5"/>
    <x v="19"/>
    <n v="0.69"/>
    <x v="0"/>
    <n v="5"/>
    <n v="48"/>
    <n v="53"/>
  </r>
  <r>
    <n v="89"/>
    <d v="2011-01-04T00:00:00"/>
    <x v="0"/>
    <x v="0"/>
    <x v="0"/>
    <d v="1900-01-02T16:00:00"/>
    <x v="0"/>
    <x v="3"/>
    <x v="0"/>
    <x v="0"/>
    <x v="1"/>
    <n v="0.48"/>
    <x v="8"/>
    <n v="1"/>
    <n v="53"/>
    <n v="54"/>
  </r>
  <r>
    <n v="223"/>
    <d v="2011-01-10T00:00:00"/>
    <x v="0"/>
    <x v="0"/>
    <x v="0"/>
    <d v="1900-01-08T06:00:00"/>
    <x v="0"/>
    <x v="2"/>
    <x v="1"/>
    <x v="4"/>
    <x v="15"/>
    <n v="0.4"/>
    <x v="7"/>
    <n v="4"/>
    <n v="50"/>
    <n v="54"/>
  </r>
  <r>
    <n v="242"/>
    <d v="2011-01-11T00:00:00"/>
    <x v="0"/>
    <x v="0"/>
    <x v="0"/>
    <d v="1900-01-09T01:00:00"/>
    <x v="0"/>
    <x v="3"/>
    <x v="1"/>
    <x v="4"/>
    <x v="6"/>
    <n v="0.51"/>
    <x v="6"/>
    <n v="3"/>
    <n v="51"/>
    <n v="54"/>
  </r>
  <r>
    <n v="261"/>
    <d v="2011-01-12T00:00:00"/>
    <x v="0"/>
    <x v="0"/>
    <x v="0"/>
    <d v="1900-01-09T20:00:00"/>
    <x v="0"/>
    <x v="6"/>
    <x v="0"/>
    <x v="3"/>
    <x v="4"/>
    <n v="0.69"/>
    <x v="4"/>
    <n v="0"/>
    <n v="54"/>
    <n v="54"/>
  </r>
  <r>
    <n v="497"/>
    <d v="2011-01-22T00:00:00"/>
    <x v="0"/>
    <x v="0"/>
    <x v="0"/>
    <d v="1900-01-19T16:00:00"/>
    <x v="0"/>
    <x v="0"/>
    <x v="0"/>
    <x v="6"/>
    <x v="7"/>
    <n v="0.35"/>
    <x v="2"/>
    <n v="0"/>
    <n v="54"/>
    <n v="54"/>
  </r>
  <r>
    <n v="678"/>
    <d v="2011-01-31T00:00:00"/>
    <x v="0"/>
    <x v="0"/>
    <x v="0"/>
    <d v="1900-01-27T05:00:00"/>
    <x v="0"/>
    <x v="2"/>
    <x v="1"/>
    <x v="2"/>
    <x v="9"/>
    <n v="0.59"/>
    <x v="0"/>
    <n v="2"/>
    <n v="52"/>
    <n v="54"/>
  </r>
  <r>
    <n v="702"/>
    <d v="2011-02-01T00:00:00"/>
    <x v="0"/>
    <x v="0"/>
    <x v="1"/>
    <d v="1900-01-28T05:00:00"/>
    <x v="0"/>
    <x v="3"/>
    <x v="1"/>
    <x v="10"/>
    <x v="1"/>
    <n v="0.8"/>
    <x v="1"/>
    <n v="5"/>
    <n v="49"/>
    <n v="54"/>
  </r>
  <r>
    <n v="756"/>
    <d v="2011-02-03T00:00:00"/>
    <x v="0"/>
    <x v="0"/>
    <x v="1"/>
    <d v="1900-01-30T11:00:00"/>
    <x v="0"/>
    <x v="4"/>
    <x v="0"/>
    <x v="5"/>
    <x v="6"/>
    <n v="0.55000000000000004"/>
    <x v="8"/>
    <n v="1"/>
    <n v="53"/>
    <n v="54"/>
  </r>
  <r>
    <n v="875"/>
    <d v="2011-02-08T00:00:00"/>
    <x v="0"/>
    <x v="0"/>
    <x v="1"/>
    <d v="1900-02-04T10:00:00"/>
    <x v="0"/>
    <x v="3"/>
    <x v="0"/>
    <x v="3"/>
    <x v="20"/>
    <n v="0.33"/>
    <x v="15"/>
    <n v="8"/>
    <n v="46"/>
    <n v="54"/>
  </r>
  <r>
    <n v="180"/>
    <d v="2011-01-08T00:00:00"/>
    <x v="0"/>
    <x v="0"/>
    <x v="0"/>
    <d v="1900-01-06T11:00:00"/>
    <x v="0"/>
    <x v="0"/>
    <x v="0"/>
    <x v="3"/>
    <x v="8"/>
    <n v="0.39"/>
    <x v="9"/>
    <n v="3"/>
    <n v="52"/>
    <n v="55"/>
  </r>
  <r>
    <n v="266"/>
    <d v="2011-01-12T00:00:00"/>
    <x v="0"/>
    <x v="0"/>
    <x v="0"/>
    <d v="1900-01-10T01:00:00"/>
    <x v="0"/>
    <x v="6"/>
    <x v="0"/>
    <x v="4"/>
    <x v="4"/>
    <n v="0.47"/>
    <x v="18"/>
    <n v="3"/>
    <n v="52"/>
    <n v="55"/>
  </r>
  <r>
    <n v="519"/>
    <d v="2011-01-23T00:00:00"/>
    <x v="0"/>
    <x v="0"/>
    <x v="0"/>
    <d v="1900-01-20T14:00:00"/>
    <x v="0"/>
    <x v="1"/>
    <x v="0"/>
    <x v="3"/>
    <x v="20"/>
    <n v="0.26"/>
    <x v="3"/>
    <n v="5"/>
    <n v="50"/>
    <n v="55"/>
  </r>
  <r>
    <n v="558"/>
    <d v="2011-01-25T00:00:00"/>
    <x v="0"/>
    <x v="0"/>
    <x v="0"/>
    <d v="1900-01-22T05:00:00"/>
    <x v="0"/>
    <x v="3"/>
    <x v="1"/>
    <x v="10"/>
    <x v="19"/>
    <n v="0.6"/>
    <x v="8"/>
    <n v="6"/>
    <n v="49"/>
    <n v="55"/>
  </r>
  <r>
    <n v="628"/>
    <d v="2011-01-29T00:00:00"/>
    <x v="0"/>
    <x v="0"/>
    <x v="0"/>
    <d v="1900-01-25T03:00:00"/>
    <x v="0"/>
    <x v="0"/>
    <x v="1"/>
    <x v="5"/>
    <x v="6"/>
    <n v="0.64"/>
    <x v="8"/>
    <n v="4"/>
    <n v="51"/>
    <n v="55"/>
  </r>
  <r>
    <n v="660"/>
    <d v="2011-01-30T00:00:00"/>
    <x v="0"/>
    <x v="0"/>
    <x v="0"/>
    <d v="1900-01-26T11:00:00"/>
    <x v="0"/>
    <x v="1"/>
    <x v="0"/>
    <x v="9"/>
    <x v="1"/>
    <n v="0.65"/>
    <x v="2"/>
    <n v="9"/>
    <n v="46"/>
    <n v="55"/>
  </r>
  <r>
    <n v="700"/>
    <d v="2011-02-01T00:00:00"/>
    <x v="0"/>
    <x v="0"/>
    <x v="1"/>
    <d v="1900-01-28T03:00:00"/>
    <x v="0"/>
    <x v="3"/>
    <x v="1"/>
    <x v="4"/>
    <x v="1"/>
    <n v="0.86"/>
    <x v="0"/>
    <n v="2"/>
    <n v="53"/>
    <n v="55"/>
  </r>
  <r>
    <n v="796"/>
    <d v="2011-02-05T00:00:00"/>
    <x v="0"/>
    <x v="0"/>
    <x v="1"/>
    <d v="1900-02-01T03:00:00"/>
    <x v="0"/>
    <x v="0"/>
    <x v="2"/>
    <x v="10"/>
    <x v="16"/>
    <n v="1"/>
    <x v="0"/>
    <n v="5"/>
    <n v="50"/>
    <n v="55"/>
  </r>
  <r>
    <n v="840"/>
    <d v="2011-02-07T00:00:00"/>
    <x v="0"/>
    <x v="0"/>
    <x v="1"/>
    <d v="1900-02-02T23:00:00"/>
    <x v="0"/>
    <x v="2"/>
    <x v="0"/>
    <x v="0"/>
    <x v="1"/>
    <n v="0.75"/>
    <x v="8"/>
    <n v="6"/>
    <n v="49"/>
    <n v="55"/>
  </r>
  <r>
    <n v="12"/>
    <d v="2011-01-01T00:00:00"/>
    <x v="0"/>
    <x v="0"/>
    <x v="0"/>
    <d v="1899-12-30T11:00:00"/>
    <x v="0"/>
    <x v="0"/>
    <x v="0"/>
    <x v="16"/>
    <x v="21"/>
    <n v="0.81"/>
    <x v="7"/>
    <n v="26"/>
    <n v="30"/>
    <n v="56"/>
  </r>
  <r>
    <n v="274"/>
    <d v="2011-01-12T00:00:00"/>
    <x v="0"/>
    <x v="0"/>
    <x v="0"/>
    <d v="1900-01-10T09:00:00"/>
    <x v="0"/>
    <x v="6"/>
    <x v="0"/>
    <x v="2"/>
    <x v="3"/>
    <n v="0.5"/>
    <x v="13"/>
    <n v="2"/>
    <n v="54"/>
    <n v="56"/>
  </r>
  <r>
    <n v="454"/>
    <d v="2011-01-20T00:00:00"/>
    <x v="0"/>
    <x v="0"/>
    <x v="0"/>
    <d v="1900-01-17T21:00:00"/>
    <x v="0"/>
    <x v="4"/>
    <x v="1"/>
    <x v="0"/>
    <x v="6"/>
    <n v="0.65"/>
    <x v="7"/>
    <n v="0"/>
    <n v="56"/>
    <n v="56"/>
  </r>
  <r>
    <n v="686"/>
    <d v="2011-01-31T00:00:00"/>
    <x v="0"/>
    <x v="0"/>
    <x v="0"/>
    <d v="1900-01-27T13:00:00"/>
    <x v="0"/>
    <x v="2"/>
    <x v="2"/>
    <x v="2"/>
    <x v="5"/>
    <n v="0.59"/>
    <x v="1"/>
    <n v="3"/>
    <n v="53"/>
    <n v="56"/>
  </r>
  <r>
    <n v="803"/>
    <d v="2011-02-05T00:00:00"/>
    <x v="0"/>
    <x v="0"/>
    <x v="1"/>
    <d v="1900-02-01T10:00:00"/>
    <x v="0"/>
    <x v="0"/>
    <x v="0"/>
    <x v="9"/>
    <x v="1"/>
    <n v="1"/>
    <x v="2"/>
    <n v="3"/>
    <n v="53"/>
    <n v="56"/>
  </r>
  <r>
    <n v="874"/>
    <d v="2011-02-08T00:00:00"/>
    <x v="0"/>
    <x v="0"/>
    <x v="1"/>
    <d v="1900-02-04T09:00:00"/>
    <x v="0"/>
    <x v="3"/>
    <x v="0"/>
    <x v="2"/>
    <x v="3"/>
    <n v="0.4"/>
    <x v="13"/>
    <n v="3"/>
    <n v="53"/>
    <n v="56"/>
  </r>
  <r>
    <n v="80"/>
    <d v="2011-01-04T00:00:00"/>
    <x v="0"/>
    <x v="0"/>
    <x v="0"/>
    <d v="1900-01-02T07:00:00"/>
    <x v="0"/>
    <x v="3"/>
    <x v="0"/>
    <x v="10"/>
    <x v="6"/>
    <n v="0.51"/>
    <x v="9"/>
    <n v="7"/>
    <n v="50"/>
    <n v="57"/>
  </r>
  <r>
    <n v="102"/>
    <d v="2011-01-05T00:00:00"/>
    <x v="0"/>
    <x v="0"/>
    <x v="0"/>
    <d v="1900-01-03T05:00:00"/>
    <x v="0"/>
    <x v="6"/>
    <x v="0"/>
    <x v="10"/>
    <x v="5"/>
    <n v="0.37"/>
    <x v="13"/>
    <n v="4"/>
    <n v="53"/>
    <n v="57"/>
  </r>
  <r>
    <n v="244"/>
    <d v="2011-01-11T00:00:00"/>
    <x v="0"/>
    <x v="0"/>
    <x v="0"/>
    <d v="1900-01-09T03:00:00"/>
    <x v="0"/>
    <x v="3"/>
    <x v="1"/>
    <x v="4"/>
    <x v="9"/>
    <n v="0.51"/>
    <x v="8"/>
    <n v="2"/>
    <n v="55"/>
    <n v="57"/>
  </r>
  <r>
    <n v="275"/>
    <d v="2011-01-12T00:00:00"/>
    <x v="0"/>
    <x v="0"/>
    <x v="0"/>
    <d v="1900-01-10T10:00:00"/>
    <x v="0"/>
    <x v="6"/>
    <x v="0"/>
    <x v="2"/>
    <x v="3"/>
    <n v="0.55000000000000004"/>
    <x v="13"/>
    <n v="0"/>
    <n v="57"/>
    <n v="57"/>
  </r>
  <r>
    <n v="346"/>
    <d v="2011-01-15T00:00:00"/>
    <x v="0"/>
    <x v="0"/>
    <x v="0"/>
    <d v="1900-01-13T09:00:00"/>
    <x v="0"/>
    <x v="0"/>
    <x v="1"/>
    <x v="18"/>
    <x v="23"/>
    <n v="0.39"/>
    <x v="5"/>
    <n v="6"/>
    <n v="51"/>
    <n v="57"/>
  </r>
  <r>
    <n v="369"/>
    <d v="2011-01-16T00:00:00"/>
    <x v="0"/>
    <x v="0"/>
    <x v="0"/>
    <d v="1900-01-14T08:00:00"/>
    <x v="0"/>
    <x v="1"/>
    <x v="0"/>
    <x v="5"/>
    <x v="5"/>
    <n v="0.47"/>
    <x v="6"/>
    <n v="7"/>
    <n v="50"/>
    <n v="57"/>
  </r>
  <r>
    <n v="383"/>
    <d v="2011-01-17T00:00:00"/>
    <x v="0"/>
    <x v="0"/>
    <x v="0"/>
    <d v="1900-01-14T22:00:00"/>
    <x v="1"/>
    <x v="2"/>
    <x v="1"/>
    <x v="2"/>
    <x v="4"/>
    <n v="0.5"/>
    <x v="10"/>
    <n v="7"/>
    <n v="50"/>
    <n v="57"/>
  </r>
  <r>
    <n v="442"/>
    <d v="2011-01-20T00:00:00"/>
    <x v="0"/>
    <x v="0"/>
    <x v="0"/>
    <d v="1900-01-17T09:00:00"/>
    <x v="0"/>
    <x v="4"/>
    <x v="0"/>
    <x v="9"/>
    <x v="9"/>
    <n v="0.48"/>
    <x v="9"/>
    <n v="1"/>
    <n v="56"/>
    <n v="57"/>
  </r>
  <r>
    <n v="453"/>
    <d v="2011-01-20T00:00:00"/>
    <x v="0"/>
    <x v="0"/>
    <x v="0"/>
    <d v="1900-01-17T20:00:00"/>
    <x v="0"/>
    <x v="4"/>
    <x v="1"/>
    <x v="0"/>
    <x v="9"/>
    <n v="0.6"/>
    <x v="10"/>
    <n v="3"/>
    <n v="54"/>
    <n v="57"/>
  </r>
  <r>
    <n v="540"/>
    <d v="2011-01-24T00:00:00"/>
    <x v="0"/>
    <x v="0"/>
    <x v="0"/>
    <d v="1900-01-21T11:00:00"/>
    <x v="0"/>
    <x v="2"/>
    <x v="0"/>
    <x v="2"/>
    <x v="14"/>
    <n v="0.4"/>
    <x v="6"/>
    <n v="7"/>
    <n v="50"/>
    <n v="57"/>
  </r>
  <r>
    <n v="512"/>
    <d v="2011-01-23T00:00:00"/>
    <x v="0"/>
    <x v="0"/>
    <x v="0"/>
    <d v="1900-01-20T07:00:00"/>
    <x v="0"/>
    <x v="1"/>
    <x v="0"/>
    <x v="3"/>
    <x v="20"/>
    <n v="0.46"/>
    <x v="3"/>
    <n v="7"/>
    <n v="51"/>
    <n v="58"/>
  </r>
  <r>
    <n v="579"/>
    <d v="2011-01-26T00:00:00"/>
    <x v="0"/>
    <x v="0"/>
    <x v="0"/>
    <d v="1900-01-23T02:00:00"/>
    <x v="0"/>
    <x v="6"/>
    <x v="2"/>
    <x v="10"/>
    <x v="6"/>
    <n v="0.87"/>
    <x v="9"/>
    <n v="3"/>
    <n v="55"/>
    <n v="58"/>
  </r>
  <r>
    <n v="616"/>
    <d v="2011-01-28T00:00:00"/>
    <x v="0"/>
    <x v="0"/>
    <x v="0"/>
    <d v="1900-01-24T15:00:00"/>
    <x v="0"/>
    <x v="5"/>
    <x v="1"/>
    <x v="10"/>
    <x v="9"/>
    <n v="0.75"/>
    <x v="4"/>
    <n v="1"/>
    <n v="57"/>
    <n v="58"/>
  </r>
  <r>
    <n v="637"/>
    <d v="2011-01-29T00:00:00"/>
    <x v="0"/>
    <x v="0"/>
    <x v="0"/>
    <d v="1900-01-25T12:00:00"/>
    <x v="0"/>
    <x v="0"/>
    <x v="1"/>
    <x v="10"/>
    <x v="6"/>
    <n v="0.69"/>
    <x v="10"/>
    <n v="6"/>
    <n v="52"/>
    <n v="58"/>
  </r>
  <r>
    <n v="891"/>
    <d v="2011-02-09T00:00:00"/>
    <x v="0"/>
    <x v="0"/>
    <x v="1"/>
    <d v="1900-02-05T02:00:00"/>
    <x v="0"/>
    <x v="6"/>
    <x v="0"/>
    <x v="4"/>
    <x v="15"/>
    <n v="0.34"/>
    <x v="9"/>
    <n v="2"/>
    <n v="56"/>
    <n v="58"/>
  </r>
  <r>
    <n v="38"/>
    <d v="2011-01-02T00:00:00"/>
    <x v="0"/>
    <x v="0"/>
    <x v="0"/>
    <d v="1899-12-31T13:00:00"/>
    <x v="0"/>
    <x v="1"/>
    <x v="2"/>
    <x v="16"/>
    <x v="18"/>
    <n v="0.76"/>
    <x v="2"/>
    <n v="4"/>
    <n v="55"/>
    <n v="59"/>
  </r>
  <r>
    <n v="126"/>
    <d v="2011-01-06T00:00:00"/>
    <x v="0"/>
    <x v="0"/>
    <x v="0"/>
    <d v="1900-01-04T05:00:00"/>
    <x v="0"/>
    <x v="4"/>
    <x v="0"/>
    <x v="10"/>
    <x v="1"/>
    <n v="0.44"/>
    <x v="1"/>
    <n v="2"/>
    <n v="57"/>
    <n v="59"/>
  </r>
  <r>
    <n v="150"/>
    <d v="2011-01-07T00:00:00"/>
    <x v="0"/>
    <x v="0"/>
    <x v="0"/>
    <d v="1900-01-05T05:00:00"/>
    <x v="0"/>
    <x v="5"/>
    <x v="1"/>
    <x v="4"/>
    <x v="5"/>
    <n v="0.37"/>
    <x v="10"/>
    <n v="9"/>
    <n v="50"/>
    <n v="59"/>
  </r>
  <r>
    <n v="335"/>
    <d v="2011-01-15T00:00:00"/>
    <x v="0"/>
    <x v="0"/>
    <x v="0"/>
    <d v="1900-01-12T22:00:00"/>
    <x v="0"/>
    <x v="0"/>
    <x v="0"/>
    <x v="5"/>
    <x v="5"/>
    <n v="0.59"/>
    <x v="6"/>
    <n v="2"/>
    <n v="57"/>
    <n v="59"/>
  </r>
  <r>
    <n v="429"/>
    <d v="2011-01-19T00:00:00"/>
    <x v="0"/>
    <x v="0"/>
    <x v="0"/>
    <d v="1900-01-16T20:00:00"/>
    <x v="0"/>
    <x v="6"/>
    <x v="0"/>
    <x v="18"/>
    <x v="0"/>
    <n v="0.49"/>
    <x v="11"/>
    <n v="4"/>
    <n v="55"/>
    <n v="59"/>
  </r>
  <r>
    <n v="430"/>
    <d v="2011-01-19T00:00:00"/>
    <x v="0"/>
    <x v="0"/>
    <x v="0"/>
    <d v="1900-01-16T21:00:00"/>
    <x v="0"/>
    <x v="6"/>
    <x v="0"/>
    <x v="22"/>
    <x v="23"/>
    <n v="0.52"/>
    <x v="6"/>
    <n v="6"/>
    <n v="53"/>
    <n v="59"/>
  </r>
  <r>
    <n v="467"/>
    <d v="2011-01-21T00:00:00"/>
    <x v="0"/>
    <x v="0"/>
    <x v="0"/>
    <d v="1900-01-18T10:00:00"/>
    <x v="0"/>
    <x v="5"/>
    <x v="0"/>
    <x v="10"/>
    <x v="15"/>
    <n v="0.41"/>
    <x v="15"/>
    <n v="6"/>
    <n v="53"/>
    <n v="59"/>
  </r>
  <r>
    <n v="498"/>
    <d v="2011-01-22T00:00:00"/>
    <x v="0"/>
    <x v="0"/>
    <x v="0"/>
    <d v="1900-01-19T17:00:00"/>
    <x v="0"/>
    <x v="0"/>
    <x v="0"/>
    <x v="6"/>
    <x v="20"/>
    <n v="0.35"/>
    <x v="4"/>
    <n v="6"/>
    <n v="53"/>
    <n v="59"/>
  </r>
  <r>
    <n v="546"/>
    <d v="2011-01-24T00:00:00"/>
    <x v="0"/>
    <x v="0"/>
    <x v="0"/>
    <d v="1900-01-21T17:00:00"/>
    <x v="0"/>
    <x v="2"/>
    <x v="0"/>
    <x v="3"/>
    <x v="4"/>
    <n v="0.63"/>
    <x v="6"/>
    <n v="6"/>
    <n v="53"/>
    <n v="59"/>
  </r>
  <r>
    <n v="592"/>
    <d v="2011-01-27T00:00:00"/>
    <x v="0"/>
    <x v="0"/>
    <x v="0"/>
    <d v="1900-01-23T15:00:00"/>
    <x v="0"/>
    <x v="4"/>
    <x v="0"/>
    <x v="5"/>
    <x v="6"/>
    <n v="0.74"/>
    <x v="1"/>
    <n v="4"/>
    <n v="55"/>
    <n v="59"/>
  </r>
  <r>
    <n v="652"/>
    <d v="2011-01-30T00:00:00"/>
    <x v="0"/>
    <x v="0"/>
    <x v="0"/>
    <d v="1900-01-26T03:00:00"/>
    <x v="0"/>
    <x v="1"/>
    <x v="0"/>
    <x v="10"/>
    <x v="16"/>
    <n v="0.75"/>
    <x v="0"/>
    <n v="9"/>
    <n v="50"/>
    <n v="59"/>
  </r>
  <r>
    <n v="805"/>
    <d v="2011-02-05T00:00:00"/>
    <x v="0"/>
    <x v="0"/>
    <x v="1"/>
    <d v="1900-02-01T12:00:00"/>
    <x v="0"/>
    <x v="0"/>
    <x v="0"/>
    <x v="9"/>
    <x v="1"/>
    <n v="0.93"/>
    <x v="5"/>
    <n v="7"/>
    <n v="52"/>
    <n v="59"/>
  </r>
  <r>
    <n v="887"/>
    <d v="2011-02-09T00:00:00"/>
    <x v="0"/>
    <x v="0"/>
    <x v="1"/>
    <d v="1900-02-04T22:00:00"/>
    <x v="0"/>
    <x v="6"/>
    <x v="0"/>
    <x v="3"/>
    <x v="15"/>
    <n v="0.36"/>
    <x v="0"/>
    <n v="8"/>
    <n v="51"/>
    <n v="59"/>
  </r>
  <r>
    <n v="293"/>
    <d v="2011-01-13T00:00:00"/>
    <x v="0"/>
    <x v="0"/>
    <x v="0"/>
    <d v="1900-01-11T04:00:00"/>
    <x v="0"/>
    <x v="4"/>
    <x v="0"/>
    <x v="0"/>
    <x v="6"/>
    <n v="0.38"/>
    <x v="9"/>
    <n v="5"/>
    <n v="55"/>
    <n v="60"/>
  </r>
  <r>
    <n v="392"/>
    <d v="2011-01-17T00:00:00"/>
    <x v="0"/>
    <x v="0"/>
    <x v="0"/>
    <d v="1900-01-15T07:00:00"/>
    <x v="1"/>
    <x v="2"/>
    <x v="2"/>
    <x v="5"/>
    <x v="15"/>
    <n v="0.59"/>
    <x v="2"/>
    <n v="2"/>
    <n v="58"/>
    <n v="60"/>
  </r>
  <r>
    <n v="538"/>
    <d v="2011-01-24T00:00:00"/>
    <x v="0"/>
    <x v="0"/>
    <x v="0"/>
    <d v="1900-01-21T09:00:00"/>
    <x v="0"/>
    <x v="2"/>
    <x v="1"/>
    <x v="3"/>
    <x v="3"/>
    <n v="0.43"/>
    <x v="5"/>
    <n v="6"/>
    <n v="54"/>
    <n v="60"/>
  </r>
  <r>
    <n v="602"/>
    <d v="2011-01-28T00:00:00"/>
    <x v="0"/>
    <x v="0"/>
    <x v="0"/>
    <d v="1900-01-24T01:00:00"/>
    <x v="0"/>
    <x v="5"/>
    <x v="1"/>
    <x v="2"/>
    <x v="5"/>
    <n v="0.86"/>
    <x v="1"/>
    <n v="2"/>
    <n v="58"/>
    <n v="60"/>
  </r>
  <r>
    <n v="750"/>
    <d v="2011-02-03T00:00:00"/>
    <x v="0"/>
    <x v="0"/>
    <x v="1"/>
    <d v="1900-01-30T05:00:00"/>
    <x v="0"/>
    <x v="4"/>
    <x v="0"/>
    <x v="10"/>
    <x v="5"/>
    <n v="0.37"/>
    <x v="13"/>
    <n v="4"/>
    <n v="56"/>
    <n v="60"/>
  </r>
  <r>
    <n v="797"/>
    <d v="2011-02-05T00:00:00"/>
    <x v="0"/>
    <x v="0"/>
    <x v="1"/>
    <d v="1900-02-01T04:00:00"/>
    <x v="0"/>
    <x v="0"/>
    <x v="2"/>
    <x v="10"/>
    <x v="16"/>
    <n v="1"/>
    <x v="0"/>
    <n v="11"/>
    <n v="49"/>
    <n v="60"/>
  </r>
  <r>
    <n v="844"/>
    <d v="2011-02-07T00:00:00"/>
    <x v="0"/>
    <x v="0"/>
    <x v="1"/>
    <d v="1900-02-03T03:00:00"/>
    <x v="0"/>
    <x v="2"/>
    <x v="1"/>
    <x v="16"/>
    <x v="29"/>
    <n v="0.56999999999999995"/>
    <x v="1"/>
    <n v="8"/>
    <n v="52"/>
    <n v="60"/>
  </r>
  <r>
    <n v="58"/>
    <d v="2011-01-03T00:00:00"/>
    <x v="0"/>
    <x v="0"/>
    <x v="0"/>
    <d v="1900-01-01T09:00:00"/>
    <x v="0"/>
    <x v="2"/>
    <x v="0"/>
    <x v="10"/>
    <x v="6"/>
    <n v="0.35"/>
    <x v="9"/>
    <n v="13"/>
    <n v="48"/>
    <n v="61"/>
  </r>
  <r>
    <n v="59"/>
    <d v="2011-01-03T00:00:00"/>
    <x v="0"/>
    <x v="0"/>
    <x v="0"/>
    <d v="1900-01-01T10:00:00"/>
    <x v="0"/>
    <x v="2"/>
    <x v="0"/>
    <x v="0"/>
    <x v="18"/>
    <n v="0.35"/>
    <x v="7"/>
    <n v="8"/>
    <n v="53"/>
    <n v="61"/>
  </r>
  <r>
    <n v="172"/>
    <d v="2011-01-08T00:00:00"/>
    <x v="0"/>
    <x v="0"/>
    <x v="0"/>
    <d v="1900-01-06T03:00:00"/>
    <x v="0"/>
    <x v="0"/>
    <x v="1"/>
    <x v="5"/>
    <x v="5"/>
    <n v="0.8"/>
    <x v="6"/>
    <n v="5"/>
    <n v="56"/>
    <n v="61"/>
  </r>
  <r>
    <n v="313"/>
    <d v="2011-01-14T00:00:00"/>
    <x v="0"/>
    <x v="0"/>
    <x v="0"/>
    <d v="1900-01-12T00:00:00"/>
    <x v="0"/>
    <x v="5"/>
    <x v="0"/>
    <x v="4"/>
    <x v="5"/>
    <n v="0.44"/>
    <x v="10"/>
    <n v="2"/>
    <n v="59"/>
    <n v="61"/>
  </r>
  <r>
    <n v="368"/>
    <d v="2011-01-16T00:00:00"/>
    <x v="0"/>
    <x v="0"/>
    <x v="0"/>
    <d v="1900-01-14T07:00:00"/>
    <x v="0"/>
    <x v="1"/>
    <x v="0"/>
    <x v="5"/>
    <x v="5"/>
    <n v="0.47"/>
    <x v="4"/>
    <n v="14"/>
    <n v="47"/>
    <n v="61"/>
  </r>
  <r>
    <n v="401"/>
    <d v="2011-01-18T00:00:00"/>
    <x v="0"/>
    <x v="0"/>
    <x v="0"/>
    <d v="1900-01-15T16:00:00"/>
    <x v="0"/>
    <x v="3"/>
    <x v="1"/>
    <x v="10"/>
    <x v="9"/>
    <n v="0.87"/>
    <x v="2"/>
    <n v="0"/>
    <n v="61"/>
    <n v="61"/>
  </r>
  <r>
    <n v="559"/>
    <d v="2011-01-25T00:00:00"/>
    <x v="0"/>
    <x v="0"/>
    <x v="0"/>
    <d v="1900-01-22T06:00:00"/>
    <x v="0"/>
    <x v="3"/>
    <x v="1"/>
    <x v="0"/>
    <x v="19"/>
    <n v="0.6"/>
    <x v="4"/>
    <n v="6"/>
    <n v="55"/>
    <n v="61"/>
  </r>
  <r>
    <n v="722"/>
    <d v="2011-02-02T00:00:00"/>
    <x v="0"/>
    <x v="0"/>
    <x v="1"/>
    <d v="1900-01-29T01:00:00"/>
    <x v="0"/>
    <x v="6"/>
    <x v="1"/>
    <x v="10"/>
    <x v="16"/>
    <n v="1"/>
    <x v="0"/>
    <n v="2"/>
    <n v="59"/>
    <n v="61"/>
  </r>
  <r>
    <n v="889"/>
    <d v="2011-02-09T00:00:00"/>
    <x v="0"/>
    <x v="0"/>
    <x v="1"/>
    <d v="1900-02-05T00:00:00"/>
    <x v="0"/>
    <x v="6"/>
    <x v="1"/>
    <x v="5"/>
    <x v="15"/>
    <n v="0.4"/>
    <x v="5"/>
    <n v="4"/>
    <n v="57"/>
    <n v="61"/>
  </r>
  <r>
    <n v="988"/>
    <d v="2011-02-13T00:00:00"/>
    <x v="0"/>
    <x v="0"/>
    <x v="1"/>
    <d v="1900-02-09T03:00:00"/>
    <x v="0"/>
    <x v="1"/>
    <x v="0"/>
    <x v="1"/>
    <x v="2"/>
    <n v="0.35"/>
    <x v="7"/>
    <n v="11"/>
    <n v="50"/>
    <n v="61"/>
  </r>
  <r>
    <n v="106"/>
    <d v="2011-01-05T00:00:00"/>
    <x v="0"/>
    <x v="0"/>
    <x v="0"/>
    <d v="1900-01-03T09:00:00"/>
    <x v="0"/>
    <x v="6"/>
    <x v="0"/>
    <x v="22"/>
    <x v="0"/>
    <n v="0.28000000000000003"/>
    <x v="2"/>
    <n v="10"/>
    <n v="52"/>
    <n v="62"/>
  </r>
  <r>
    <n v="107"/>
    <d v="2011-01-05T00:00:00"/>
    <x v="0"/>
    <x v="0"/>
    <x v="0"/>
    <d v="1900-01-03T10:00:00"/>
    <x v="0"/>
    <x v="6"/>
    <x v="0"/>
    <x v="22"/>
    <x v="0"/>
    <n v="0.28000000000000003"/>
    <x v="2"/>
    <n v="7"/>
    <n v="55"/>
    <n v="62"/>
  </r>
  <r>
    <n v="130"/>
    <d v="2011-01-06T00:00:00"/>
    <x v="0"/>
    <x v="0"/>
    <x v="0"/>
    <d v="1900-01-04T09:00:00"/>
    <x v="0"/>
    <x v="4"/>
    <x v="0"/>
    <x v="13"/>
    <x v="16"/>
    <n v="0.36"/>
    <x v="0"/>
    <n v="8"/>
    <n v="54"/>
    <n v="62"/>
  </r>
  <r>
    <n v="173"/>
    <d v="2011-01-08T00:00:00"/>
    <x v="0"/>
    <x v="0"/>
    <x v="0"/>
    <d v="1900-01-06T04:00:00"/>
    <x v="0"/>
    <x v="0"/>
    <x v="1"/>
    <x v="4"/>
    <x v="15"/>
    <n v="0.69"/>
    <x v="3"/>
    <n v="2"/>
    <n v="60"/>
    <n v="62"/>
  </r>
  <r>
    <n v="203"/>
    <d v="2011-01-09T00:00:00"/>
    <x v="0"/>
    <x v="0"/>
    <x v="0"/>
    <d v="1900-01-07T10:00:00"/>
    <x v="0"/>
    <x v="1"/>
    <x v="0"/>
    <x v="5"/>
    <x v="4"/>
    <n v="0.37"/>
    <x v="3"/>
    <n v="3"/>
    <n v="59"/>
    <n v="62"/>
  </r>
  <r>
    <n v="470"/>
    <d v="2011-01-21T00:00:00"/>
    <x v="0"/>
    <x v="0"/>
    <x v="0"/>
    <d v="1900-01-18T13:00:00"/>
    <x v="0"/>
    <x v="5"/>
    <x v="0"/>
    <x v="4"/>
    <x v="4"/>
    <n v="0.25"/>
    <x v="14"/>
    <n v="6"/>
    <n v="56"/>
    <n v="62"/>
  </r>
  <r>
    <n v="615"/>
    <d v="2011-01-28T00:00:00"/>
    <x v="0"/>
    <x v="0"/>
    <x v="0"/>
    <d v="1900-01-24T14:00:00"/>
    <x v="0"/>
    <x v="5"/>
    <x v="1"/>
    <x v="0"/>
    <x v="9"/>
    <n v="0.7"/>
    <x v="2"/>
    <n v="1"/>
    <n v="61"/>
    <n v="62"/>
  </r>
  <r>
    <n v="828"/>
    <d v="2011-02-06T00:00:00"/>
    <x v="0"/>
    <x v="0"/>
    <x v="1"/>
    <d v="1900-02-02T11:00:00"/>
    <x v="0"/>
    <x v="1"/>
    <x v="0"/>
    <x v="9"/>
    <x v="23"/>
    <n v="0.6"/>
    <x v="0"/>
    <n v="5"/>
    <n v="57"/>
    <n v="62"/>
  </r>
  <r>
    <n v="913"/>
    <d v="2011-02-10T00:00:00"/>
    <x v="0"/>
    <x v="0"/>
    <x v="1"/>
    <d v="1900-02-06T00:00:00"/>
    <x v="0"/>
    <x v="4"/>
    <x v="0"/>
    <x v="5"/>
    <x v="14"/>
    <n v="0.28999999999999998"/>
    <x v="9"/>
    <n v="3"/>
    <n v="59"/>
    <n v="62"/>
  </r>
  <r>
    <n v="83"/>
    <d v="2011-01-04T00:00:00"/>
    <x v="0"/>
    <x v="0"/>
    <x v="0"/>
    <d v="1900-01-02T10:00:00"/>
    <x v="0"/>
    <x v="3"/>
    <x v="0"/>
    <x v="9"/>
    <x v="1"/>
    <n v="0.52"/>
    <x v="5"/>
    <n v="9"/>
    <n v="54"/>
    <n v="63"/>
  </r>
  <r>
    <n v="148"/>
    <d v="2011-01-07T00:00:00"/>
    <x v="0"/>
    <x v="0"/>
    <x v="0"/>
    <d v="1900-01-05T03:00:00"/>
    <x v="0"/>
    <x v="5"/>
    <x v="0"/>
    <x v="10"/>
    <x v="5"/>
    <n v="0.37"/>
    <x v="13"/>
    <n v="16"/>
    <n v="47"/>
    <n v="63"/>
  </r>
  <r>
    <n v="246"/>
    <d v="2011-01-11T00:00:00"/>
    <x v="0"/>
    <x v="0"/>
    <x v="0"/>
    <d v="1900-01-09T05:00:00"/>
    <x v="0"/>
    <x v="3"/>
    <x v="1"/>
    <x v="4"/>
    <x v="9"/>
    <n v="0.59"/>
    <x v="1"/>
    <n v="3"/>
    <n v="60"/>
    <n v="63"/>
  </r>
  <r>
    <n v="466"/>
    <d v="2011-01-21T00:00:00"/>
    <x v="0"/>
    <x v="0"/>
    <x v="0"/>
    <d v="1900-01-18T09:00:00"/>
    <x v="0"/>
    <x v="5"/>
    <x v="0"/>
    <x v="4"/>
    <x v="14"/>
    <n v="0.47"/>
    <x v="15"/>
    <n v="6"/>
    <n v="57"/>
    <n v="63"/>
  </r>
  <r>
    <n v="490"/>
    <d v="2011-01-22T00:00:00"/>
    <x v="0"/>
    <x v="0"/>
    <x v="0"/>
    <d v="1900-01-19T09:00:00"/>
    <x v="0"/>
    <x v="0"/>
    <x v="1"/>
    <x v="15"/>
    <x v="10"/>
    <n v="0.38"/>
    <x v="4"/>
    <n v="4"/>
    <n v="59"/>
    <n v="63"/>
  </r>
  <r>
    <n v="537"/>
    <d v="2011-01-24T00:00:00"/>
    <x v="0"/>
    <x v="0"/>
    <x v="0"/>
    <d v="1900-01-21T08:00:00"/>
    <x v="0"/>
    <x v="2"/>
    <x v="1"/>
    <x v="8"/>
    <x v="3"/>
    <n v="0.42"/>
    <x v="2"/>
    <n v="11"/>
    <n v="52"/>
    <n v="63"/>
  </r>
  <r>
    <n v="726"/>
    <d v="2011-02-02T00:00:00"/>
    <x v="0"/>
    <x v="0"/>
    <x v="1"/>
    <d v="1900-01-29T05:00:00"/>
    <x v="0"/>
    <x v="6"/>
    <x v="0"/>
    <x v="20"/>
    <x v="26"/>
    <n v="0.82"/>
    <x v="3"/>
    <n v="2"/>
    <n v="61"/>
    <n v="63"/>
  </r>
  <r>
    <n v="733"/>
    <d v="2011-02-02T00:00:00"/>
    <x v="0"/>
    <x v="0"/>
    <x v="1"/>
    <d v="1900-01-29T12:00:00"/>
    <x v="0"/>
    <x v="6"/>
    <x v="0"/>
    <x v="10"/>
    <x v="5"/>
    <n v="0.47"/>
    <x v="13"/>
    <n v="1"/>
    <n v="62"/>
    <n v="63"/>
  </r>
  <r>
    <n v="942"/>
    <d v="2011-02-11T00:00:00"/>
    <x v="0"/>
    <x v="0"/>
    <x v="1"/>
    <d v="1900-02-07T05:00:00"/>
    <x v="0"/>
    <x v="5"/>
    <x v="0"/>
    <x v="10"/>
    <x v="9"/>
    <n v="0.55000000000000004"/>
    <x v="4"/>
    <n v="2"/>
    <n v="61"/>
    <n v="63"/>
  </r>
  <r>
    <n v="53"/>
    <d v="2011-01-03T00:00:00"/>
    <x v="0"/>
    <x v="0"/>
    <x v="0"/>
    <d v="1900-01-01T04:00:00"/>
    <x v="0"/>
    <x v="2"/>
    <x v="0"/>
    <x v="3"/>
    <x v="3"/>
    <n v="0.5"/>
    <x v="2"/>
    <n v="1"/>
    <n v="63"/>
    <n v="64"/>
  </r>
  <r>
    <n v="298"/>
    <d v="2011-01-13T00:00:00"/>
    <x v="0"/>
    <x v="0"/>
    <x v="0"/>
    <d v="1900-01-11T09:00:00"/>
    <x v="0"/>
    <x v="4"/>
    <x v="0"/>
    <x v="2"/>
    <x v="4"/>
    <n v="0.47"/>
    <x v="5"/>
    <n v="0"/>
    <n v="64"/>
    <n v="64"/>
  </r>
  <r>
    <n v="315"/>
    <d v="2011-01-14T00:00:00"/>
    <x v="0"/>
    <x v="0"/>
    <x v="0"/>
    <d v="1900-01-12T02:00:00"/>
    <x v="0"/>
    <x v="5"/>
    <x v="0"/>
    <x v="10"/>
    <x v="6"/>
    <n v="0.41"/>
    <x v="7"/>
    <n v="5"/>
    <n v="59"/>
    <n v="64"/>
  </r>
  <r>
    <n v="384"/>
    <d v="2011-01-17T00:00:00"/>
    <x v="0"/>
    <x v="0"/>
    <x v="0"/>
    <d v="1900-01-14T23:00:00"/>
    <x v="1"/>
    <x v="2"/>
    <x v="1"/>
    <x v="2"/>
    <x v="4"/>
    <n v="0.55000000000000004"/>
    <x v="2"/>
    <n v="9"/>
    <n v="55"/>
    <n v="64"/>
  </r>
  <r>
    <n v="629"/>
    <d v="2011-01-29T00:00:00"/>
    <x v="0"/>
    <x v="0"/>
    <x v="0"/>
    <d v="1900-01-25T04:00:00"/>
    <x v="0"/>
    <x v="0"/>
    <x v="1"/>
    <x v="5"/>
    <x v="5"/>
    <n v="0.64"/>
    <x v="4"/>
    <n v="4"/>
    <n v="60"/>
    <n v="64"/>
  </r>
  <r>
    <n v="651"/>
    <d v="2011-01-30T00:00:00"/>
    <x v="0"/>
    <x v="0"/>
    <x v="0"/>
    <d v="1900-01-26T02:00:00"/>
    <x v="0"/>
    <x v="1"/>
    <x v="1"/>
    <x v="5"/>
    <x v="19"/>
    <n v="0.8"/>
    <x v="0"/>
    <n v="7"/>
    <n v="57"/>
    <n v="64"/>
  </r>
  <r>
    <n v="704"/>
    <d v="2011-02-01T00:00:00"/>
    <x v="0"/>
    <x v="0"/>
    <x v="1"/>
    <d v="1900-01-28T07:00:00"/>
    <x v="0"/>
    <x v="3"/>
    <x v="1"/>
    <x v="0"/>
    <x v="19"/>
    <n v="0.75"/>
    <x v="4"/>
    <n v="3"/>
    <n v="61"/>
    <n v="64"/>
  </r>
  <r>
    <n v="709"/>
    <d v="2011-02-01T00:00:00"/>
    <x v="0"/>
    <x v="0"/>
    <x v="1"/>
    <d v="1900-01-28T12:00:00"/>
    <x v="0"/>
    <x v="3"/>
    <x v="1"/>
    <x v="10"/>
    <x v="9"/>
    <n v="0.87"/>
    <x v="4"/>
    <n v="0"/>
    <n v="64"/>
    <n v="64"/>
  </r>
  <r>
    <n v="724"/>
    <d v="2011-02-02T00:00:00"/>
    <x v="0"/>
    <x v="0"/>
    <x v="1"/>
    <d v="1900-01-29T03:00:00"/>
    <x v="0"/>
    <x v="6"/>
    <x v="1"/>
    <x v="0"/>
    <x v="9"/>
    <n v="0.93"/>
    <x v="5"/>
    <n v="3"/>
    <n v="61"/>
    <n v="64"/>
  </r>
  <r>
    <n v="746"/>
    <d v="2011-02-03T00:00:00"/>
    <x v="0"/>
    <x v="0"/>
    <x v="1"/>
    <d v="1900-01-30T01:00:00"/>
    <x v="0"/>
    <x v="4"/>
    <x v="0"/>
    <x v="5"/>
    <x v="3"/>
    <n v="0.43"/>
    <x v="16"/>
    <n v="9"/>
    <n v="55"/>
    <n v="64"/>
  </r>
  <r>
    <n v="769"/>
    <d v="2011-02-04T00:00:00"/>
    <x v="0"/>
    <x v="0"/>
    <x v="1"/>
    <d v="1900-01-31T00:00:00"/>
    <x v="0"/>
    <x v="5"/>
    <x v="0"/>
    <x v="10"/>
    <x v="9"/>
    <n v="0.51"/>
    <x v="6"/>
    <n v="3"/>
    <n v="61"/>
    <n v="64"/>
  </r>
  <r>
    <n v="843"/>
    <d v="2011-02-07T00:00:00"/>
    <x v="0"/>
    <x v="0"/>
    <x v="1"/>
    <d v="1900-02-03T02:00:00"/>
    <x v="0"/>
    <x v="2"/>
    <x v="1"/>
    <x v="16"/>
    <x v="29"/>
    <n v="0.56999999999999995"/>
    <x v="1"/>
    <n v="10"/>
    <n v="54"/>
    <n v="64"/>
  </r>
  <r>
    <n v="868"/>
    <d v="2011-02-08T00:00:00"/>
    <x v="0"/>
    <x v="0"/>
    <x v="1"/>
    <d v="1900-02-04T03:00:00"/>
    <x v="0"/>
    <x v="3"/>
    <x v="0"/>
    <x v="10"/>
    <x v="5"/>
    <n v="0.37"/>
    <x v="11"/>
    <n v="3"/>
    <n v="61"/>
    <n v="64"/>
  </r>
  <r>
    <n v="892"/>
    <d v="2011-02-09T00:00:00"/>
    <x v="0"/>
    <x v="0"/>
    <x v="1"/>
    <d v="1900-02-05T03:00:00"/>
    <x v="0"/>
    <x v="6"/>
    <x v="1"/>
    <x v="4"/>
    <x v="15"/>
    <n v="0.34"/>
    <x v="7"/>
    <n v="3"/>
    <n v="61"/>
    <n v="64"/>
  </r>
  <r>
    <n v="933"/>
    <d v="2011-02-11T00:00:00"/>
    <x v="0"/>
    <x v="0"/>
    <x v="1"/>
    <d v="1900-02-06T20:00:00"/>
    <x v="0"/>
    <x v="5"/>
    <x v="0"/>
    <x v="10"/>
    <x v="9"/>
    <n v="0.47"/>
    <x v="4"/>
    <n v="12"/>
    <n v="52"/>
    <n v="64"/>
  </r>
  <r>
    <n v="964"/>
    <d v="2011-02-12T00:00:00"/>
    <x v="0"/>
    <x v="0"/>
    <x v="1"/>
    <d v="1900-02-08T03:00:00"/>
    <x v="0"/>
    <x v="0"/>
    <x v="0"/>
    <x v="13"/>
    <x v="1"/>
    <n v="0.38"/>
    <x v="13"/>
    <n v="4"/>
    <n v="60"/>
    <n v="64"/>
  </r>
  <r>
    <n v="41"/>
    <d v="2011-01-02T00:00:00"/>
    <x v="0"/>
    <x v="0"/>
    <x v="0"/>
    <d v="1899-12-31T16:00:00"/>
    <x v="0"/>
    <x v="1"/>
    <x v="0"/>
    <x v="17"/>
    <x v="21"/>
    <n v="0.56999999999999995"/>
    <x v="2"/>
    <n v="7"/>
    <n v="58"/>
    <n v="65"/>
  </r>
  <r>
    <n v="84"/>
    <d v="2011-01-04T00:00:00"/>
    <x v="0"/>
    <x v="0"/>
    <x v="0"/>
    <d v="1900-01-02T11:00:00"/>
    <x v="0"/>
    <x v="3"/>
    <x v="0"/>
    <x v="13"/>
    <x v="16"/>
    <n v="0.52"/>
    <x v="10"/>
    <n v="17"/>
    <n v="48"/>
    <n v="65"/>
  </r>
  <r>
    <n v="471"/>
    <d v="2011-01-21T00:00:00"/>
    <x v="0"/>
    <x v="0"/>
    <x v="0"/>
    <d v="1900-01-18T14:00:00"/>
    <x v="0"/>
    <x v="5"/>
    <x v="0"/>
    <x v="2"/>
    <x v="8"/>
    <n v="0.26"/>
    <x v="16"/>
    <n v="4"/>
    <n v="61"/>
    <n v="65"/>
  </r>
  <r>
    <n v="518"/>
    <d v="2011-01-23T00:00:00"/>
    <x v="0"/>
    <x v="0"/>
    <x v="0"/>
    <d v="1900-01-20T13:00:00"/>
    <x v="0"/>
    <x v="1"/>
    <x v="0"/>
    <x v="2"/>
    <x v="3"/>
    <n v="0.26"/>
    <x v="13"/>
    <n v="9"/>
    <n v="56"/>
    <n v="65"/>
  </r>
  <r>
    <n v="631"/>
    <d v="2011-01-29T00:00:00"/>
    <x v="0"/>
    <x v="0"/>
    <x v="0"/>
    <d v="1900-01-25T06:00:00"/>
    <x v="0"/>
    <x v="0"/>
    <x v="1"/>
    <x v="10"/>
    <x v="9"/>
    <n v="0.55000000000000004"/>
    <x v="6"/>
    <n v="9"/>
    <n v="56"/>
    <n v="65"/>
  </r>
  <r>
    <n v="659"/>
    <d v="2011-01-30T00:00:00"/>
    <x v="0"/>
    <x v="0"/>
    <x v="0"/>
    <d v="1900-01-26T10:00:00"/>
    <x v="0"/>
    <x v="1"/>
    <x v="0"/>
    <x v="9"/>
    <x v="1"/>
    <n v="0.65"/>
    <x v="6"/>
    <n v="8"/>
    <n v="57"/>
    <n v="65"/>
  </r>
  <r>
    <n v="866"/>
    <d v="2011-02-08T00:00:00"/>
    <x v="0"/>
    <x v="0"/>
    <x v="1"/>
    <d v="1900-02-04T01:00:00"/>
    <x v="0"/>
    <x v="3"/>
    <x v="0"/>
    <x v="0"/>
    <x v="5"/>
    <n v="0.38"/>
    <x v="19"/>
    <n v="2"/>
    <n v="63"/>
    <n v="65"/>
  </r>
  <r>
    <n v="842"/>
    <d v="2011-02-07T00:00:00"/>
    <x v="0"/>
    <x v="0"/>
    <x v="1"/>
    <d v="1900-02-03T01:00:00"/>
    <x v="0"/>
    <x v="2"/>
    <x v="1"/>
    <x v="18"/>
    <x v="27"/>
    <n v="0.62"/>
    <x v="0"/>
    <n v="7"/>
    <n v="59"/>
    <n v="66"/>
  </r>
  <r>
    <n v="18"/>
    <d v="2011-01-01T00:00:00"/>
    <x v="0"/>
    <x v="0"/>
    <x v="0"/>
    <d v="1899-12-30T17:00:00"/>
    <x v="0"/>
    <x v="0"/>
    <x v="1"/>
    <x v="21"/>
    <x v="18"/>
    <n v="0.82"/>
    <x v="7"/>
    <n v="15"/>
    <n v="52"/>
    <n v="67"/>
  </r>
  <r>
    <n v="128"/>
    <d v="2011-01-06T00:00:00"/>
    <x v="0"/>
    <x v="0"/>
    <x v="0"/>
    <d v="1900-01-04T07:00:00"/>
    <x v="0"/>
    <x v="4"/>
    <x v="0"/>
    <x v="9"/>
    <x v="16"/>
    <n v="0.35"/>
    <x v="8"/>
    <n v="12"/>
    <n v="55"/>
    <n v="67"/>
  </r>
  <r>
    <n v="149"/>
    <d v="2011-01-07T00:00:00"/>
    <x v="0"/>
    <x v="0"/>
    <x v="0"/>
    <d v="1900-01-05T04:00:00"/>
    <x v="0"/>
    <x v="5"/>
    <x v="1"/>
    <x v="4"/>
    <x v="5"/>
    <n v="0.4"/>
    <x v="5"/>
    <n v="19"/>
    <n v="48"/>
    <n v="67"/>
  </r>
  <r>
    <n v="367"/>
    <d v="2011-01-16T00:00:00"/>
    <x v="0"/>
    <x v="0"/>
    <x v="0"/>
    <d v="1900-01-14T06:00:00"/>
    <x v="0"/>
    <x v="1"/>
    <x v="0"/>
    <x v="4"/>
    <x v="6"/>
    <n v="0.4"/>
    <x v="6"/>
    <n v="11"/>
    <n v="56"/>
    <n v="67"/>
  </r>
  <r>
    <n v="496"/>
    <d v="2011-01-22T00:00:00"/>
    <x v="0"/>
    <x v="0"/>
    <x v="0"/>
    <d v="1900-01-19T15:00:00"/>
    <x v="0"/>
    <x v="0"/>
    <x v="0"/>
    <x v="8"/>
    <x v="5"/>
    <n v="0.28000000000000003"/>
    <x v="0"/>
    <n v="8"/>
    <n v="59"/>
    <n v="67"/>
  </r>
  <r>
    <n v="270"/>
    <d v="2011-01-12T00:00:00"/>
    <x v="0"/>
    <x v="0"/>
    <x v="0"/>
    <d v="1900-01-10T05:00:00"/>
    <x v="0"/>
    <x v="6"/>
    <x v="0"/>
    <x v="10"/>
    <x v="5"/>
    <n v="0.44"/>
    <x v="13"/>
    <n v="5"/>
    <n v="63"/>
    <n v="68"/>
  </r>
  <r>
    <n v="316"/>
    <d v="2011-01-14T00:00:00"/>
    <x v="0"/>
    <x v="0"/>
    <x v="0"/>
    <d v="1900-01-12T03:00:00"/>
    <x v="0"/>
    <x v="5"/>
    <x v="0"/>
    <x v="0"/>
    <x v="19"/>
    <n v="0.38"/>
    <x v="6"/>
    <n v="9"/>
    <n v="59"/>
    <n v="68"/>
  </r>
  <r>
    <n v="321"/>
    <d v="2011-01-14T00:00:00"/>
    <x v="0"/>
    <x v="0"/>
    <x v="0"/>
    <d v="1900-01-12T08:00:00"/>
    <x v="0"/>
    <x v="5"/>
    <x v="0"/>
    <x v="5"/>
    <x v="19"/>
    <n v="0.59"/>
    <x v="0"/>
    <n v="0"/>
    <n v="68"/>
    <n v="68"/>
  </r>
  <r>
    <n v="443"/>
    <d v="2011-01-20T00:00:00"/>
    <x v="0"/>
    <x v="0"/>
    <x v="0"/>
    <d v="1900-01-17T10:00:00"/>
    <x v="0"/>
    <x v="4"/>
    <x v="1"/>
    <x v="13"/>
    <x v="16"/>
    <n v="0.45"/>
    <x v="6"/>
    <n v="5"/>
    <n v="63"/>
    <n v="68"/>
  </r>
  <r>
    <n v="463"/>
    <d v="2011-01-21T00:00:00"/>
    <x v="0"/>
    <x v="0"/>
    <x v="0"/>
    <d v="1900-01-18T06:00:00"/>
    <x v="0"/>
    <x v="5"/>
    <x v="0"/>
    <x v="4"/>
    <x v="15"/>
    <n v="0.51"/>
    <x v="7"/>
    <n v="2"/>
    <n v="66"/>
    <n v="68"/>
  </r>
  <r>
    <n v="562"/>
    <d v="2011-01-25T00:00:00"/>
    <x v="0"/>
    <x v="0"/>
    <x v="0"/>
    <d v="1900-01-22T09:00:00"/>
    <x v="0"/>
    <x v="3"/>
    <x v="1"/>
    <x v="22"/>
    <x v="21"/>
    <n v="0.45"/>
    <x v="0"/>
    <n v="11"/>
    <n v="57"/>
    <n v="68"/>
  </r>
  <r>
    <n v="636"/>
    <d v="2011-01-29T00:00:00"/>
    <x v="0"/>
    <x v="0"/>
    <x v="0"/>
    <d v="1900-01-25T11:00:00"/>
    <x v="0"/>
    <x v="0"/>
    <x v="0"/>
    <x v="10"/>
    <x v="9"/>
    <n v="0.69"/>
    <x v="4"/>
    <n v="9"/>
    <n v="59"/>
    <n v="68"/>
  </r>
  <r>
    <n v="677"/>
    <d v="2011-01-31T00:00:00"/>
    <x v="0"/>
    <x v="0"/>
    <x v="0"/>
    <d v="1900-01-27T04:00:00"/>
    <x v="0"/>
    <x v="2"/>
    <x v="1"/>
    <x v="5"/>
    <x v="6"/>
    <n v="0.55000000000000004"/>
    <x v="8"/>
    <n v="6"/>
    <n v="62"/>
    <n v="68"/>
  </r>
  <r>
    <n v="135"/>
    <d v="2011-01-06T00:00:00"/>
    <x v="0"/>
    <x v="0"/>
    <x v="0"/>
    <d v="1900-01-04T14:00:00"/>
    <x v="0"/>
    <x v="4"/>
    <x v="0"/>
    <x v="4"/>
    <x v="6"/>
    <n v="0.51"/>
    <x v="6"/>
    <n v="3"/>
    <n v="66"/>
    <n v="69"/>
  </r>
  <r>
    <n v="179"/>
    <d v="2011-01-08T00:00:00"/>
    <x v="0"/>
    <x v="0"/>
    <x v="0"/>
    <d v="1900-01-06T10:00:00"/>
    <x v="0"/>
    <x v="0"/>
    <x v="0"/>
    <x v="2"/>
    <x v="8"/>
    <n v="0.37"/>
    <x v="17"/>
    <n v="5"/>
    <n v="64"/>
    <n v="69"/>
  </r>
  <r>
    <n v="675"/>
    <d v="2011-01-31T00:00:00"/>
    <x v="0"/>
    <x v="0"/>
    <x v="0"/>
    <d v="1900-01-27T02:00:00"/>
    <x v="0"/>
    <x v="2"/>
    <x v="1"/>
    <x v="2"/>
    <x v="4"/>
    <n v="0.59"/>
    <x v="2"/>
    <n v="1"/>
    <n v="68"/>
    <n v="69"/>
  </r>
  <r>
    <n v="747"/>
    <d v="2011-02-03T00:00:00"/>
    <x v="0"/>
    <x v="0"/>
    <x v="1"/>
    <d v="1900-01-30T02:00:00"/>
    <x v="0"/>
    <x v="4"/>
    <x v="0"/>
    <x v="4"/>
    <x v="15"/>
    <n v="0.4"/>
    <x v="12"/>
    <n v="2"/>
    <n v="67"/>
    <n v="69"/>
  </r>
  <r>
    <n v="802"/>
    <d v="2011-02-05T00:00:00"/>
    <x v="0"/>
    <x v="0"/>
    <x v="1"/>
    <d v="1900-02-01T09:00:00"/>
    <x v="0"/>
    <x v="0"/>
    <x v="0"/>
    <x v="22"/>
    <x v="0"/>
    <n v="0.87"/>
    <x v="10"/>
    <n v="5"/>
    <n v="64"/>
    <n v="69"/>
  </r>
  <r>
    <n v="890"/>
    <d v="2011-02-09T00:00:00"/>
    <x v="0"/>
    <x v="0"/>
    <x v="1"/>
    <d v="1900-02-05T01:00:00"/>
    <x v="0"/>
    <x v="6"/>
    <x v="0"/>
    <x v="5"/>
    <x v="14"/>
    <n v="0.4"/>
    <x v="10"/>
    <n v="2"/>
    <n v="67"/>
    <n v="69"/>
  </r>
  <r>
    <n v="912"/>
    <d v="2011-02-10T00:00:00"/>
    <x v="0"/>
    <x v="0"/>
    <x v="1"/>
    <d v="1900-02-05T23:00:00"/>
    <x v="0"/>
    <x v="4"/>
    <x v="0"/>
    <x v="2"/>
    <x v="3"/>
    <n v="0.34"/>
    <x v="3"/>
    <n v="4"/>
    <n v="65"/>
    <n v="69"/>
  </r>
  <r>
    <n v="35"/>
    <d v="2011-01-02T00:00:00"/>
    <x v="0"/>
    <x v="0"/>
    <x v="0"/>
    <d v="1899-12-31T10:00:00"/>
    <x v="0"/>
    <x v="1"/>
    <x v="1"/>
    <x v="16"/>
    <x v="21"/>
    <n v="0.71"/>
    <x v="10"/>
    <n v="16"/>
    <n v="54"/>
    <n v="70"/>
  </r>
  <r>
    <n v="129"/>
    <d v="2011-01-06T00:00:00"/>
    <x v="0"/>
    <x v="0"/>
    <x v="0"/>
    <d v="1900-01-04T08:00:00"/>
    <x v="0"/>
    <x v="4"/>
    <x v="0"/>
    <x v="13"/>
    <x v="16"/>
    <n v="0.36"/>
    <x v="6"/>
    <n v="11"/>
    <n v="59"/>
    <n v="70"/>
  </r>
  <r>
    <n v="308"/>
    <d v="2011-01-14T00:00:00"/>
    <x v="0"/>
    <x v="0"/>
    <x v="0"/>
    <d v="1900-01-11T19:00:00"/>
    <x v="0"/>
    <x v="5"/>
    <x v="0"/>
    <x v="7"/>
    <x v="8"/>
    <n v="0.74"/>
    <x v="6"/>
    <n v="0"/>
    <n v="70"/>
    <n v="70"/>
  </r>
  <r>
    <n v="420"/>
    <d v="2011-01-19T00:00:00"/>
    <x v="0"/>
    <x v="0"/>
    <x v="0"/>
    <d v="1900-01-16T11:00:00"/>
    <x v="0"/>
    <x v="6"/>
    <x v="1"/>
    <x v="22"/>
    <x v="22"/>
    <n v="0.81"/>
    <x v="1"/>
    <n v="5"/>
    <n v="65"/>
    <n v="70"/>
  </r>
  <r>
    <n v="447"/>
    <d v="2011-01-20T00:00:00"/>
    <x v="0"/>
    <x v="0"/>
    <x v="0"/>
    <d v="1900-01-17T14:00:00"/>
    <x v="0"/>
    <x v="4"/>
    <x v="1"/>
    <x v="18"/>
    <x v="22"/>
    <n v="0.45"/>
    <x v="2"/>
    <n v="8"/>
    <n v="62"/>
    <n v="70"/>
  </r>
  <r>
    <n v="491"/>
    <d v="2011-01-22T00:00:00"/>
    <x v="0"/>
    <x v="0"/>
    <x v="0"/>
    <d v="1900-01-19T10:00:00"/>
    <x v="0"/>
    <x v="0"/>
    <x v="1"/>
    <x v="15"/>
    <x v="20"/>
    <n v="0.38"/>
    <x v="8"/>
    <n v="10"/>
    <n v="60"/>
    <n v="70"/>
  </r>
  <r>
    <n v="541"/>
    <d v="2011-01-24T00:00:00"/>
    <x v="0"/>
    <x v="0"/>
    <x v="0"/>
    <d v="1900-01-21T12:00:00"/>
    <x v="0"/>
    <x v="2"/>
    <x v="0"/>
    <x v="2"/>
    <x v="4"/>
    <n v="0.47"/>
    <x v="10"/>
    <n v="4"/>
    <n v="66"/>
    <n v="70"/>
  </r>
  <r>
    <n v="105"/>
    <d v="2011-01-05T00:00:00"/>
    <x v="0"/>
    <x v="0"/>
    <x v="0"/>
    <d v="1900-01-03T08:00:00"/>
    <x v="0"/>
    <x v="6"/>
    <x v="0"/>
    <x v="13"/>
    <x v="1"/>
    <n v="0.3"/>
    <x v="9"/>
    <n v="6"/>
    <n v="65"/>
    <n v="71"/>
  </r>
  <r>
    <n v="390"/>
    <d v="2011-01-17T00:00:00"/>
    <x v="0"/>
    <x v="0"/>
    <x v="0"/>
    <d v="1900-01-15T05:00:00"/>
    <x v="1"/>
    <x v="2"/>
    <x v="0"/>
    <x v="4"/>
    <x v="5"/>
    <n v="0.51"/>
    <x v="2"/>
    <n v="4"/>
    <n v="67"/>
    <n v="71"/>
  </r>
  <r>
    <n v="778"/>
    <d v="2011-02-04T00:00:00"/>
    <x v="0"/>
    <x v="0"/>
    <x v="1"/>
    <d v="1900-01-31T09:00:00"/>
    <x v="0"/>
    <x v="5"/>
    <x v="1"/>
    <x v="0"/>
    <x v="19"/>
    <n v="0.65"/>
    <x v="6"/>
    <n v="2"/>
    <n v="69"/>
    <n v="71"/>
  </r>
  <r>
    <n v="798"/>
    <d v="2011-02-05T00:00:00"/>
    <x v="0"/>
    <x v="0"/>
    <x v="1"/>
    <d v="1900-02-01T05:00:00"/>
    <x v="0"/>
    <x v="0"/>
    <x v="2"/>
    <x v="10"/>
    <x v="9"/>
    <n v="1"/>
    <x v="4"/>
    <n v="8"/>
    <n v="63"/>
    <n v="71"/>
  </r>
  <r>
    <n v="934"/>
    <d v="2011-02-11T00:00:00"/>
    <x v="0"/>
    <x v="0"/>
    <x v="1"/>
    <d v="1900-02-06T21:00:00"/>
    <x v="0"/>
    <x v="5"/>
    <x v="0"/>
    <x v="10"/>
    <x v="9"/>
    <n v="0.47"/>
    <x v="4"/>
    <n v="7"/>
    <n v="64"/>
    <n v="71"/>
  </r>
  <r>
    <n v="61"/>
    <d v="2011-01-03T00:00:00"/>
    <x v="0"/>
    <x v="0"/>
    <x v="0"/>
    <d v="1900-01-01T12:00:00"/>
    <x v="0"/>
    <x v="2"/>
    <x v="0"/>
    <x v="9"/>
    <x v="19"/>
    <n v="0.3"/>
    <x v="10"/>
    <n v="14"/>
    <n v="58"/>
    <n v="72"/>
  </r>
  <r>
    <n v="153"/>
    <d v="2011-01-07T00:00:00"/>
    <x v="0"/>
    <x v="0"/>
    <x v="0"/>
    <d v="1900-01-05T08:00:00"/>
    <x v="0"/>
    <x v="5"/>
    <x v="1"/>
    <x v="4"/>
    <x v="6"/>
    <n v="0.37"/>
    <x v="6"/>
    <n v="9"/>
    <n v="63"/>
    <n v="72"/>
  </r>
  <r>
    <n v="200"/>
    <d v="2011-01-09T00:00:00"/>
    <x v="0"/>
    <x v="0"/>
    <x v="0"/>
    <d v="1900-01-07T07:00:00"/>
    <x v="0"/>
    <x v="1"/>
    <x v="0"/>
    <x v="10"/>
    <x v="15"/>
    <n v="0.32"/>
    <x v="15"/>
    <n v="8"/>
    <n v="64"/>
    <n v="72"/>
  </r>
  <r>
    <n v="285"/>
    <d v="2011-01-13T00:00:00"/>
    <x v="0"/>
    <x v="0"/>
    <x v="0"/>
    <d v="1900-01-10T20:00:00"/>
    <x v="0"/>
    <x v="4"/>
    <x v="0"/>
    <x v="8"/>
    <x v="4"/>
    <n v="0.54"/>
    <x v="4"/>
    <n v="0"/>
    <n v="72"/>
    <n v="72"/>
  </r>
  <r>
    <n v="336"/>
    <d v="2011-01-15T00:00:00"/>
    <x v="0"/>
    <x v="0"/>
    <x v="0"/>
    <d v="1900-01-12T23:00:00"/>
    <x v="0"/>
    <x v="0"/>
    <x v="0"/>
    <x v="4"/>
    <x v="5"/>
    <n v="0.55000000000000004"/>
    <x v="5"/>
    <n v="18"/>
    <n v="54"/>
    <n v="72"/>
  </r>
  <r>
    <n v="578"/>
    <d v="2011-01-26T00:00:00"/>
    <x v="0"/>
    <x v="0"/>
    <x v="0"/>
    <d v="1900-01-23T01:00:00"/>
    <x v="0"/>
    <x v="6"/>
    <x v="2"/>
    <x v="10"/>
    <x v="6"/>
    <n v="0.87"/>
    <x v="9"/>
    <n v="3"/>
    <n v="69"/>
    <n v="72"/>
  </r>
  <r>
    <n v="672"/>
    <d v="2011-01-31T00:00:00"/>
    <x v="0"/>
    <x v="0"/>
    <x v="0"/>
    <d v="1900-01-26T23:00:00"/>
    <x v="0"/>
    <x v="2"/>
    <x v="1"/>
    <x v="2"/>
    <x v="3"/>
    <n v="0.64"/>
    <x v="7"/>
    <n v="1"/>
    <n v="71"/>
    <n v="72"/>
  </r>
  <r>
    <n v="795"/>
    <d v="2011-02-05T00:00:00"/>
    <x v="0"/>
    <x v="0"/>
    <x v="1"/>
    <d v="1900-02-01T02:00:00"/>
    <x v="0"/>
    <x v="0"/>
    <x v="2"/>
    <x v="10"/>
    <x v="9"/>
    <n v="1"/>
    <x v="6"/>
    <n v="10"/>
    <n v="62"/>
    <n v="72"/>
  </r>
  <r>
    <n v="921"/>
    <d v="2011-02-10T00:00:00"/>
    <x v="0"/>
    <x v="0"/>
    <x v="1"/>
    <d v="1900-02-06T08:00:00"/>
    <x v="0"/>
    <x v="4"/>
    <x v="0"/>
    <x v="3"/>
    <x v="6"/>
    <n v="0.39"/>
    <x v="0"/>
    <n v="2"/>
    <n v="70"/>
    <n v="72"/>
  </r>
  <r>
    <n v="151"/>
    <d v="2011-01-07T00:00:00"/>
    <x v="0"/>
    <x v="0"/>
    <x v="0"/>
    <d v="1900-01-05T06:00:00"/>
    <x v="0"/>
    <x v="5"/>
    <x v="1"/>
    <x v="4"/>
    <x v="15"/>
    <n v="0.37"/>
    <x v="7"/>
    <n v="9"/>
    <n v="64"/>
    <n v="73"/>
  </r>
  <r>
    <n v="469"/>
    <d v="2011-01-21T00:00:00"/>
    <x v="0"/>
    <x v="0"/>
    <x v="0"/>
    <d v="1900-01-18T12:00:00"/>
    <x v="0"/>
    <x v="5"/>
    <x v="0"/>
    <x v="4"/>
    <x v="4"/>
    <n v="0.21"/>
    <x v="18"/>
    <n v="8"/>
    <n v="65"/>
    <n v="73"/>
  </r>
  <r>
    <n v="39"/>
    <d v="2011-01-02T00:00:00"/>
    <x v="0"/>
    <x v="0"/>
    <x v="0"/>
    <d v="1899-12-31T14:00:00"/>
    <x v="0"/>
    <x v="1"/>
    <x v="2"/>
    <x v="17"/>
    <x v="21"/>
    <n v="0.81"/>
    <x v="6"/>
    <n v="19"/>
    <n v="55"/>
    <n v="74"/>
  </r>
  <r>
    <n v="177"/>
    <d v="2011-01-08T00:00:00"/>
    <x v="0"/>
    <x v="0"/>
    <x v="0"/>
    <d v="1900-01-06T08:00:00"/>
    <x v="0"/>
    <x v="0"/>
    <x v="0"/>
    <x v="4"/>
    <x v="14"/>
    <n v="0.32"/>
    <x v="16"/>
    <n v="5"/>
    <n v="69"/>
    <n v="74"/>
  </r>
  <r>
    <n v="226"/>
    <d v="2011-01-10T00:00:00"/>
    <x v="0"/>
    <x v="0"/>
    <x v="0"/>
    <d v="1900-01-08T09:00:00"/>
    <x v="0"/>
    <x v="2"/>
    <x v="0"/>
    <x v="4"/>
    <x v="6"/>
    <n v="0.4"/>
    <x v="4"/>
    <n v="4"/>
    <n v="70"/>
    <n v="74"/>
  </r>
  <r>
    <n v="230"/>
    <d v="2011-01-10T00:00:00"/>
    <x v="0"/>
    <x v="0"/>
    <x v="0"/>
    <d v="1900-01-08T13:00:00"/>
    <x v="0"/>
    <x v="2"/>
    <x v="0"/>
    <x v="2"/>
    <x v="14"/>
    <n v="0.5"/>
    <x v="6"/>
    <n v="1"/>
    <n v="73"/>
    <n v="74"/>
  </r>
  <r>
    <n v="344"/>
    <d v="2011-01-15T00:00:00"/>
    <x v="0"/>
    <x v="0"/>
    <x v="0"/>
    <d v="1900-01-13T07:00:00"/>
    <x v="0"/>
    <x v="0"/>
    <x v="1"/>
    <x v="18"/>
    <x v="23"/>
    <n v="0.39"/>
    <x v="10"/>
    <n v="14"/>
    <n v="60"/>
    <n v="74"/>
  </r>
  <r>
    <n v="708"/>
    <d v="2011-02-01T00:00:00"/>
    <x v="0"/>
    <x v="0"/>
    <x v="1"/>
    <d v="1900-01-28T11:00:00"/>
    <x v="0"/>
    <x v="3"/>
    <x v="1"/>
    <x v="10"/>
    <x v="9"/>
    <n v="0.87"/>
    <x v="4"/>
    <n v="5"/>
    <n v="69"/>
    <n v="74"/>
  </r>
  <r>
    <n v="929"/>
    <d v="2011-02-11T00:00:00"/>
    <x v="0"/>
    <x v="0"/>
    <x v="1"/>
    <d v="1900-02-06T16:00:00"/>
    <x v="0"/>
    <x v="5"/>
    <x v="0"/>
    <x v="6"/>
    <x v="14"/>
    <n v="0.73"/>
    <x v="0"/>
    <n v="1"/>
    <n v="73"/>
    <n v="74"/>
  </r>
  <r>
    <n v="937"/>
    <d v="2011-02-11T00:00:00"/>
    <x v="0"/>
    <x v="0"/>
    <x v="1"/>
    <d v="1900-02-07T00:00:00"/>
    <x v="0"/>
    <x v="5"/>
    <x v="0"/>
    <x v="18"/>
    <x v="22"/>
    <n v="0.21"/>
    <x v="6"/>
    <n v="12"/>
    <n v="62"/>
    <n v="74"/>
  </r>
  <r>
    <n v="37"/>
    <d v="2011-01-02T00:00:00"/>
    <x v="0"/>
    <x v="0"/>
    <x v="0"/>
    <d v="1899-12-31T12:00:00"/>
    <x v="0"/>
    <x v="1"/>
    <x v="1"/>
    <x v="16"/>
    <x v="27"/>
    <n v="0.66"/>
    <x v="4"/>
    <n v="11"/>
    <n v="64"/>
    <n v="75"/>
  </r>
  <r>
    <n v="199"/>
    <d v="2011-01-09T00:00:00"/>
    <x v="0"/>
    <x v="0"/>
    <x v="0"/>
    <d v="1900-01-07T06:00:00"/>
    <x v="0"/>
    <x v="1"/>
    <x v="0"/>
    <x v="4"/>
    <x v="14"/>
    <n v="0.34"/>
    <x v="16"/>
    <n v="6"/>
    <n v="69"/>
    <n v="75"/>
  </r>
  <r>
    <n v="422"/>
    <d v="2011-01-19T00:00:00"/>
    <x v="0"/>
    <x v="0"/>
    <x v="0"/>
    <d v="1900-01-16T13:00:00"/>
    <x v="0"/>
    <x v="6"/>
    <x v="0"/>
    <x v="1"/>
    <x v="2"/>
    <n v="0.57999999999999996"/>
    <x v="10"/>
    <n v="7"/>
    <n v="68"/>
    <n v="75"/>
  </r>
  <r>
    <n v="493"/>
    <d v="2011-01-22T00:00:00"/>
    <x v="0"/>
    <x v="0"/>
    <x v="0"/>
    <d v="1900-01-19T12:00:00"/>
    <x v="0"/>
    <x v="0"/>
    <x v="0"/>
    <x v="7"/>
    <x v="3"/>
    <n v="0.33"/>
    <x v="8"/>
    <n v="11"/>
    <n v="64"/>
    <n v="75"/>
  </r>
  <r>
    <n v="725"/>
    <d v="2011-02-02T00:00:00"/>
    <x v="0"/>
    <x v="0"/>
    <x v="1"/>
    <d v="1900-01-29T04:00:00"/>
    <x v="0"/>
    <x v="6"/>
    <x v="0"/>
    <x v="17"/>
    <x v="21"/>
    <n v="0.93"/>
    <x v="6"/>
    <n v="1"/>
    <n v="74"/>
    <n v="75"/>
  </r>
  <r>
    <n v="732"/>
    <d v="2011-02-02T00:00:00"/>
    <x v="0"/>
    <x v="0"/>
    <x v="1"/>
    <d v="1900-01-29T11:00:00"/>
    <x v="0"/>
    <x v="6"/>
    <x v="0"/>
    <x v="0"/>
    <x v="5"/>
    <n v="0.48"/>
    <x v="17"/>
    <n v="4"/>
    <n v="71"/>
    <n v="75"/>
  </r>
  <r>
    <n v="40"/>
    <d v="2011-01-02T00:00:00"/>
    <x v="0"/>
    <x v="0"/>
    <x v="0"/>
    <d v="1899-12-31T15:00:00"/>
    <x v="0"/>
    <x v="1"/>
    <x v="2"/>
    <x v="17"/>
    <x v="21"/>
    <n v="0.71"/>
    <x v="6"/>
    <n v="9"/>
    <n v="67"/>
    <n v="76"/>
  </r>
  <r>
    <n v="62"/>
    <d v="2011-01-03T00:00:00"/>
    <x v="0"/>
    <x v="0"/>
    <x v="0"/>
    <d v="1900-01-01T13:00:00"/>
    <x v="0"/>
    <x v="2"/>
    <x v="0"/>
    <x v="9"/>
    <x v="19"/>
    <n v="0.3"/>
    <x v="10"/>
    <n v="9"/>
    <n v="67"/>
    <n v="76"/>
  </r>
  <r>
    <n v="178"/>
    <d v="2011-01-08T00:00:00"/>
    <x v="0"/>
    <x v="0"/>
    <x v="0"/>
    <d v="1900-01-06T09:00:00"/>
    <x v="0"/>
    <x v="0"/>
    <x v="0"/>
    <x v="5"/>
    <x v="3"/>
    <n v="0.28999999999999998"/>
    <x v="16"/>
    <n v="8"/>
    <n v="68"/>
    <n v="76"/>
  </r>
  <r>
    <n v="248"/>
    <d v="2011-01-11T00:00:00"/>
    <x v="0"/>
    <x v="0"/>
    <x v="0"/>
    <d v="1900-01-09T07:00:00"/>
    <x v="0"/>
    <x v="3"/>
    <x v="1"/>
    <x v="2"/>
    <x v="4"/>
    <n v="0.86"/>
    <x v="5"/>
    <n v="4"/>
    <n v="72"/>
    <n v="76"/>
  </r>
  <r>
    <n v="428"/>
    <d v="2011-01-19T00:00:00"/>
    <x v="0"/>
    <x v="0"/>
    <x v="0"/>
    <d v="1900-01-16T19:00:00"/>
    <x v="0"/>
    <x v="6"/>
    <x v="0"/>
    <x v="18"/>
    <x v="23"/>
    <n v="0.49"/>
    <x v="9"/>
    <n v="2"/>
    <n v="74"/>
    <n v="76"/>
  </r>
  <r>
    <n v="727"/>
    <d v="2011-02-02T00:00:00"/>
    <x v="0"/>
    <x v="0"/>
    <x v="1"/>
    <d v="1900-01-29T06:00:00"/>
    <x v="0"/>
    <x v="6"/>
    <x v="0"/>
    <x v="20"/>
    <x v="26"/>
    <n v="0.76"/>
    <x v="13"/>
    <n v="10"/>
    <n v="66"/>
    <n v="76"/>
  </r>
  <r>
    <n v="60"/>
    <d v="2011-01-03T00:00:00"/>
    <x v="0"/>
    <x v="0"/>
    <x v="0"/>
    <d v="1900-01-01T11:00:00"/>
    <x v="0"/>
    <x v="2"/>
    <x v="0"/>
    <x v="9"/>
    <x v="19"/>
    <n v="0.3"/>
    <x v="7"/>
    <n v="11"/>
    <n v="66"/>
    <n v="77"/>
  </r>
  <r>
    <n v="217"/>
    <d v="2011-01-10T00:00:00"/>
    <x v="0"/>
    <x v="0"/>
    <x v="0"/>
    <d v="1900-01-08T00:00:00"/>
    <x v="0"/>
    <x v="2"/>
    <x v="0"/>
    <x v="8"/>
    <x v="8"/>
    <n v="0.5"/>
    <x v="5"/>
    <n v="2"/>
    <n v="75"/>
    <n v="77"/>
  </r>
  <r>
    <n v="314"/>
    <d v="2011-01-14T00:00:00"/>
    <x v="0"/>
    <x v="0"/>
    <x v="0"/>
    <d v="1900-01-12T01:00:00"/>
    <x v="0"/>
    <x v="5"/>
    <x v="0"/>
    <x v="10"/>
    <x v="5"/>
    <n v="0.37"/>
    <x v="3"/>
    <n v="4"/>
    <n v="73"/>
    <n v="77"/>
  </r>
  <r>
    <n v="517"/>
    <d v="2011-01-23T00:00:00"/>
    <x v="0"/>
    <x v="0"/>
    <x v="0"/>
    <d v="1900-01-20T12:00:00"/>
    <x v="0"/>
    <x v="1"/>
    <x v="0"/>
    <x v="2"/>
    <x v="3"/>
    <n v="0.28000000000000003"/>
    <x v="12"/>
    <n v="13"/>
    <n v="64"/>
    <n v="77"/>
  </r>
  <r>
    <n v="658"/>
    <d v="2011-01-30T00:00:00"/>
    <x v="0"/>
    <x v="0"/>
    <x v="0"/>
    <d v="1900-01-26T09:00:00"/>
    <x v="0"/>
    <x v="1"/>
    <x v="0"/>
    <x v="22"/>
    <x v="0"/>
    <n v="0.56000000000000005"/>
    <x v="2"/>
    <n v="6"/>
    <n v="71"/>
    <n v="77"/>
  </r>
  <r>
    <n v="81"/>
    <d v="2011-01-04T00:00:00"/>
    <x v="0"/>
    <x v="0"/>
    <x v="0"/>
    <d v="1900-01-02T08:00:00"/>
    <x v="0"/>
    <x v="3"/>
    <x v="0"/>
    <x v="10"/>
    <x v="9"/>
    <n v="0.51"/>
    <x v="6"/>
    <n v="12"/>
    <n v="66"/>
    <n v="78"/>
  </r>
  <r>
    <n v="294"/>
    <d v="2011-01-13T00:00:00"/>
    <x v="0"/>
    <x v="0"/>
    <x v="0"/>
    <d v="1900-01-11T05:00:00"/>
    <x v="0"/>
    <x v="4"/>
    <x v="0"/>
    <x v="0"/>
    <x v="6"/>
    <n v="0.38"/>
    <x v="12"/>
    <n v="2"/>
    <n v="76"/>
    <n v="78"/>
  </r>
  <r>
    <n v="421"/>
    <d v="2011-01-19T00:00:00"/>
    <x v="0"/>
    <x v="0"/>
    <x v="0"/>
    <d v="1900-01-16T12:00:00"/>
    <x v="0"/>
    <x v="6"/>
    <x v="0"/>
    <x v="1"/>
    <x v="2"/>
    <n v="0.62"/>
    <x v="7"/>
    <n v="11"/>
    <n v="67"/>
    <n v="78"/>
  </r>
  <r>
    <n v="468"/>
    <d v="2011-01-21T00:00:00"/>
    <x v="0"/>
    <x v="0"/>
    <x v="0"/>
    <d v="1900-01-18T11:00:00"/>
    <x v="0"/>
    <x v="5"/>
    <x v="0"/>
    <x v="10"/>
    <x v="15"/>
    <n v="0.27"/>
    <x v="18"/>
    <n v="11"/>
    <n v="67"/>
    <n v="78"/>
  </r>
  <r>
    <n v="630"/>
    <d v="2011-01-29T00:00:00"/>
    <x v="0"/>
    <x v="0"/>
    <x v="0"/>
    <d v="1900-01-25T05:00:00"/>
    <x v="0"/>
    <x v="0"/>
    <x v="1"/>
    <x v="4"/>
    <x v="5"/>
    <n v="0.59"/>
    <x v="2"/>
    <n v="12"/>
    <n v="66"/>
    <n v="78"/>
  </r>
  <r>
    <n v="685"/>
    <d v="2011-01-31T00:00:00"/>
    <x v="0"/>
    <x v="0"/>
    <x v="0"/>
    <d v="1900-01-27T12:00:00"/>
    <x v="0"/>
    <x v="2"/>
    <x v="2"/>
    <x v="2"/>
    <x v="14"/>
    <n v="0.59"/>
    <x v="6"/>
    <n v="0"/>
    <n v="78"/>
    <n v="78"/>
  </r>
  <r>
    <n v="751"/>
    <d v="2011-02-03T00:00:00"/>
    <x v="0"/>
    <x v="0"/>
    <x v="1"/>
    <d v="1900-01-30T06:00:00"/>
    <x v="0"/>
    <x v="4"/>
    <x v="0"/>
    <x v="10"/>
    <x v="6"/>
    <n v="0.37"/>
    <x v="10"/>
    <n v="5"/>
    <n v="73"/>
    <n v="78"/>
  </r>
  <r>
    <n v="799"/>
    <d v="2011-02-05T00:00:00"/>
    <x v="0"/>
    <x v="0"/>
    <x v="1"/>
    <d v="1900-02-01T06:00:00"/>
    <x v="0"/>
    <x v="0"/>
    <x v="1"/>
    <x v="0"/>
    <x v="6"/>
    <n v="1"/>
    <x v="7"/>
    <n v="14"/>
    <n v="64"/>
    <n v="78"/>
  </r>
  <r>
    <n v="824"/>
    <d v="2011-02-06T00:00:00"/>
    <x v="0"/>
    <x v="0"/>
    <x v="1"/>
    <d v="1900-02-02T07:00:00"/>
    <x v="0"/>
    <x v="1"/>
    <x v="0"/>
    <x v="22"/>
    <x v="23"/>
    <n v="0.56000000000000005"/>
    <x v="6"/>
    <n v="13"/>
    <n v="65"/>
    <n v="78"/>
  </r>
  <r>
    <n v="851"/>
    <d v="2011-02-07T00:00:00"/>
    <x v="0"/>
    <x v="0"/>
    <x v="1"/>
    <d v="1900-02-03T10:00:00"/>
    <x v="0"/>
    <x v="2"/>
    <x v="0"/>
    <x v="18"/>
    <x v="27"/>
    <n v="0.7"/>
    <x v="0"/>
    <n v="3"/>
    <n v="75"/>
    <n v="78"/>
  </r>
  <r>
    <n v="104"/>
    <d v="2011-01-05T00:00:00"/>
    <x v="0"/>
    <x v="0"/>
    <x v="0"/>
    <d v="1900-01-03T07:00:00"/>
    <x v="0"/>
    <x v="6"/>
    <x v="0"/>
    <x v="9"/>
    <x v="9"/>
    <n v="0.33"/>
    <x v="13"/>
    <n v="5"/>
    <n v="74"/>
    <n v="79"/>
  </r>
  <r>
    <n v="359"/>
    <d v="2011-01-16T00:00:00"/>
    <x v="0"/>
    <x v="0"/>
    <x v="0"/>
    <d v="1900-01-13T22:00:00"/>
    <x v="0"/>
    <x v="1"/>
    <x v="0"/>
    <x v="10"/>
    <x v="6"/>
    <n v="0.51"/>
    <x v="7"/>
    <n v="8"/>
    <n v="71"/>
    <n v="79"/>
  </r>
  <r>
    <n v="591"/>
    <d v="2011-01-27T00:00:00"/>
    <x v="0"/>
    <x v="0"/>
    <x v="0"/>
    <d v="1900-01-23T14:00:00"/>
    <x v="0"/>
    <x v="4"/>
    <x v="0"/>
    <x v="4"/>
    <x v="9"/>
    <n v="0.69"/>
    <x v="1"/>
    <n v="3"/>
    <n v="76"/>
    <n v="79"/>
  </r>
  <r>
    <n v="893"/>
    <d v="2011-02-09T00:00:00"/>
    <x v="0"/>
    <x v="0"/>
    <x v="1"/>
    <d v="1900-02-05T04:00:00"/>
    <x v="0"/>
    <x v="6"/>
    <x v="1"/>
    <x v="4"/>
    <x v="5"/>
    <n v="0.37"/>
    <x v="10"/>
    <n v="7"/>
    <n v="72"/>
    <n v="79"/>
  </r>
  <r>
    <n v="385"/>
    <d v="2011-01-17T00:00:00"/>
    <x v="0"/>
    <x v="0"/>
    <x v="0"/>
    <d v="1900-01-15T00:00:00"/>
    <x v="1"/>
    <x v="2"/>
    <x v="1"/>
    <x v="5"/>
    <x v="5"/>
    <n v="0.47"/>
    <x v="4"/>
    <n v="10"/>
    <n v="70"/>
    <n v="80"/>
  </r>
  <r>
    <n v="611"/>
    <d v="2011-01-28T00:00:00"/>
    <x v="0"/>
    <x v="0"/>
    <x v="0"/>
    <d v="1900-01-24T10:00:00"/>
    <x v="0"/>
    <x v="5"/>
    <x v="0"/>
    <x v="10"/>
    <x v="16"/>
    <n v="0.8"/>
    <x v="0"/>
    <n v="10"/>
    <n v="70"/>
    <n v="80"/>
  </r>
  <r>
    <n v="916"/>
    <d v="2011-02-10T00:00:00"/>
    <x v="0"/>
    <x v="0"/>
    <x v="1"/>
    <d v="1900-02-06T03:00:00"/>
    <x v="0"/>
    <x v="4"/>
    <x v="0"/>
    <x v="4"/>
    <x v="15"/>
    <n v="0.27"/>
    <x v="9"/>
    <n v="4"/>
    <n v="76"/>
    <n v="80"/>
  </r>
  <r>
    <n v="263"/>
    <d v="2011-01-12T00:00:00"/>
    <x v="0"/>
    <x v="0"/>
    <x v="0"/>
    <d v="1900-01-09T22:00:00"/>
    <x v="0"/>
    <x v="6"/>
    <x v="0"/>
    <x v="2"/>
    <x v="3"/>
    <n v="0.59"/>
    <x v="13"/>
    <n v="3"/>
    <n v="78"/>
    <n v="81"/>
  </r>
  <r>
    <n v="446"/>
    <d v="2011-01-20T00:00:00"/>
    <x v="0"/>
    <x v="0"/>
    <x v="0"/>
    <d v="1900-01-17T13:00:00"/>
    <x v="0"/>
    <x v="4"/>
    <x v="1"/>
    <x v="22"/>
    <x v="23"/>
    <n v="0.45"/>
    <x v="4"/>
    <n v="6"/>
    <n v="75"/>
    <n v="81"/>
  </r>
  <r>
    <n v="545"/>
    <d v="2011-01-24T00:00:00"/>
    <x v="0"/>
    <x v="0"/>
    <x v="0"/>
    <d v="1900-01-21T16:00:00"/>
    <x v="0"/>
    <x v="2"/>
    <x v="0"/>
    <x v="3"/>
    <x v="3"/>
    <n v="0.59"/>
    <x v="2"/>
    <n v="1"/>
    <n v="80"/>
    <n v="81"/>
  </r>
  <r>
    <n v="201"/>
    <d v="2011-01-09T00:00:00"/>
    <x v="0"/>
    <x v="0"/>
    <x v="0"/>
    <d v="1900-01-07T08:00:00"/>
    <x v="0"/>
    <x v="1"/>
    <x v="0"/>
    <x v="10"/>
    <x v="5"/>
    <n v="0.35"/>
    <x v="12"/>
    <n v="5"/>
    <n v="77"/>
    <n v="82"/>
  </r>
  <r>
    <n v="389"/>
    <d v="2011-01-17T00:00:00"/>
    <x v="0"/>
    <x v="0"/>
    <x v="0"/>
    <d v="1900-01-15T04:00:00"/>
    <x v="1"/>
    <x v="2"/>
    <x v="1"/>
    <x v="4"/>
    <x v="6"/>
    <n v="0.47"/>
    <x v="6"/>
    <n v="6"/>
    <n v="76"/>
    <n v="82"/>
  </r>
  <r>
    <n v="423"/>
    <d v="2011-01-19T00:00:00"/>
    <x v="0"/>
    <x v="0"/>
    <x v="0"/>
    <d v="1900-01-16T14:00:00"/>
    <x v="0"/>
    <x v="6"/>
    <x v="0"/>
    <x v="1"/>
    <x v="2"/>
    <n v="0.54"/>
    <x v="7"/>
    <n v="4"/>
    <n v="78"/>
    <n v="82"/>
  </r>
  <r>
    <n v="771"/>
    <d v="2011-02-04T00:00:00"/>
    <x v="0"/>
    <x v="0"/>
    <x v="1"/>
    <d v="1900-01-31T02:00:00"/>
    <x v="0"/>
    <x v="5"/>
    <x v="1"/>
    <x v="9"/>
    <x v="1"/>
    <n v="0.5"/>
    <x v="5"/>
    <n v="9"/>
    <n v="73"/>
    <n v="82"/>
  </r>
  <r>
    <n v="85"/>
    <d v="2011-01-04T00:00:00"/>
    <x v="0"/>
    <x v="0"/>
    <x v="0"/>
    <d v="1900-01-02T12:00:00"/>
    <x v="0"/>
    <x v="3"/>
    <x v="0"/>
    <x v="22"/>
    <x v="0"/>
    <n v="0.49"/>
    <x v="10"/>
    <n v="15"/>
    <n v="68"/>
    <n v="83"/>
  </r>
  <r>
    <n v="198"/>
    <d v="2011-01-09T00:00:00"/>
    <x v="0"/>
    <x v="0"/>
    <x v="0"/>
    <d v="1900-01-07T05:00:00"/>
    <x v="0"/>
    <x v="1"/>
    <x v="0"/>
    <x v="5"/>
    <x v="3"/>
    <n v="0.37"/>
    <x v="16"/>
    <n v="4"/>
    <n v="79"/>
    <n v="83"/>
  </r>
  <r>
    <n v="273"/>
    <d v="2011-01-12T00:00:00"/>
    <x v="0"/>
    <x v="0"/>
    <x v="0"/>
    <d v="1900-01-10T08:00:00"/>
    <x v="0"/>
    <x v="6"/>
    <x v="0"/>
    <x v="5"/>
    <x v="4"/>
    <n v="0.47"/>
    <x v="11"/>
    <n v="1"/>
    <n v="82"/>
    <n v="83"/>
  </r>
  <r>
    <n v="291"/>
    <d v="2011-01-13T00:00:00"/>
    <x v="0"/>
    <x v="0"/>
    <x v="0"/>
    <d v="1900-01-11T02:00:00"/>
    <x v="0"/>
    <x v="4"/>
    <x v="0"/>
    <x v="10"/>
    <x v="5"/>
    <n v="0.41"/>
    <x v="16"/>
    <n v="2"/>
    <n v="81"/>
    <n v="83"/>
  </r>
  <r>
    <n v="342"/>
    <d v="2011-01-15T00:00:00"/>
    <x v="0"/>
    <x v="0"/>
    <x v="0"/>
    <d v="1900-01-13T05:00:00"/>
    <x v="0"/>
    <x v="0"/>
    <x v="1"/>
    <x v="18"/>
    <x v="23"/>
    <n v="0.36"/>
    <x v="7"/>
    <n v="29"/>
    <n v="54"/>
    <n v="83"/>
  </r>
  <r>
    <n v="405"/>
    <d v="2011-01-18T00:00:00"/>
    <x v="0"/>
    <x v="0"/>
    <x v="0"/>
    <d v="1900-01-15T20:00:00"/>
    <x v="0"/>
    <x v="3"/>
    <x v="1"/>
    <x v="10"/>
    <x v="16"/>
    <n v="0.87"/>
    <x v="0"/>
    <n v="0"/>
    <n v="83"/>
    <n v="83"/>
  </r>
  <r>
    <n v="495"/>
    <d v="2011-01-22T00:00:00"/>
    <x v="0"/>
    <x v="0"/>
    <x v="0"/>
    <d v="1900-01-19T14:00:00"/>
    <x v="0"/>
    <x v="0"/>
    <x v="0"/>
    <x v="8"/>
    <x v="3"/>
    <n v="0.28000000000000003"/>
    <x v="2"/>
    <n v="11"/>
    <n v="72"/>
    <n v="83"/>
  </r>
  <r>
    <n v="800"/>
    <d v="2011-02-05T00:00:00"/>
    <x v="0"/>
    <x v="0"/>
    <x v="1"/>
    <d v="1900-02-01T07:00:00"/>
    <x v="0"/>
    <x v="0"/>
    <x v="1"/>
    <x v="13"/>
    <x v="19"/>
    <n v="0.93"/>
    <x v="16"/>
    <n v="2"/>
    <n v="81"/>
    <n v="83"/>
  </r>
  <r>
    <n v="870"/>
    <d v="2011-02-08T00:00:00"/>
    <x v="0"/>
    <x v="0"/>
    <x v="1"/>
    <d v="1900-02-04T05:00:00"/>
    <x v="0"/>
    <x v="3"/>
    <x v="0"/>
    <x v="10"/>
    <x v="15"/>
    <n v="0.35"/>
    <x v="14"/>
    <n v="4"/>
    <n v="79"/>
    <n v="83"/>
  </r>
  <r>
    <n v="898"/>
    <d v="2011-02-09T00:00:00"/>
    <x v="0"/>
    <x v="0"/>
    <x v="1"/>
    <d v="1900-02-05T09:00:00"/>
    <x v="0"/>
    <x v="6"/>
    <x v="1"/>
    <x v="3"/>
    <x v="4"/>
    <n v="0.86"/>
    <x v="6"/>
    <n v="0"/>
    <n v="83"/>
    <n v="83"/>
  </r>
  <r>
    <n v="13"/>
    <d v="2011-01-01T00:00:00"/>
    <x v="0"/>
    <x v="0"/>
    <x v="0"/>
    <d v="1899-12-30T12:00:00"/>
    <x v="0"/>
    <x v="0"/>
    <x v="0"/>
    <x v="14"/>
    <x v="17"/>
    <n v="0.77"/>
    <x v="7"/>
    <n v="29"/>
    <n v="55"/>
    <n v="84"/>
  </r>
  <r>
    <n v="127"/>
    <d v="2011-01-06T00:00:00"/>
    <x v="0"/>
    <x v="0"/>
    <x v="0"/>
    <d v="1900-01-04T06:00:00"/>
    <x v="0"/>
    <x v="4"/>
    <x v="0"/>
    <x v="9"/>
    <x v="0"/>
    <n v="0.35"/>
    <x v="0"/>
    <n v="6"/>
    <n v="78"/>
    <n v="84"/>
  </r>
  <r>
    <n v="145"/>
    <d v="2011-01-07T00:00:00"/>
    <x v="0"/>
    <x v="0"/>
    <x v="0"/>
    <d v="1900-01-05T00:00:00"/>
    <x v="0"/>
    <x v="5"/>
    <x v="0"/>
    <x v="4"/>
    <x v="6"/>
    <n v="0.69"/>
    <x v="4"/>
    <n v="8"/>
    <n v="76"/>
    <n v="84"/>
  </r>
  <r>
    <n v="343"/>
    <d v="2011-01-15T00:00:00"/>
    <x v="0"/>
    <x v="0"/>
    <x v="0"/>
    <d v="1900-01-13T06:00:00"/>
    <x v="0"/>
    <x v="0"/>
    <x v="1"/>
    <x v="22"/>
    <x v="0"/>
    <n v="0.45"/>
    <x v="10"/>
    <n v="15"/>
    <n v="69"/>
    <n v="84"/>
  </r>
  <r>
    <n v="444"/>
    <d v="2011-01-20T00:00:00"/>
    <x v="0"/>
    <x v="0"/>
    <x v="0"/>
    <d v="1900-01-17T11:00:00"/>
    <x v="0"/>
    <x v="4"/>
    <x v="1"/>
    <x v="22"/>
    <x v="21"/>
    <n v="0.42"/>
    <x v="0"/>
    <n v="7"/>
    <n v="77"/>
    <n v="84"/>
  </r>
  <r>
    <n v="492"/>
    <d v="2011-01-22T00:00:00"/>
    <x v="0"/>
    <x v="0"/>
    <x v="0"/>
    <d v="1900-01-19T11:00:00"/>
    <x v="0"/>
    <x v="0"/>
    <x v="0"/>
    <x v="6"/>
    <x v="14"/>
    <n v="0.35"/>
    <x v="0"/>
    <n v="12"/>
    <n v="72"/>
    <n v="84"/>
  </r>
  <r>
    <n v="532"/>
    <d v="2011-01-24T00:00:00"/>
    <x v="0"/>
    <x v="0"/>
    <x v="0"/>
    <d v="1900-01-21T03:00:00"/>
    <x v="0"/>
    <x v="2"/>
    <x v="0"/>
    <x v="12"/>
    <x v="8"/>
    <n v="0.48"/>
    <x v="0"/>
    <n v="5"/>
    <n v="79"/>
    <n v="84"/>
  </r>
  <r>
    <n v="563"/>
    <d v="2011-01-25T00:00:00"/>
    <x v="0"/>
    <x v="0"/>
    <x v="0"/>
    <d v="1900-01-22T10:00:00"/>
    <x v="0"/>
    <x v="3"/>
    <x v="1"/>
    <x v="18"/>
    <x v="27"/>
    <n v="0.42"/>
    <x v="0"/>
    <n v="21"/>
    <n v="63"/>
    <n v="84"/>
  </r>
  <r>
    <n v="589"/>
    <d v="2011-01-27T00:00:00"/>
    <x v="0"/>
    <x v="0"/>
    <x v="0"/>
    <d v="1900-01-23T12:00:00"/>
    <x v="0"/>
    <x v="4"/>
    <x v="0"/>
    <x v="10"/>
    <x v="19"/>
    <n v="0.55000000000000004"/>
    <x v="8"/>
    <n v="2"/>
    <n v="82"/>
    <n v="84"/>
  </r>
  <r>
    <n v="654"/>
    <d v="2011-01-30T00:00:00"/>
    <x v="0"/>
    <x v="0"/>
    <x v="0"/>
    <d v="1900-01-26T05:00:00"/>
    <x v="0"/>
    <x v="1"/>
    <x v="0"/>
    <x v="13"/>
    <x v="0"/>
    <n v="0.61"/>
    <x v="8"/>
    <n v="13"/>
    <n v="71"/>
    <n v="84"/>
  </r>
  <r>
    <n v="801"/>
    <d v="2011-02-05T00:00:00"/>
    <x v="0"/>
    <x v="0"/>
    <x v="1"/>
    <d v="1900-02-01T08:00:00"/>
    <x v="0"/>
    <x v="0"/>
    <x v="1"/>
    <x v="13"/>
    <x v="19"/>
    <n v="0.93"/>
    <x v="16"/>
    <n v="6"/>
    <n v="78"/>
    <n v="84"/>
  </r>
  <r>
    <n v="897"/>
    <d v="2011-02-09T00:00:00"/>
    <x v="0"/>
    <x v="0"/>
    <x v="1"/>
    <d v="1900-02-05T08:00:00"/>
    <x v="0"/>
    <x v="6"/>
    <x v="2"/>
    <x v="3"/>
    <x v="4"/>
    <n v="0.86"/>
    <x v="6"/>
    <n v="0"/>
    <n v="84"/>
    <n v="84"/>
  </r>
  <r>
    <n v="936"/>
    <d v="2011-02-11T00:00:00"/>
    <x v="0"/>
    <x v="0"/>
    <x v="1"/>
    <d v="1900-02-06T23:00:00"/>
    <x v="0"/>
    <x v="5"/>
    <x v="0"/>
    <x v="22"/>
    <x v="0"/>
    <n v="0.26"/>
    <x v="10"/>
    <n v="17"/>
    <n v="67"/>
    <n v="84"/>
  </r>
  <r>
    <n v="956"/>
    <d v="2011-02-12T00:00:00"/>
    <x v="0"/>
    <x v="0"/>
    <x v="1"/>
    <d v="1900-02-07T19:00:00"/>
    <x v="0"/>
    <x v="0"/>
    <x v="0"/>
    <x v="10"/>
    <x v="6"/>
    <n v="0.41"/>
    <x v="10"/>
    <n v="13"/>
    <n v="71"/>
    <n v="84"/>
  </r>
  <r>
    <n v="131"/>
    <d v="2011-01-06T00:00:00"/>
    <x v="0"/>
    <x v="0"/>
    <x v="0"/>
    <d v="1900-01-04T10:00:00"/>
    <x v="0"/>
    <x v="4"/>
    <x v="0"/>
    <x v="9"/>
    <x v="1"/>
    <n v="0.38"/>
    <x v="6"/>
    <n v="12"/>
    <n v="74"/>
    <n v="86"/>
  </r>
  <r>
    <n v="387"/>
    <d v="2011-01-17T00:00:00"/>
    <x v="0"/>
    <x v="0"/>
    <x v="0"/>
    <d v="1900-01-15T02:00:00"/>
    <x v="1"/>
    <x v="2"/>
    <x v="1"/>
    <x v="5"/>
    <x v="6"/>
    <n v="0.43"/>
    <x v="8"/>
    <n v="12"/>
    <n v="74"/>
    <n v="86"/>
  </r>
  <r>
    <n v="679"/>
    <d v="2011-01-31T00:00:00"/>
    <x v="0"/>
    <x v="0"/>
    <x v="0"/>
    <d v="1900-01-27T06:00:00"/>
    <x v="0"/>
    <x v="2"/>
    <x v="1"/>
    <x v="5"/>
    <x v="5"/>
    <n v="0.55000000000000004"/>
    <x v="4"/>
    <n v="1"/>
    <n v="85"/>
    <n v="86"/>
  </r>
  <r>
    <n v="681"/>
    <d v="2011-01-31T00:00:00"/>
    <x v="0"/>
    <x v="0"/>
    <x v="0"/>
    <d v="1900-01-27T08:00:00"/>
    <x v="0"/>
    <x v="2"/>
    <x v="1"/>
    <x v="2"/>
    <x v="15"/>
    <n v="0.56000000000000005"/>
    <x v="2"/>
    <n v="3"/>
    <n v="83"/>
    <n v="86"/>
  </r>
  <r>
    <n v="770"/>
    <d v="2011-02-04T00:00:00"/>
    <x v="0"/>
    <x v="0"/>
    <x v="1"/>
    <d v="1900-01-31T01:00:00"/>
    <x v="0"/>
    <x v="5"/>
    <x v="1"/>
    <x v="0"/>
    <x v="19"/>
    <n v="0.48"/>
    <x v="6"/>
    <n v="8"/>
    <n v="78"/>
    <n v="86"/>
  </r>
  <r>
    <n v="154"/>
    <d v="2011-01-07T00:00:00"/>
    <x v="0"/>
    <x v="0"/>
    <x v="0"/>
    <d v="1900-01-05T09:00:00"/>
    <x v="0"/>
    <x v="5"/>
    <x v="1"/>
    <x v="4"/>
    <x v="6"/>
    <n v="0.37"/>
    <x v="6"/>
    <n v="5"/>
    <n v="82"/>
    <n v="87"/>
  </r>
  <r>
    <n v="515"/>
    <d v="2011-01-23T00:00:00"/>
    <x v="0"/>
    <x v="0"/>
    <x v="0"/>
    <d v="1900-01-20T10:00:00"/>
    <x v="0"/>
    <x v="1"/>
    <x v="0"/>
    <x v="3"/>
    <x v="20"/>
    <n v="0.33"/>
    <x v="3"/>
    <n v="12"/>
    <n v="75"/>
    <n v="87"/>
  </r>
  <r>
    <n v="742"/>
    <d v="2011-02-03T00:00:00"/>
    <x v="0"/>
    <x v="0"/>
    <x v="1"/>
    <d v="1900-01-29T21:00:00"/>
    <x v="0"/>
    <x v="4"/>
    <x v="0"/>
    <x v="3"/>
    <x v="8"/>
    <n v="0.5"/>
    <x v="13"/>
    <n v="1"/>
    <n v="86"/>
    <n v="87"/>
  </r>
  <r>
    <n v="765"/>
    <d v="2011-02-04T00:00:00"/>
    <x v="0"/>
    <x v="0"/>
    <x v="1"/>
    <d v="1900-01-30T20:00:00"/>
    <x v="0"/>
    <x v="5"/>
    <x v="0"/>
    <x v="3"/>
    <x v="6"/>
    <n v="0.59"/>
    <x v="0"/>
    <n v="0"/>
    <n v="87"/>
    <n v="87"/>
  </r>
  <r>
    <n v="55"/>
    <d v="2011-01-03T00:00:00"/>
    <x v="0"/>
    <x v="0"/>
    <x v="0"/>
    <d v="1900-01-01T06:00:00"/>
    <x v="0"/>
    <x v="2"/>
    <x v="0"/>
    <x v="2"/>
    <x v="3"/>
    <n v="0.43"/>
    <x v="3"/>
    <n v="7"/>
    <n v="81"/>
    <n v="88"/>
  </r>
  <r>
    <n v="99"/>
    <d v="2011-01-05T00:00:00"/>
    <x v="0"/>
    <x v="0"/>
    <x v="0"/>
    <d v="1900-01-03T02:00:00"/>
    <x v="0"/>
    <x v="6"/>
    <x v="0"/>
    <x v="5"/>
    <x v="15"/>
    <n v="0.43"/>
    <x v="2"/>
    <n v="1"/>
    <n v="87"/>
    <n v="88"/>
  </r>
  <r>
    <n v="850"/>
    <d v="2011-02-07T00:00:00"/>
    <x v="0"/>
    <x v="0"/>
    <x v="1"/>
    <d v="1900-02-03T09:00:00"/>
    <x v="0"/>
    <x v="2"/>
    <x v="1"/>
    <x v="18"/>
    <x v="21"/>
    <n v="0.7"/>
    <x v="8"/>
    <n v="6"/>
    <n v="82"/>
    <n v="88"/>
  </r>
  <r>
    <n v="896"/>
    <d v="2011-02-09T00:00:00"/>
    <x v="0"/>
    <x v="0"/>
    <x v="1"/>
    <d v="1900-02-05T07:00:00"/>
    <x v="0"/>
    <x v="6"/>
    <x v="2"/>
    <x v="3"/>
    <x v="8"/>
    <n v="0.86"/>
    <x v="10"/>
    <n v="1"/>
    <n v="87"/>
    <n v="88"/>
  </r>
  <r>
    <n v="108"/>
    <d v="2011-01-05T00:00:00"/>
    <x v="0"/>
    <x v="0"/>
    <x v="0"/>
    <d v="1900-01-03T11:00:00"/>
    <x v="0"/>
    <x v="6"/>
    <x v="0"/>
    <x v="22"/>
    <x v="22"/>
    <n v="0.28000000000000003"/>
    <x v="1"/>
    <n v="4"/>
    <n v="85"/>
    <n v="89"/>
  </r>
  <r>
    <n v="112"/>
    <d v="2011-01-05T00:00:00"/>
    <x v="0"/>
    <x v="0"/>
    <x v="0"/>
    <d v="1900-01-03T15:00:00"/>
    <x v="0"/>
    <x v="6"/>
    <x v="0"/>
    <x v="10"/>
    <x v="9"/>
    <n v="0.47"/>
    <x v="6"/>
    <n v="7"/>
    <n v="82"/>
    <n v="89"/>
  </r>
  <r>
    <n v="337"/>
    <d v="2011-01-15T00:00:00"/>
    <x v="0"/>
    <x v="0"/>
    <x v="0"/>
    <d v="1900-01-13T00:00:00"/>
    <x v="0"/>
    <x v="0"/>
    <x v="0"/>
    <x v="0"/>
    <x v="9"/>
    <n v="0.48"/>
    <x v="5"/>
    <n v="15"/>
    <n v="74"/>
    <n v="89"/>
  </r>
  <r>
    <n v="614"/>
    <d v="2011-01-28T00:00:00"/>
    <x v="0"/>
    <x v="0"/>
    <x v="0"/>
    <d v="1900-01-24T13:00:00"/>
    <x v="0"/>
    <x v="5"/>
    <x v="1"/>
    <x v="0"/>
    <x v="19"/>
    <n v="0.75"/>
    <x v="4"/>
    <n v="5"/>
    <n v="84"/>
    <n v="89"/>
  </r>
  <r>
    <n v="816"/>
    <d v="2011-02-06T00:00:00"/>
    <x v="0"/>
    <x v="0"/>
    <x v="1"/>
    <d v="1900-02-01T23:00:00"/>
    <x v="0"/>
    <x v="1"/>
    <x v="0"/>
    <x v="22"/>
    <x v="0"/>
    <n v="0.52"/>
    <x v="10"/>
    <n v="15"/>
    <n v="74"/>
    <n v="89"/>
  </r>
  <r>
    <n v="317"/>
    <d v="2011-01-14T00:00:00"/>
    <x v="0"/>
    <x v="0"/>
    <x v="0"/>
    <d v="1900-01-12T04:00:00"/>
    <x v="0"/>
    <x v="5"/>
    <x v="0"/>
    <x v="10"/>
    <x v="19"/>
    <n v="0.41"/>
    <x v="8"/>
    <n v="3"/>
    <n v="87"/>
    <n v="90"/>
  </r>
  <r>
    <n v="415"/>
    <d v="2011-01-19T00:00:00"/>
    <x v="0"/>
    <x v="0"/>
    <x v="0"/>
    <d v="1900-01-16T06:00:00"/>
    <x v="0"/>
    <x v="6"/>
    <x v="1"/>
    <x v="0"/>
    <x v="1"/>
    <n v="0.92"/>
    <x v="8"/>
    <n v="1"/>
    <n v="89"/>
    <n v="90"/>
  </r>
  <r>
    <n v="773"/>
    <d v="2011-02-04T00:00:00"/>
    <x v="0"/>
    <x v="0"/>
    <x v="1"/>
    <d v="1900-01-31T04:00:00"/>
    <x v="0"/>
    <x v="5"/>
    <x v="1"/>
    <x v="13"/>
    <x v="16"/>
    <n v="0.48"/>
    <x v="10"/>
    <n v="9"/>
    <n v="81"/>
    <n v="90"/>
  </r>
  <r>
    <n v="363"/>
    <d v="2011-01-16T00:00:00"/>
    <x v="0"/>
    <x v="0"/>
    <x v="0"/>
    <d v="1900-01-14T02:00:00"/>
    <x v="0"/>
    <x v="1"/>
    <x v="0"/>
    <x v="13"/>
    <x v="16"/>
    <n v="0.36"/>
    <x v="10"/>
    <n v="22"/>
    <n v="69"/>
    <n v="91"/>
  </r>
  <r>
    <n v="448"/>
    <d v="2011-01-20T00:00:00"/>
    <x v="0"/>
    <x v="0"/>
    <x v="0"/>
    <d v="1900-01-17T15:00:00"/>
    <x v="0"/>
    <x v="4"/>
    <x v="1"/>
    <x v="22"/>
    <x v="23"/>
    <n v="0.49"/>
    <x v="4"/>
    <n v="8"/>
    <n v="83"/>
    <n v="91"/>
  </r>
  <r>
    <n v="635"/>
    <d v="2011-01-29T00:00:00"/>
    <x v="0"/>
    <x v="0"/>
    <x v="0"/>
    <d v="1900-01-25T10:00:00"/>
    <x v="0"/>
    <x v="0"/>
    <x v="0"/>
    <x v="0"/>
    <x v="0"/>
    <n v="0.6"/>
    <x v="0"/>
    <n v="9"/>
    <n v="82"/>
    <n v="91"/>
  </r>
  <r>
    <n v="731"/>
    <d v="2011-02-02T00:00:00"/>
    <x v="0"/>
    <x v="0"/>
    <x v="1"/>
    <d v="1900-01-29T10:00:00"/>
    <x v="0"/>
    <x v="6"/>
    <x v="0"/>
    <x v="13"/>
    <x v="19"/>
    <n v="0.45"/>
    <x v="19"/>
    <n v="3"/>
    <n v="88"/>
    <n v="91"/>
  </r>
  <r>
    <n v="772"/>
    <d v="2011-02-04T00:00:00"/>
    <x v="0"/>
    <x v="0"/>
    <x v="1"/>
    <d v="1900-01-31T03:00:00"/>
    <x v="0"/>
    <x v="5"/>
    <x v="1"/>
    <x v="13"/>
    <x v="16"/>
    <n v="0.45"/>
    <x v="6"/>
    <n v="15"/>
    <n v="76"/>
    <n v="91"/>
  </r>
  <r>
    <n v="202"/>
    <d v="2011-01-09T00:00:00"/>
    <x v="0"/>
    <x v="0"/>
    <x v="0"/>
    <d v="1900-01-07T09:00:00"/>
    <x v="0"/>
    <x v="1"/>
    <x v="0"/>
    <x v="4"/>
    <x v="14"/>
    <n v="0.34"/>
    <x v="16"/>
    <n v="13"/>
    <n v="79"/>
    <n v="92"/>
  </r>
  <r>
    <n v="320"/>
    <d v="2011-01-14T00:00:00"/>
    <x v="0"/>
    <x v="0"/>
    <x v="0"/>
    <d v="1900-01-12T07:00:00"/>
    <x v="0"/>
    <x v="5"/>
    <x v="0"/>
    <x v="2"/>
    <x v="5"/>
    <n v="0.59"/>
    <x v="1"/>
    <n v="3"/>
    <n v="89"/>
    <n v="92"/>
  </r>
  <r>
    <n v="391"/>
    <d v="2011-01-17T00:00:00"/>
    <x v="0"/>
    <x v="0"/>
    <x v="0"/>
    <d v="1900-01-15T06:00:00"/>
    <x v="1"/>
    <x v="2"/>
    <x v="1"/>
    <x v="5"/>
    <x v="14"/>
    <n v="0.55000000000000004"/>
    <x v="10"/>
    <n v="7"/>
    <n v="85"/>
    <n v="92"/>
  </r>
  <r>
    <n v="17"/>
    <d v="2011-01-01T00:00:00"/>
    <x v="0"/>
    <x v="0"/>
    <x v="0"/>
    <d v="1899-12-30T16:00:00"/>
    <x v="0"/>
    <x v="0"/>
    <x v="1"/>
    <x v="14"/>
    <x v="17"/>
    <n v="0.82"/>
    <x v="9"/>
    <n v="41"/>
    <n v="52"/>
    <n v="93"/>
  </r>
  <r>
    <n v="36"/>
    <d v="2011-01-02T00:00:00"/>
    <x v="0"/>
    <x v="0"/>
    <x v="0"/>
    <d v="1899-12-31T11:00:00"/>
    <x v="0"/>
    <x v="1"/>
    <x v="1"/>
    <x v="16"/>
    <x v="21"/>
    <n v="0.66"/>
    <x v="9"/>
    <n v="20"/>
    <n v="73"/>
    <n v="93"/>
  </r>
  <r>
    <n v="360"/>
    <d v="2011-01-16T00:00:00"/>
    <x v="0"/>
    <x v="0"/>
    <x v="0"/>
    <d v="1900-01-13T23:00:00"/>
    <x v="0"/>
    <x v="1"/>
    <x v="0"/>
    <x v="0"/>
    <x v="9"/>
    <n v="0.44"/>
    <x v="10"/>
    <n v="23"/>
    <n v="70"/>
    <n v="93"/>
  </r>
  <r>
    <n v="386"/>
    <d v="2011-01-17T00:00:00"/>
    <x v="0"/>
    <x v="0"/>
    <x v="0"/>
    <d v="1900-01-15T01:00:00"/>
    <x v="1"/>
    <x v="2"/>
    <x v="1"/>
    <x v="5"/>
    <x v="5"/>
    <n v="0.47"/>
    <x v="4"/>
    <n v="13"/>
    <n v="80"/>
    <n v="93"/>
  </r>
  <r>
    <n v="388"/>
    <d v="2011-01-17T00:00:00"/>
    <x v="0"/>
    <x v="0"/>
    <x v="0"/>
    <d v="1900-01-15T03:00:00"/>
    <x v="1"/>
    <x v="2"/>
    <x v="1"/>
    <x v="4"/>
    <x v="6"/>
    <n v="0.47"/>
    <x v="6"/>
    <n v="21"/>
    <n v="72"/>
    <n v="93"/>
  </r>
  <r>
    <n v="561"/>
    <d v="2011-01-25T00:00:00"/>
    <x v="0"/>
    <x v="0"/>
    <x v="0"/>
    <d v="1900-01-22T08:00:00"/>
    <x v="0"/>
    <x v="3"/>
    <x v="1"/>
    <x v="9"/>
    <x v="16"/>
    <n v="0.56000000000000005"/>
    <x v="4"/>
    <n v="21"/>
    <n v="72"/>
    <n v="93"/>
  </r>
  <r>
    <n v="14"/>
    <d v="2011-01-01T00:00:00"/>
    <x v="0"/>
    <x v="0"/>
    <x v="0"/>
    <d v="1899-12-30T13:00:00"/>
    <x v="0"/>
    <x v="0"/>
    <x v="1"/>
    <x v="19"/>
    <x v="25"/>
    <n v="0.72"/>
    <x v="9"/>
    <n v="47"/>
    <n v="47"/>
    <n v="94"/>
  </r>
  <r>
    <n v="76"/>
    <d v="2011-01-04T00:00:00"/>
    <x v="0"/>
    <x v="0"/>
    <x v="0"/>
    <d v="1900-01-02T03:00:00"/>
    <x v="0"/>
    <x v="3"/>
    <x v="0"/>
    <x v="8"/>
    <x v="4"/>
    <n v="0.74"/>
    <x v="4"/>
    <n v="2"/>
    <n v="92"/>
    <n v="94"/>
  </r>
  <r>
    <n v="219"/>
    <d v="2011-01-10T00:00:00"/>
    <x v="0"/>
    <x v="0"/>
    <x v="0"/>
    <d v="1900-01-08T02:00:00"/>
    <x v="0"/>
    <x v="2"/>
    <x v="1"/>
    <x v="3"/>
    <x v="8"/>
    <n v="0.5"/>
    <x v="10"/>
    <n v="2"/>
    <n v="92"/>
    <n v="94"/>
  </r>
  <r>
    <n v="122"/>
    <d v="2011-01-06T00:00:00"/>
    <x v="0"/>
    <x v="0"/>
    <x v="0"/>
    <d v="1900-01-04T01:00:00"/>
    <x v="0"/>
    <x v="4"/>
    <x v="1"/>
    <x v="2"/>
    <x v="9"/>
    <n v="0.59"/>
    <x v="0"/>
    <n v="0"/>
    <n v="95"/>
    <n v="95"/>
  </r>
  <r>
    <n v="157"/>
    <d v="2011-01-07T00:00:00"/>
    <x v="0"/>
    <x v="0"/>
    <x v="0"/>
    <d v="1900-01-05T12:00:00"/>
    <x v="0"/>
    <x v="5"/>
    <x v="0"/>
    <x v="2"/>
    <x v="5"/>
    <n v="0.55000000000000004"/>
    <x v="1"/>
    <n v="3"/>
    <n v="92"/>
    <n v="95"/>
  </r>
  <r>
    <n v="176"/>
    <d v="2011-01-08T00:00:00"/>
    <x v="0"/>
    <x v="0"/>
    <x v="0"/>
    <d v="1900-01-06T07:00:00"/>
    <x v="0"/>
    <x v="0"/>
    <x v="0"/>
    <x v="4"/>
    <x v="14"/>
    <n v="0.32"/>
    <x v="19"/>
    <n v="12"/>
    <n v="83"/>
    <n v="95"/>
  </r>
  <r>
    <n v="229"/>
    <d v="2011-01-10T00:00:00"/>
    <x v="0"/>
    <x v="0"/>
    <x v="0"/>
    <d v="1900-01-08T12:00:00"/>
    <x v="0"/>
    <x v="2"/>
    <x v="0"/>
    <x v="2"/>
    <x v="14"/>
    <n v="0.47"/>
    <x v="6"/>
    <n v="3"/>
    <n v="92"/>
    <n v="95"/>
  </r>
  <r>
    <n v="250"/>
    <d v="2011-01-11T00:00:00"/>
    <x v="0"/>
    <x v="0"/>
    <x v="0"/>
    <d v="1900-01-09T09:00:00"/>
    <x v="0"/>
    <x v="3"/>
    <x v="2"/>
    <x v="2"/>
    <x v="15"/>
    <n v="0.93"/>
    <x v="8"/>
    <n v="1"/>
    <n v="94"/>
    <n v="95"/>
  </r>
  <r>
    <n v="837"/>
    <d v="2011-02-07T00:00:00"/>
    <x v="0"/>
    <x v="0"/>
    <x v="1"/>
    <d v="1900-02-02T20:00:00"/>
    <x v="0"/>
    <x v="2"/>
    <x v="0"/>
    <x v="5"/>
    <x v="19"/>
    <n v="0.86"/>
    <x v="0"/>
    <n v="6"/>
    <n v="89"/>
    <n v="95"/>
  </r>
  <r>
    <n v="987"/>
    <d v="2011-02-13T00:00:00"/>
    <x v="0"/>
    <x v="0"/>
    <x v="1"/>
    <d v="1900-02-09T02:00:00"/>
    <x v="0"/>
    <x v="1"/>
    <x v="0"/>
    <x v="1"/>
    <x v="2"/>
    <n v="0.32"/>
    <x v="9"/>
    <n v="17"/>
    <n v="78"/>
    <n v="95"/>
  </r>
  <r>
    <n v="475"/>
    <d v="2011-01-21T00:00:00"/>
    <x v="0"/>
    <x v="0"/>
    <x v="0"/>
    <d v="1900-01-18T18:00:00"/>
    <x v="0"/>
    <x v="5"/>
    <x v="0"/>
    <x v="8"/>
    <x v="20"/>
    <n v="0.3"/>
    <x v="13"/>
    <n v="3"/>
    <n v="93"/>
    <n v="96"/>
  </r>
  <r>
    <n v="754"/>
    <d v="2011-02-03T00:00:00"/>
    <x v="0"/>
    <x v="0"/>
    <x v="1"/>
    <d v="1900-01-30T09:00:00"/>
    <x v="0"/>
    <x v="4"/>
    <x v="0"/>
    <x v="4"/>
    <x v="1"/>
    <n v="0.4"/>
    <x v="0"/>
    <n v="4"/>
    <n v="92"/>
    <n v="96"/>
  </r>
  <r>
    <n v="82"/>
    <d v="2011-01-04T00:00:00"/>
    <x v="0"/>
    <x v="0"/>
    <x v="0"/>
    <d v="1900-01-02T09:00:00"/>
    <x v="0"/>
    <x v="3"/>
    <x v="0"/>
    <x v="0"/>
    <x v="9"/>
    <n v="0.56000000000000005"/>
    <x v="2"/>
    <n v="18"/>
    <n v="79"/>
    <n v="97"/>
  </r>
  <r>
    <n v="472"/>
    <d v="2011-01-21T00:00:00"/>
    <x v="0"/>
    <x v="0"/>
    <x v="0"/>
    <d v="1900-01-18T15:00:00"/>
    <x v="0"/>
    <x v="5"/>
    <x v="0"/>
    <x v="2"/>
    <x v="3"/>
    <n v="0.26"/>
    <x v="12"/>
    <n v="0"/>
    <n v="97"/>
    <n v="97"/>
  </r>
  <r>
    <n v="653"/>
    <d v="2011-01-30T00:00:00"/>
    <x v="0"/>
    <x v="0"/>
    <x v="0"/>
    <d v="1900-01-26T04:00:00"/>
    <x v="0"/>
    <x v="1"/>
    <x v="0"/>
    <x v="22"/>
    <x v="22"/>
    <n v="0.52"/>
    <x v="8"/>
    <n v="10"/>
    <n v="87"/>
    <n v="97"/>
  </r>
  <r>
    <n v="920"/>
    <d v="2011-02-10T00:00:00"/>
    <x v="0"/>
    <x v="0"/>
    <x v="1"/>
    <d v="1900-02-06T07:00:00"/>
    <x v="0"/>
    <x v="4"/>
    <x v="0"/>
    <x v="3"/>
    <x v="15"/>
    <n v="0.31"/>
    <x v="1"/>
    <n v="4"/>
    <n v="93"/>
    <n v="97"/>
  </r>
  <r>
    <n v="174"/>
    <d v="2011-01-08T00:00:00"/>
    <x v="0"/>
    <x v="0"/>
    <x v="0"/>
    <d v="1900-01-06T05:00:00"/>
    <x v="0"/>
    <x v="0"/>
    <x v="1"/>
    <x v="4"/>
    <x v="15"/>
    <n v="0.59"/>
    <x v="12"/>
    <n v="8"/>
    <n v="90"/>
    <n v="98"/>
  </r>
  <r>
    <n v="445"/>
    <d v="2011-01-20T00:00:00"/>
    <x v="0"/>
    <x v="0"/>
    <x v="0"/>
    <d v="1900-01-17T12:00:00"/>
    <x v="0"/>
    <x v="4"/>
    <x v="1"/>
    <x v="13"/>
    <x v="0"/>
    <n v="0.45"/>
    <x v="8"/>
    <n v="12"/>
    <n v="86"/>
    <n v="98"/>
  </r>
  <r>
    <n v="1000"/>
    <d v="2011-02-14T00:00:00"/>
    <x v="0"/>
    <x v="0"/>
    <x v="1"/>
    <d v="1900-02-09T15:00:00"/>
    <x v="0"/>
    <x v="2"/>
    <x v="0"/>
    <x v="17"/>
    <x v="23"/>
    <n v="0.46"/>
    <x v="9"/>
    <n v="2"/>
    <n v="96"/>
    <n v="98"/>
  </r>
  <r>
    <n v="239"/>
    <d v="2011-01-11T00:00:00"/>
    <x v="0"/>
    <x v="0"/>
    <x v="0"/>
    <d v="1900-01-08T22:00:00"/>
    <x v="0"/>
    <x v="3"/>
    <x v="1"/>
    <x v="2"/>
    <x v="9"/>
    <n v="0.55000000000000004"/>
    <x v="0"/>
    <n v="2"/>
    <n v="97"/>
    <n v="99"/>
  </r>
  <r>
    <n v="297"/>
    <d v="2011-01-13T00:00:00"/>
    <x v="0"/>
    <x v="0"/>
    <x v="0"/>
    <d v="1900-01-11T08:00:00"/>
    <x v="0"/>
    <x v="4"/>
    <x v="0"/>
    <x v="2"/>
    <x v="4"/>
    <n v="0.47"/>
    <x v="10"/>
    <n v="1"/>
    <n v="98"/>
    <n v="99"/>
  </r>
  <r>
    <n v="365"/>
    <d v="2011-01-16T00:00:00"/>
    <x v="0"/>
    <x v="0"/>
    <x v="0"/>
    <d v="1900-01-14T04:00:00"/>
    <x v="0"/>
    <x v="1"/>
    <x v="0"/>
    <x v="0"/>
    <x v="9"/>
    <n v="0.38"/>
    <x v="5"/>
    <n v="22"/>
    <n v="77"/>
    <n v="99"/>
  </r>
  <r>
    <n v="404"/>
    <d v="2011-01-18T00:00:00"/>
    <x v="0"/>
    <x v="0"/>
    <x v="0"/>
    <d v="1900-01-15T19:00:00"/>
    <x v="0"/>
    <x v="3"/>
    <x v="1"/>
    <x v="10"/>
    <x v="9"/>
    <n v="0.8"/>
    <x v="4"/>
    <n v="1"/>
    <n v="98"/>
    <n v="99"/>
  </r>
  <r>
    <n v="513"/>
    <d v="2011-01-23T00:00:00"/>
    <x v="0"/>
    <x v="0"/>
    <x v="0"/>
    <d v="1900-01-20T08:00:00"/>
    <x v="0"/>
    <x v="1"/>
    <x v="0"/>
    <x v="3"/>
    <x v="3"/>
    <n v="0.43"/>
    <x v="5"/>
    <n v="22"/>
    <n v="77"/>
    <n v="99"/>
  </r>
  <r>
    <n v="632"/>
    <d v="2011-01-29T00:00:00"/>
    <x v="0"/>
    <x v="0"/>
    <x v="0"/>
    <d v="1900-01-25T07:00:00"/>
    <x v="0"/>
    <x v="0"/>
    <x v="1"/>
    <x v="10"/>
    <x v="9"/>
    <n v="0.6"/>
    <x v="4"/>
    <n v="10"/>
    <n v="89"/>
    <n v="99"/>
  </r>
  <r>
    <n v="774"/>
    <d v="2011-02-04T00:00:00"/>
    <x v="0"/>
    <x v="0"/>
    <x v="1"/>
    <d v="1900-01-31T05:00:00"/>
    <x v="0"/>
    <x v="5"/>
    <x v="1"/>
    <x v="22"/>
    <x v="0"/>
    <n v="0.42"/>
    <x v="5"/>
    <n v="8"/>
    <n v="91"/>
    <n v="99"/>
  </r>
  <r>
    <n v="884"/>
    <d v="2011-02-09T00:00:00"/>
    <x v="0"/>
    <x v="0"/>
    <x v="1"/>
    <d v="1900-02-04T19:00:00"/>
    <x v="0"/>
    <x v="6"/>
    <x v="0"/>
    <x v="15"/>
    <x v="20"/>
    <n v="0.49"/>
    <x v="8"/>
    <n v="4"/>
    <n v="95"/>
    <n v="99"/>
  </r>
  <r>
    <n v="907"/>
    <d v="2011-02-10T00:00:00"/>
    <x v="0"/>
    <x v="0"/>
    <x v="1"/>
    <d v="1900-02-05T18:00:00"/>
    <x v="0"/>
    <x v="4"/>
    <x v="0"/>
    <x v="7"/>
    <x v="10"/>
    <n v="0.5"/>
    <x v="11"/>
    <n v="0"/>
    <n v="99"/>
    <n v="99"/>
  </r>
  <r>
    <n v="78"/>
    <d v="2011-01-04T00:00:00"/>
    <x v="0"/>
    <x v="0"/>
    <x v="0"/>
    <d v="1900-01-02T05:00:00"/>
    <x v="0"/>
    <x v="3"/>
    <x v="0"/>
    <x v="2"/>
    <x v="4"/>
    <n v="0.64"/>
    <x v="5"/>
    <n v="2"/>
    <n v="98"/>
    <n v="100"/>
  </r>
  <r>
    <n v="861"/>
    <d v="2011-02-08T00:00:00"/>
    <x v="0"/>
    <x v="0"/>
    <x v="1"/>
    <d v="1900-02-03T20:00:00"/>
    <x v="0"/>
    <x v="3"/>
    <x v="0"/>
    <x v="0"/>
    <x v="5"/>
    <n v="0.65"/>
    <x v="11"/>
    <n v="3"/>
    <n v="97"/>
    <n v="100"/>
  </r>
  <r>
    <n v="338"/>
    <d v="2011-01-15T00:00:00"/>
    <x v="0"/>
    <x v="0"/>
    <x v="0"/>
    <d v="1900-01-13T01:00:00"/>
    <x v="0"/>
    <x v="0"/>
    <x v="0"/>
    <x v="13"/>
    <x v="1"/>
    <n v="0.38"/>
    <x v="9"/>
    <n v="21"/>
    <n v="80"/>
    <n v="101"/>
  </r>
  <r>
    <n v="439"/>
    <d v="2011-01-20T00:00:00"/>
    <x v="0"/>
    <x v="0"/>
    <x v="0"/>
    <d v="1900-01-17T06:00:00"/>
    <x v="0"/>
    <x v="4"/>
    <x v="0"/>
    <x v="10"/>
    <x v="6"/>
    <n v="0.55000000000000004"/>
    <x v="5"/>
    <n v="1"/>
    <n v="100"/>
    <n v="101"/>
  </r>
  <r>
    <n v="604"/>
    <d v="2011-01-28T00:00:00"/>
    <x v="0"/>
    <x v="0"/>
    <x v="0"/>
    <d v="1900-01-24T03:00:00"/>
    <x v="0"/>
    <x v="5"/>
    <x v="2"/>
    <x v="5"/>
    <x v="6"/>
    <n v="0.86"/>
    <x v="1"/>
    <n v="6"/>
    <n v="95"/>
    <n v="101"/>
  </r>
  <r>
    <n v="873"/>
    <d v="2011-02-08T00:00:00"/>
    <x v="0"/>
    <x v="0"/>
    <x v="1"/>
    <d v="1900-02-04T08:00:00"/>
    <x v="0"/>
    <x v="3"/>
    <x v="0"/>
    <x v="2"/>
    <x v="8"/>
    <n v="0.4"/>
    <x v="15"/>
    <n v="1"/>
    <n v="100"/>
    <n v="101"/>
  </r>
  <r>
    <n v="941"/>
    <d v="2011-02-11T00:00:00"/>
    <x v="0"/>
    <x v="0"/>
    <x v="1"/>
    <d v="1900-02-07T04:00:00"/>
    <x v="0"/>
    <x v="5"/>
    <x v="0"/>
    <x v="9"/>
    <x v="23"/>
    <n v="0.33"/>
    <x v="0"/>
    <n v="7"/>
    <n v="94"/>
    <n v="101"/>
  </r>
  <r>
    <n v="175"/>
    <d v="2011-01-08T00:00:00"/>
    <x v="0"/>
    <x v="0"/>
    <x v="0"/>
    <d v="1900-01-06T06:00:00"/>
    <x v="0"/>
    <x v="0"/>
    <x v="0"/>
    <x v="4"/>
    <x v="15"/>
    <n v="0.44"/>
    <x v="13"/>
    <n v="7"/>
    <n v="95"/>
    <n v="102"/>
  </r>
  <r>
    <n v="534"/>
    <d v="2011-01-24T00:00:00"/>
    <x v="0"/>
    <x v="0"/>
    <x v="0"/>
    <d v="1900-01-21T05:00:00"/>
    <x v="0"/>
    <x v="2"/>
    <x v="0"/>
    <x v="15"/>
    <x v="4"/>
    <n v="0.41"/>
    <x v="0"/>
    <n v="4"/>
    <n v="98"/>
    <n v="102"/>
  </r>
  <r>
    <n v="494"/>
    <d v="2011-01-22T00:00:00"/>
    <x v="0"/>
    <x v="0"/>
    <x v="0"/>
    <d v="1900-01-19T13:00:00"/>
    <x v="0"/>
    <x v="0"/>
    <x v="0"/>
    <x v="8"/>
    <x v="4"/>
    <n v="0.28000000000000003"/>
    <x v="0"/>
    <n v="10"/>
    <n v="93"/>
    <n v="103"/>
  </r>
  <r>
    <n v="728"/>
    <d v="2011-02-02T00:00:00"/>
    <x v="0"/>
    <x v="0"/>
    <x v="1"/>
    <d v="1900-01-29T07:00:00"/>
    <x v="0"/>
    <x v="6"/>
    <x v="0"/>
    <x v="16"/>
    <x v="21"/>
    <n v="0.71"/>
    <x v="9"/>
    <n v="8"/>
    <n v="95"/>
    <n v="103"/>
  </r>
  <r>
    <n v="777"/>
    <d v="2011-02-04T00:00:00"/>
    <x v="0"/>
    <x v="0"/>
    <x v="1"/>
    <d v="1900-01-31T08:00:00"/>
    <x v="0"/>
    <x v="5"/>
    <x v="1"/>
    <x v="0"/>
    <x v="19"/>
    <n v="0.65"/>
    <x v="4"/>
    <n v="1"/>
    <n v="102"/>
    <n v="103"/>
  </r>
  <r>
    <n v="361"/>
    <d v="2011-01-16T00:00:00"/>
    <x v="0"/>
    <x v="0"/>
    <x v="0"/>
    <d v="1900-01-14T00:00:00"/>
    <x v="0"/>
    <x v="1"/>
    <x v="0"/>
    <x v="0"/>
    <x v="6"/>
    <n v="0.41"/>
    <x v="7"/>
    <n v="29"/>
    <n v="75"/>
    <n v="104"/>
  </r>
  <r>
    <n v="424"/>
    <d v="2011-01-19T00:00:00"/>
    <x v="0"/>
    <x v="0"/>
    <x v="0"/>
    <d v="1900-01-16T15:00:00"/>
    <x v="0"/>
    <x v="6"/>
    <x v="0"/>
    <x v="20"/>
    <x v="26"/>
    <n v="0.57999999999999996"/>
    <x v="3"/>
    <n v="10"/>
    <n v="94"/>
    <n v="104"/>
  </r>
  <r>
    <n v="590"/>
    <d v="2011-01-27T00:00:00"/>
    <x v="0"/>
    <x v="0"/>
    <x v="0"/>
    <d v="1900-01-23T13:00:00"/>
    <x v="0"/>
    <x v="4"/>
    <x v="0"/>
    <x v="4"/>
    <x v="9"/>
    <n v="0.69"/>
    <x v="1"/>
    <n v="3"/>
    <n v="101"/>
    <n v="104"/>
  </r>
  <r>
    <n v="366"/>
    <d v="2011-01-16T00:00:00"/>
    <x v="0"/>
    <x v="0"/>
    <x v="0"/>
    <d v="1900-01-14T05:00:00"/>
    <x v="0"/>
    <x v="1"/>
    <x v="0"/>
    <x v="10"/>
    <x v="6"/>
    <n v="0.37"/>
    <x v="10"/>
    <n v="23"/>
    <n v="82"/>
    <n v="105"/>
  </r>
  <r>
    <n v="979"/>
    <d v="2011-02-13T00:00:00"/>
    <x v="0"/>
    <x v="0"/>
    <x v="1"/>
    <d v="1900-02-08T18:00:00"/>
    <x v="0"/>
    <x v="1"/>
    <x v="0"/>
    <x v="22"/>
    <x v="16"/>
    <n v="0.45"/>
    <x v="13"/>
    <n v="19"/>
    <n v="86"/>
    <n v="105"/>
  </r>
  <r>
    <n v="15"/>
    <d v="2011-01-01T00:00:00"/>
    <x v="0"/>
    <x v="0"/>
    <x v="0"/>
    <d v="1899-12-30T14:00:00"/>
    <x v="0"/>
    <x v="0"/>
    <x v="1"/>
    <x v="19"/>
    <x v="25"/>
    <n v="0.72"/>
    <x v="7"/>
    <n v="35"/>
    <n v="71"/>
    <n v="106"/>
  </r>
  <r>
    <n v="544"/>
    <d v="2011-01-24T00:00:00"/>
    <x v="0"/>
    <x v="0"/>
    <x v="0"/>
    <d v="1900-01-21T15:00:00"/>
    <x v="0"/>
    <x v="2"/>
    <x v="0"/>
    <x v="3"/>
    <x v="4"/>
    <n v="0.54"/>
    <x v="6"/>
    <n v="5"/>
    <n v="101"/>
    <n v="106"/>
  </r>
  <r>
    <n v="560"/>
    <d v="2011-01-25T00:00:00"/>
    <x v="0"/>
    <x v="0"/>
    <x v="0"/>
    <d v="1900-01-22T07:00:00"/>
    <x v="0"/>
    <x v="3"/>
    <x v="1"/>
    <x v="9"/>
    <x v="0"/>
    <n v="0.56000000000000005"/>
    <x v="1"/>
    <n v="21"/>
    <n v="85"/>
    <n v="106"/>
  </r>
  <r>
    <n v="634"/>
    <d v="2011-01-29T00:00:00"/>
    <x v="0"/>
    <x v="0"/>
    <x v="0"/>
    <d v="1900-01-25T09:00:00"/>
    <x v="0"/>
    <x v="0"/>
    <x v="0"/>
    <x v="0"/>
    <x v="19"/>
    <n v="0.6"/>
    <x v="6"/>
    <n v="19"/>
    <n v="88"/>
    <n v="107"/>
  </r>
  <r>
    <n v="555"/>
    <d v="2011-01-25T00:00:00"/>
    <x v="0"/>
    <x v="0"/>
    <x v="0"/>
    <d v="1900-01-22T02:00:00"/>
    <x v="0"/>
    <x v="3"/>
    <x v="0"/>
    <x v="2"/>
    <x v="4"/>
    <n v="0.74"/>
    <x v="5"/>
    <n v="5"/>
    <n v="103"/>
    <n v="108"/>
  </r>
  <r>
    <n v="707"/>
    <d v="2011-02-01T00:00:00"/>
    <x v="0"/>
    <x v="0"/>
    <x v="1"/>
    <d v="1900-01-28T10:00:00"/>
    <x v="0"/>
    <x v="3"/>
    <x v="1"/>
    <x v="0"/>
    <x v="19"/>
    <n v="0.81"/>
    <x v="4"/>
    <n v="3"/>
    <n v="105"/>
    <n v="108"/>
  </r>
  <r>
    <n v="417"/>
    <d v="2011-01-19T00:00:00"/>
    <x v="0"/>
    <x v="0"/>
    <x v="0"/>
    <d v="1900-01-16T08:00:00"/>
    <x v="0"/>
    <x v="6"/>
    <x v="1"/>
    <x v="0"/>
    <x v="1"/>
    <n v="0.93"/>
    <x v="8"/>
    <n v="2"/>
    <n v="107"/>
    <n v="109"/>
  </r>
  <r>
    <n v="613"/>
    <d v="2011-01-28T00:00:00"/>
    <x v="0"/>
    <x v="0"/>
    <x v="0"/>
    <d v="1900-01-24T12:00:00"/>
    <x v="0"/>
    <x v="5"/>
    <x v="0"/>
    <x v="0"/>
    <x v="9"/>
    <n v="0.75"/>
    <x v="2"/>
    <n v="2"/>
    <n v="107"/>
    <n v="109"/>
  </r>
  <r>
    <n v="656"/>
    <d v="2011-01-30T00:00:00"/>
    <x v="0"/>
    <x v="0"/>
    <x v="0"/>
    <d v="1900-01-26T07:00:00"/>
    <x v="0"/>
    <x v="1"/>
    <x v="0"/>
    <x v="22"/>
    <x v="21"/>
    <n v="0.56000000000000005"/>
    <x v="0"/>
    <n v="14"/>
    <n v="95"/>
    <n v="109"/>
  </r>
  <r>
    <n v="755"/>
    <d v="2011-02-03T00:00:00"/>
    <x v="0"/>
    <x v="0"/>
    <x v="1"/>
    <d v="1900-01-30T10:00:00"/>
    <x v="0"/>
    <x v="4"/>
    <x v="0"/>
    <x v="4"/>
    <x v="9"/>
    <n v="0.47"/>
    <x v="1"/>
    <n v="1"/>
    <n v="108"/>
    <n v="109"/>
  </r>
  <r>
    <n v="16"/>
    <d v="2011-01-01T00:00:00"/>
    <x v="0"/>
    <x v="0"/>
    <x v="0"/>
    <d v="1899-12-30T15:00:00"/>
    <x v="0"/>
    <x v="0"/>
    <x v="1"/>
    <x v="21"/>
    <x v="28"/>
    <n v="0.77"/>
    <x v="9"/>
    <n v="40"/>
    <n v="70"/>
    <n v="110"/>
  </r>
  <r>
    <n v="65"/>
    <d v="2011-01-03T00:00:00"/>
    <x v="0"/>
    <x v="0"/>
    <x v="0"/>
    <d v="1900-01-01T16:00:00"/>
    <x v="0"/>
    <x v="2"/>
    <x v="0"/>
    <x v="4"/>
    <x v="1"/>
    <n v="0.47"/>
    <x v="0"/>
    <n v="8"/>
    <n v="102"/>
    <n v="110"/>
  </r>
  <r>
    <n v="516"/>
    <d v="2011-01-23T00:00:00"/>
    <x v="0"/>
    <x v="0"/>
    <x v="0"/>
    <d v="1900-01-20T11:00:00"/>
    <x v="0"/>
    <x v="1"/>
    <x v="0"/>
    <x v="2"/>
    <x v="3"/>
    <n v="0.28000000000000003"/>
    <x v="12"/>
    <n v="17"/>
    <n v="93"/>
    <n v="110"/>
  </r>
  <r>
    <n v="935"/>
    <d v="2011-02-11T00:00:00"/>
    <x v="0"/>
    <x v="0"/>
    <x v="1"/>
    <d v="1900-02-06T22:00:00"/>
    <x v="0"/>
    <x v="5"/>
    <x v="0"/>
    <x v="0"/>
    <x v="9"/>
    <n v="0.35"/>
    <x v="2"/>
    <n v="21"/>
    <n v="89"/>
    <n v="110"/>
  </r>
  <r>
    <n v="684"/>
    <d v="2011-01-31T00:00:00"/>
    <x v="0"/>
    <x v="0"/>
    <x v="0"/>
    <d v="1900-01-27T11:00:00"/>
    <x v="0"/>
    <x v="2"/>
    <x v="0"/>
    <x v="22"/>
    <x v="22"/>
    <n v="0.61"/>
    <x v="8"/>
    <n v="3"/>
    <n v="108"/>
    <n v="111"/>
  </r>
  <r>
    <n v="88"/>
    <d v="2011-01-04T00:00:00"/>
    <x v="0"/>
    <x v="0"/>
    <x v="0"/>
    <d v="1900-01-02T15:00:00"/>
    <x v="0"/>
    <x v="3"/>
    <x v="0"/>
    <x v="0"/>
    <x v="1"/>
    <n v="0.48"/>
    <x v="8"/>
    <n v="2"/>
    <n v="110"/>
    <n v="112"/>
  </r>
  <r>
    <n v="134"/>
    <d v="2011-01-06T00:00:00"/>
    <x v="0"/>
    <x v="0"/>
    <x v="0"/>
    <d v="1900-01-04T13:00:00"/>
    <x v="0"/>
    <x v="4"/>
    <x v="0"/>
    <x v="10"/>
    <x v="1"/>
    <n v="0.55000000000000004"/>
    <x v="1"/>
    <n v="3"/>
    <n v="109"/>
    <n v="112"/>
  </r>
  <r>
    <n v="427"/>
    <d v="2011-01-19T00:00:00"/>
    <x v="0"/>
    <x v="0"/>
    <x v="0"/>
    <d v="1900-01-16T18:00:00"/>
    <x v="0"/>
    <x v="6"/>
    <x v="0"/>
    <x v="18"/>
    <x v="0"/>
    <n v="0.56999999999999995"/>
    <x v="11"/>
    <n v="4"/>
    <n v="108"/>
    <n v="112"/>
  </r>
  <r>
    <n v="674"/>
    <d v="2011-01-31T00:00:00"/>
    <x v="0"/>
    <x v="0"/>
    <x v="0"/>
    <d v="1900-01-27T01:00:00"/>
    <x v="0"/>
    <x v="2"/>
    <x v="1"/>
    <x v="2"/>
    <x v="3"/>
    <n v="0.59"/>
    <x v="9"/>
    <n v="0"/>
    <n v="112"/>
    <n v="112"/>
  </r>
  <r>
    <n v="919"/>
    <d v="2011-02-10T00:00:00"/>
    <x v="0"/>
    <x v="0"/>
    <x v="1"/>
    <d v="1900-02-06T06:00:00"/>
    <x v="0"/>
    <x v="4"/>
    <x v="0"/>
    <x v="3"/>
    <x v="14"/>
    <n v="0.28000000000000003"/>
    <x v="8"/>
    <n v="2"/>
    <n v="110"/>
    <n v="112"/>
  </r>
  <r>
    <n v="980"/>
    <d v="2011-02-13T00:00:00"/>
    <x v="0"/>
    <x v="0"/>
    <x v="1"/>
    <d v="1900-02-08T19:00:00"/>
    <x v="0"/>
    <x v="1"/>
    <x v="0"/>
    <x v="18"/>
    <x v="0"/>
    <n v="0.39"/>
    <x v="16"/>
    <n v="26"/>
    <n v="86"/>
    <n v="112"/>
  </r>
  <r>
    <n v="364"/>
    <d v="2011-01-16T00:00:00"/>
    <x v="0"/>
    <x v="0"/>
    <x v="0"/>
    <d v="1900-01-14T03:00:00"/>
    <x v="0"/>
    <x v="1"/>
    <x v="0"/>
    <x v="9"/>
    <x v="19"/>
    <n v="0.38"/>
    <x v="10"/>
    <n v="35"/>
    <n v="78"/>
    <n v="113"/>
  </r>
  <r>
    <n v="846"/>
    <d v="2011-02-07T00:00:00"/>
    <x v="0"/>
    <x v="0"/>
    <x v="1"/>
    <d v="1900-02-03T05:00:00"/>
    <x v="0"/>
    <x v="2"/>
    <x v="1"/>
    <x v="16"/>
    <x v="27"/>
    <n v="0.56999999999999995"/>
    <x v="4"/>
    <n v="16"/>
    <n v="98"/>
    <n v="114"/>
  </r>
  <r>
    <n v="957"/>
    <d v="2011-02-12T00:00:00"/>
    <x v="0"/>
    <x v="0"/>
    <x v="1"/>
    <d v="1900-02-07T20:00:00"/>
    <x v="0"/>
    <x v="0"/>
    <x v="0"/>
    <x v="22"/>
    <x v="16"/>
    <n v="0.28000000000000003"/>
    <x v="13"/>
    <n v="30"/>
    <n v="84"/>
    <n v="114"/>
  </r>
  <r>
    <n v="101"/>
    <d v="2011-01-05T00:00:00"/>
    <x v="0"/>
    <x v="0"/>
    <x v="0"/>
    <d v="1900-01-03T04:00:00"/>
    <x v="0"/>
    <x v="6"/>
    <x v="0"/>
    <x v="10"/>
    <x v="5"/>
    <n v="0.37"/>
    <x v="13"/>
    <n v="6"/>
    <n v="109"/>
    <n v="115"/>
  </r>
  <r>
    <n v="514"/>
    <d v="2011-01-23T00:00:00"/>
    <x v="0"/>
    <x v="0"/>
    <x v="0"/>
    <d v="1900-01-20T09:00:00"/>
    <x v="0"/>
    <x v="1"/>
    <x v="0"/>
    <x v="2"/>
    <x v="8"/>
    <n v="0.37"/>
    <x v="15"/>
    <n v="24"/>
    <n v="92"/>
    <n v="116"/>
  </r>
  <r>
    <n v="564"/>
    <d v="2011-01-25T00:00:00"/>
    <x v="0"/>
    <x v="0"/>
    <x v="0"/>
    <d v="1900-01-22T11:00:00"/>
    <x v="0"/>
    <x v="3"/>
    <x v="1"/>
    <x v="18"/>
    <x v="27"/>
    <n v="0.42"/>
    <x v="0"/>
    <n v="14"/>
    <n v="102"/>
    <n v="116"/>
  </r>
  <r>
    <n v="697"/>
    <d v="2011-02-01T00:00:00"/>
    <x v="0"/>
    <x v="0"/>
    <x v="1"/>
    <d v="1900-01-28T00:00:00"/>
    <x v="0"/>
    <x v="3"/>
    <x v="1"/>
    <x v="2"/>
    <x v="9"/>
    <n v="0.93"/>
    <x v="0"/>
    <n v="2"/>
    <n v="114"/>
    <n v="116"/>
  </r>
  <r>
    <n v="310"/>
    <d v="2011-01-14T00:00:00"/>
    <x v="0"/>
    <x v="0"/>
    <x v="0"/>
    <d v="1900-01-11T21:00:00"/>
    <x v="0"/>
    <x v="5"/>
    <x v="0"/>
    <x v="3"/>
    <x v="4"/>
    <n v="0.69"/>
    <x v="4"/>
    <n v="0"/>
    <n v="117"/>
    <n v="117"/>
  </r>
  <r>
    <n v="817"/>
    <d v="2011-02-06T00:00:00"/>
    <x v="0"/>
    <x v="0"/>
    <x v="1"/>
    <d v="1900-02-02T00:00:00"/>
    <x v="0"/>
    <x v="1"/>
    <x v="0"/>
    <x v="18"/>
    <x v="23"/>
    <n v="0.49"/>
    <x v="10"/>
    <n v="28"/>
    <n v="89"/>
    <n v="117"/>
  </r>
  <r>
    <n v="339"/>
    <d v="2011-01-15T00:00:00"/>
    <x v="0"/>
    <x v="0"/>
    <x v="0"/>
    <d v="1900-01-13T02:00:00"/>
    <x v="0"/>
    <x v="0"/>
    <x v="0"/>
    <x v="22"/>
    <x v="0"/>
    <n v="0.39"/>
    <x v="7"/>
    <n v="26"/>
    <n v="92"/>
    <n v="118"/>
  </r>
  <r>
    <n v="362"/>
    <d v="2011-01-16T00:00:00"/>
    <x v="0"/>
    <x v="0"/>
    <x v="0"/>
    <d v="1900-01-14T01:00:00"/>
    <x v="0"/>
    <x v="1"/>
    <x v="0"/>
    <x v="9"/>
    <x v="9"/>
    <n v="0.35"/>
    <x v="9"/>
    <n v="23"/>
    <n v="95"/>
    <n v="118"/>
  </r>
  <r>
    <n v="839"/>
    <d v="2011-02-07T00:00:00"/>
    <x v="0"/>
    <x v="0"/>
    <x v="1"/>
    <d v="1900-02-02T22:00:00"/>
    <x v="0"/>
    <x v="2"/>
    <x v="0"/>
    <x v="10"/>
    <x v="16"/>
    <n v="0.8"/>
    <x v="0"/>
    <n v="3"/>
    <n v="115"/>
    <n v="118"/>
  </r>
  <r>
    <n v="568"/>
    <d v="2011-01-25T00:00:00"/>
    <x v="0"/>
    <x v="0"/>
    <x v="0"/>
    <d v="1900-01-22T15:00:00"/>
    <x v="0"/>
    <x v="3"/>
    <x v="0"/>
    <x v="0"/>
    <x v="9"/>
    <n v="0.65"/>
    <x v="2"/>
    <n v="16"/>
    <n v="103"/>
    <n v="119"/>
  </r>
  <r>
    <n v="474"/>
    <d v="2011-01-21T00:00:00"/>
    <x v="0"/>
    <x v="0"/>
    <x v="0"/>
    <d v="1900-01-18T17:00:00"/>
    <x v="0"/>
    <x v="5"/>
    <x v="0"/>
    <x v="8"/>
    <x v="8"/>
    <n v="0.3"/>
    <x v="10"/>
    <n v="1"/>
    <n v="119"/>
    <n v="120"/>
  </r>
  <r>
    <n v="633"/>
    <d v="2011-01-29T00:00:00"/>
    <x v="0"/>
    <x v="0"/>
    <x v="0"/>
    <d v="1900-01-25T08:00:00"/>
    <x v="0"/>
    <x v="0"/>
    <x v="0"/>
    <x v="10"/>
    <x v="6"/>
    <n v="0.69"/>
    <x v="10"/>
    <n v="22"/>
    <n v="98"/>
    <n v="120"/>
  </r>
  <r>
    <n v="958"/>
    <d v="2011-02-12T00:00:00"/>
    <x v="0"/>
    <x v="0"/>
    <x v="1"/>
    <d v="1900-02-07T21:00:00"/>
    <x v="0"/>
    <x v="0"/>
    <x v="0"/>
    <x v="22"/>
    <x v="16"/>
    <n v="0.39"/>
    <x v="15"/>
    <n v="27"/>
    <n v="93"/>
    <n v="120"/>
  </r>
  <r>
    <n v="960"/>
    <d v="2011-02-12T00:00:00"/>
    <x v="0"/>
    <x v="0"/>
    <x v="1"/>
    <d v="1900-02-07T23:00:00"/>
    <x v="0"/>
    <x v="0"/>
    <x v="0"/>
    <x v="17"/>
    <x v="22"/>
    <n v="0.31"/>
    <x v="7"/>
    <n v="30"/>
    <n v="90"/>
    <n v="120"/>
  </r>
  <r>
    <n v="823"/>
    <d v="2011-02-06T00:00:00"/>
    <x v="0"/>
    <x v="0"/>
    <x v="1"/>
    <d v="1900-02-02T06:00:00"/>
    <x v="0"/>
    <x v="1"/>
    <x v="0"/>
    <x v="17"/>
    <x v="29"/>
    <n v="0.46"/>
    <x v="0"/>
    <n v="24"/>
    <n v="97"/>
    <n v="121"/>
  </r>
  <r>
    <n v="124"/>
    <d v="2011-01-06T00:00:00"/>
    <x v="0"/>
    <x v="0"/>
    <x v="0"/>
    <d v="1900-01-04T03:00:00"/>
    <x v="0"/>
    <x v="4"/>
    <x v="1"/>
    <x v="5"/>
    <x v="19"/>
    <n v="0.51"/>
    <x v="0"/>
    <n v="6"/>
    <n v="116"/>
    <n v="122"/>
  </r>
  <r>
    <n v="655"/>
    <d v="2011-01-30T00:00:00"/>
    <x v="0"/>
    <x v="0"/>
    <x v="0"/>
    <d v="1900-01-26T06:00:00"/>
    <x v="0"/>
    <x v="1"/>
    <x v="0"/>
    <x v="13"/>
    <x v="23"/>
    <n v="0.61"/>
    <x v="1"/>
    <n v="18"/>
    <n v="104"/>
    <n v="122"/>
  </r>
  <r>
    <n v="909"/>
    <d v="2011-02-10T00:00:00"/>
    <x v="0"/>
    <x v="0"/>
    <x v="1"/>
    <d v="1900-02-05T20:00:00"/>
    <x v="0"/>
    <x v="4"/>
    <x v="0"/>
    <x v="8"/>
    <x v="20"/>
    <n v="0.42"/>
    <x v="12"/>
    <n v="1"/>
    <n v="121"/>
    <n v="122"/>
  </r>
  <r>
    <n v="156"/>
    <d v="2011-01-07T00:00:00"/>
    <x v="0"/>
    <x v="0"/>
    <x v="0"/>
    <d v="1900-01-05T11:00:00"/>
    <x v="0"/>
    <x v="5"/>
    <x v="0"/>
    <x v="4"/>
    <x v="9"/>
    <n v="0.4"/>
    <x v="1"/>
    <n v="7"/>
    <n v="116"/>
    <n v="123"/>
  </r>
  <r>
    <n v="657"/>
    <d v="2011-01-30T00:00:00"/>
    <x v="0"/>
    <x v="0"/>
    <x v="0"/>
    <d v="1900-01-26T08:00:00"/>
    <x v="0"/>
    <x v="1"/>
    <x v="0"/>
    <x v="22"/>
    <x v="21"/>
    <n v="0.56000000000000005"/>
    <x v="0"/>
    <n v="19"/>
    <n v="104"/>
    <n v="123"/>
  </r>
  <r>
    <n v="721"/>
    <d v="2011-02-02T00:00:00"/>
    <x v="0"/>
    <x v="0"/>
    <x v="1"/>
    <d v="1900-01-29T00:00:00"/>
    <x v="0"/>
    <x v="6"/>
    <x v="1"/>
    <x v="0"/>
    <x v="1"/>
    <n v="0.93"/>
    <x v="1"/>
    <n v="4"/>
    <n v="119"/>
    <n v="123"/>
  </r>
  <r>
    <n v="886"/>
    <d v="2011-02-09T00:00:00"/>
    <x v="0"/>
    <x v="0"/>
    <x v="1"/>
    <d v="1900-02-04T21:00:00"/>
    <x v="0"/>
    <x v="6"/>
    <x v="0"/>
    <x v="8"/>
    <x v="3"/>
    <n v="0.39"/>
    <x v="6"/>
    <n v="4"/>
    <n v="119"/>
    <n v="123"/>
  </r>
  <r>
    <n v="402"/>
    <d v="2011-01-18T00:00:00"/>
    <x v="0"/>
    <x v="0"/>
    <x v="0"/>
    <d v="1900-01-15T17:00:00"/>
    <x v="0"/>
    <x v="3"/>
    <x v="1"/>
    <x v="10"/>
    <x v="9"/>
    <n v="0.82"/>
    <x v="2"/>
    <n v="1"/>
    <n v="124"/>
    <n v="125"/>
  </r>
  <r>
    <n v="938"/>
    <d v="2011-02-11T00:00:00"/>
    <x v="0"/>
    <x v="0"/>
    <x v="1"/>
    <d v="1900-02-07T01:00:00"/>
    <x v="0"/>
    <x v="5"/>
    <x v="0"/>
    <x v="22"/>
    <x v="0"/>
    <n v="0.28000000000000003"/>
    <x v="2"/>
    <n v="14"/>
    <n v="111"/>
    <n v="125"/>
  </r>
  <r>
    <n v="986"/>
    <d v="2011-02-13T00:00:00"/>
    <x v="0"/>
    <x v="0"/>
    <x v="1"/>
    <d v="1900-02-09T01:00:00"/>
    <x v="0"/>
    <x v="1"/>
    <x v="0"/>
    <x v="14"/>
    <x v="17"/>
    <n v="0.28000000000000003"/>
    <x v="13"/>
    <n v="30"/>
    <n v="95"/>
    <n v="125"/>
  </r>
  <r>
    <n v="452"/>
    <d v="2011-01-20T00:00:00"/>
    <x v="0"/>
    <x v="0"/>
    <x v="0"/>
    <d v="1900-01-17T19:00:00"/>
    <x v="0"/>
    <x v="4"/>
    <x v="1"/>
    <x v="9"/>
    <x v="19"/>
    <n v="0.6"/>
    <x v="7"/>
    <n v="2"/>
    <n v="124"/>
    <n v="126"/>
  </r>
  <r>
    <n v="767"/>
    <d v="2011-02-04T00:00:00"/>
    <x v="0"/>
    <x v="0"/>
    <x v="1"/>
    <d v="1900-01-30T22:00:00"/>
    <x v="0"/>
    <x v="5"/>
    <x v="1"/>
    <x v="2"/>
    <x v="15"/>
    <n v="0.8"/>
    <x v="4"/>
    <n v="3"/>
    <n v="124"/>
    <n v="127"/>
  </r>
  <r>
    <n v="262"/>
    <d v="2011-01-12T00:00:00"/>
    <x v="0"/>
    <x v="0"/>
    <x v="0"/>
    <d v="1900-01-09T21:00:00"/>
    <x v="0"/>
    <x v="6"/>
    <x v="0"/>
    <x v="2"/>
    <x v="14"/>
    <n v="0.59"/>
    <x v="6"/>
    <n v="3"/>
    <n v="125"/>
    <n v="128"/>
  </r>
  <r>
    <n v="341"/>
    <d v="2011-01-15T00:00:00"/>
    <x v="0"/>
    <x v="0"/>
    <x v="0"/>
    <d v="1900-01-13T04:00:00"/>
    <x v="0"/>
    <x v="0"/>
    <x v="1"/>
    <x v="17"/>
    <x v="21"/>
    <n v="0.34"/>
    <x v="2"/>
    <n v="33"/>
    <n v="95"/>
    <n v="128"/>
  </r>
  <r>
    <n v="849"/>
    <d v="2011-02-07T00:00:00"/>
    <x v="0"/>
    <x v="0"/>
    <x v="1"/>
    <d v="1900-02-03T08:00:00"/>
    <x v="0"/>
    <x v="2"/>
    <x v="1"/>
    <x v="18"/>
    <x v="27"/>
    <n v="0.7"/>
    <x v="0"/>
    <n v="5"/>
    <n v="123"/>
    <n v="128"/>
  </r>
  <r>
    <n v="340"/>
    <d v="2011-01-15T00:00:00"/>
    <x v="0"/>
    <x v="0"/>
    <x v="0"/>
    <d v="1900-01-13T03:00:00"/>
    <x v="0"/>
    <x v="0"/>
    <x v="1"/>
    <x v="18"/>
    <x v="22"/>
    <n v="0.36"/>
    <x v="2"/>
    <n v="21"/>
    <n v="108"/>
    <n v="129"/>
  </r>
  <r>
    <n v="241"/>
    <d v="2011-01-11T00:00:00"/>
    <x v="0"/>
    <x v="0"/>
    <x v="0"/>
    <d v="1900-01-09T00:00:00"/>
    <x v="0"/>
    <x v="3"/>
    <x v="1"/>
    <x v="5"/>
    <x v="5"/>
    <n v="0.51"/>
    <x v="6"/>
    <n v="3"/>
    <n v="127"/>
    <n v="130"/>
  </r>
  <r>
    <n v="111"/>
    <d v="2011-01-05T00:00:00"/>
    <x v="0"/>
    <x v="0"/>
    <x v="0"/>
    <d v="1900-01-03T14:00:00"/>
    <x v="0"/>
    <x v="6"/>
    <x v="0"/>
    <x v="0"/>
    <x v="1"/>
    <n v="0.38"/>
    <x v="8"/>
    <n v="5"/>
    <n v="127"/>
    <n v="132"/>
  </r>
  <r>
    <n v="403"/>
    <d v="2011-01-18T00:00:00"/>
    <x v="0"/>
    <x v="0"/>
    <x v="0"/>
    <d v="1900-01-15T18:00:00"/>
    <x v="0"/>
    <x v="3"/>
    <x v="1"/>
    <x v="10"/>
    <x v="9"/>
    <n v="0.8"/>
    <x v="6"/>
    <n v="1"/>
    <n v="132"/>
    <n v="133"/>
  </r>
  <r>
    <n v="744"/>
    <d v="2011-02-03T00:00:00"/>
    <x v="0"/>
    <x v="0"/>
    <x v="1"/>
    <d v="1900-01-29T23:00:00"/>
    <x v="0"/>
    <x v="4"/>
    <x v="0"/>
    <x v="2"/>
    <x v="3"/>
    <n v="0.47"/>
    <x v="9"/>
    <n v="6"/>
    <n v="127"/>
    <n v="133"/>
  </r>
  <r>
    <n v="147"/>
    <d v="2011-01-07T00:00:00"/>
    <x v="0"/>
    <x v="0"/>
    <x v="0"/>
    <d v="1900-01-05T02:00:00"/>
    <x v="0"/>
    <x v="5"/>
    <x v="0"/>
    <x v="4"/>
    <x v="15"/>
    <n v="0.47"/>
    <x v="9"/>
    <n v="9"/>
    <n v="125"/>
    <n v="134"/>
  </r>
  <r>
    <n v="985"/>
    <d v="2011-02-13T00:00:00"/>
    <x v="0"/>
    <x v="0"/>
    <x v="1"/>
    <d v="1900-02-09T00:00:00"/>
    <x v="0"/>
    <x v="1"/>
    <x v="1"/>
    <x v="14"/>
    <x v="17"/>
    <n v="0.28000000000000003"/>
    <x v="13"/>
    <n v="28"/>
    <n v="106"/>
    <n v="134"/>
  </r>
  <r>
    <n v="696"/>
    <d v="2011-02-01T00:00:00"/>
    <x v="0"/>
    <x v="0"/>
    <x v="1"/>
    <d v="1900-01-27T23:00:00"/>
    <x v="0"/>
    <x v="3"/>
    <x v="2"/>
    <x v="2"/>
    <x v="9"/>
    <n v="0.93"/>
    <x v="0"/>
    <n v="3"/>
    <n v="132"/>
    <n v="135"/>
  </r>
  <r>
    <n v="863"/>
    <d v="2011-02-08T00:00:00"/>
    <x v="0"/>
    <x v="0"/>
    <x v="1"/>
    <d v="1900-02-03T22:00:00"/>
    <x v="0"/>
    <x v="3"/>
    <x v="0"/>
    <x v="0"/>
    <x v="5"/>
    <n v="0.52"/>
    <x v="19"/>
    <n v="7"/>
    <n v="128"/>
    <n v="135"/>
  </r>
  <r>
    <n v="959"/>
    <d v="2011-02-12T00:00:00"/>
    <x v="0"/>
    <x v="0"/>
    <x v="1"/>
    <d v="1900-02-07T22:00:00"/>
    <x v="0"/>
    <x v="0"/>
    <x v="0"/>
    <x v="22"/>
    <x v="16"/>
    <n v="0.39"/>
    <x v="11"/>
    <n v="32"/>
    <n v="103"/>
    <n v="135"/>
  </r>
  <r>
    <n v="249"/>
    <d v="2011-01-11T00:00:00"/>
    <x v="0"/>
    <x v="0"/>
    <x v="0"/>
    <d v="1900-01-09T08:00:00"/>
    <x v="0"/>
    <x v="3"/>
    <x v="1"/>
    <x v="2"/>
    <x v="4"/>
    <n v="0.86"/>
    <x v="5"/>
    <n v="6"/>
    <n v="130"/>
    <n v="136"/>
  </r>
  <r>
    <n v="272"/>
    <d v="2011-01-12T00:00:00"/>
    <x v="0"/>
    <x v="0"/>
    <x v="0"/>
    <d v="1900-01-10T07:00:00"/>
    <x v="0"/>
    <x v="6"/>
    <x v="0"/>
    <x v="4"/>
    <x v="4"/>
    <n v="0.47"/>
    <x v="14"/>
    <n v="2"/>
    <n v="135"/>
    <n v="137"/>
  </r>
  <r>
    <n v="963"/>
    <d v="2011-02-12T00:00:00"/>
    <x v="0"/>
    <x v="0"/>
    <x v="1"/>
    <d v="1900-02-08T02:00:00"/>
    <x v="0"/>
    <x v="0"/>
    <x v="0"/>
    <x v="18"/>
    <x v="0"/>
    <n v="0.31"/>
    <x v="14"/>
    <n v="24"/>
    <n v="113"/>
    <n v="137"/>
  </r>
  <r>
    <n v="271"/>
    <d v="2011-01-12T00:00:00"/>
    <x v="0"/>
    <x v="0"/>
    <x v="0"/>
    <d v="1900-01-10T06:00:00"/>
    <x v="0"/>
    <x v="6"/>
    <x v="0"/>
    <x v="4"/>
    <x v="15"/>
    <n v="0.47"/>
    <x v="12"/>
    <n v="0"/>
    <n v="139"/>
    <n v="139"/>
  </r>
  <r>
    <n v="287"/>
    <d v="2011-01-13T00:00:00"/>
    <x v="0"/>
    <x v="0"/>
    <x v="0"/>
    <d v="1900-01-10T22:00:00"/>
    <x v="0"/>
    <x v="4"/>
    <x v="0"/>
    <x v="3"/>
    <x v="8"/>
    <n v="0.5"/>
    <x v="13"/>
    <n v="2"/>
    <n v="137"/>
    <n v="139"/>
  </r>
  <r>
    <n v="319"/>
    <d v="2011-01-14T00:00:00"/>
    <x v="0"/>
    <x v="0"/>
    <x v="0"/>
    <d v="1900-01-12T06:00:00"/>
    <x v="0"/>
    <x v="5"/>
    <x v="0"/>
    <x v="4"/>
    <x v="1"/>
    <n v="0.47"/>
    <x v="0"/>
    <n v="5"/>
    <n v="134"/>
    <n v="139"/>
  </r>
  <r>
    <n v="931"/>
    <d v="2011-02-11T00:00:00"/>
    <x v="0"/>
    <x v="0"/>
    <x v="1"/>
    <d v="1900-02-06T18:00:00"/>
    <x v="0"/>
    <x v="5"/>
    <x v="0"/>
    <x v="8"/>
    <x v="8"/>
    <n v="0.74"/>
    <x v="5"/>
    <n v="8"/>
    <n v="132"/>
    <n v="140"/>
  </r>
  <r>
    <n v="441"/>
    <d v="2011-01-20T00:00:00"/>
    <x v="0"/>
    <x v="0"/>
    <x v="0"/>
    <d v="1900-01-17T08:00:00"/>
    <x v="0"/>
    <x v="4"/>
    <x v="1"/>
    <x v="0"/>
    <x v="9"/>
    <n v="0.52"/>
    <x v="5"/>
    <n v="3"/>
    <n v="140"/>
    <n v="143"/>
  </r>
  <r>
    <n v="296"/>
    <d v="2011-01-13T00:00:00"/>
    <x v="0"/>
    <x v="0"/>
    <x v="0"/>
    <d v="1900-01-11T07:00:00"/>
    <x v="0"/>
    <x v="4"/>
    <x v="0"/>
    <x v="4"/>
    <x v="15"/>
    <n v="0.4"/>
    <x v="13"/>
    <n v="3"/>
    <n v="141"/>
    <n v="144"/>
  </r>
  <r>
    <n v="557"/>
    <d v="2011-01-25T00:00:00"/>
    <x v="0"/>
    <x v="0"/>
    <x v="0"/>
    <d v="1900-01-22T04:00:00"/>
    <x v="0"/>
    <x v="3"/>
    <x v="1"/>
    <x v="4"/>
    <x v="9"/>
    <n v="0.64"/>
    <x v="1"/>
    <n v="10"/>
    <n v="134"/>
    <n v="144"/>
  </r>
  <r>
    <n v="962"/>
    <d v="2011-02-12T00:00:00"/>
    <x v="0"/>
    <x v="0"/>
    <x v="1"/>
    <d v="1900-02-08T01:00:00"/>
    <x v="0"/>
    <x v="0"/>
    <x v="0"/>
    <x v="17"/>
    <x v="23"/>
    <n v="0.28999999999999998"/>
    <x v="11"/>
    <n v="42"/>
    <n v="103"/>
    <n v="145"/>
  </r>
  <r>
    <n v="567"/>
    <d v="2011-01-25T00:00:00"/>
    <x v="0"/>
    <x v="0"/>
    <x v="0"/>
    <d v="1900-01-22T14:00:00"/>
    <x v="0"/>
    <x v="3"/>
    <x v="1"/>
    <x v="9"/>
    <x v="1"/>
    <n v="0.65"/>
    <x v="6"/>
    <n v="13"/>
    <n v="133"/>
    <n v="146"/>
  </r>
  <r>
    <n v="753"/>
    <d v="2011-02-03T00:00:00"/>
    <x v="0"/>
    <x v="0"/>
    <x v="1"/>
    <d v="1900-01-30T08:00:00"/>
    <x v="0"/>
    <x v="4"/>
    <x v="0"/>
    <x v="4"/>
    <x v="6"/>
    <n v="0.4"/>
    <x v="6"/>
    <n v="2"/>
    <n v="145"/>
    <n v="147"/>
  </r>
  <r>
    <n v="612"/>
    <d v="2011-01-28T00:00:00"/>
    <x v="0"/>
    <x v="0"/>
    <x v="0"/>
    <d v="1900-01-24T11:00:00"/>
    <x v="0"/>
    <x v="5"/>
    <x v="0"/>
    <x v="0"/>
    <x v="19"/>
    <n v="0.75"/>
    <x v="4"/>
    <n v="2"/>
    <n v="147"/>
    <n v="149"/>
  </r>
  <r>
    <n v="451"/>
    <d v="2011-01-20T00:00:00"/>
    <x v="0"/>
    <x v="0"/>
    <x v="0"/>
    <d v="1900-01-17T18:00:00"/>
    <x v="0"/>
    <x v="4"/>
    <x v="0"/>
    <x v="9"/>
    <x v="9"/>
    <n v="0.56000000000000005"/>
    <x v="13"/>
    <n v="6"/>
    <n v="146"/>
    <n v="152"/>
  </r>
  <r>
    <n v="872"/>
    <d v="2011-02-08T00:00:00"/>
    <x v="0"/>
    <x v="0"/>
    <x v="1"/>
    <d v="1900-02-04T07:00:00"/>
    <x v="0"/>
    <x v="3"/>
    <x v="0"/>
    <x v="4"/>
    <x v="15"/>
    <n v="0.32"/>
    <x v="3"/>
    <n v="1"/>
    <n v="151"/>
    <n v="152"/>
  </r>
  <r>
    <n v="981"/>
    <d v="2011-02-13T00:00:00"/>
    <x v="0"/>
    <x v="0"/>
    <x v="1"/>
    <d v="1900-02-08T20:00:00"/>
    <x v="0"/>
    <x v="1"/>
    <x v="0"/>
    <x v="16"/>
    <x v="22"/>
    <n v="0.32"/>
    <x v="15"/>
    <n v="58"/>
    <n v="94"/>
    <n v="152"/>
  </r>
  <r>
    <n v="543"/>
    <d v="2011-01-24T00:00:00"/>
    <x v="0"/>
    <x v="0"/>
    <x v="0"/>
    <d v="1900-01-21T14:00:00"/>
    <x v="0"/>
    <x v="2"/>
    <x v="0"/>
    <x v="3"/>
    <x v="3"/>
    <n v="0.59"/>
    <x v="2"/>
    <n v="8"/>
    <n v="145"/>
    <n v="153"/>
  </r>
  <r>
    <n v="54"/>
    <d v="2011-01-03T00:00:00"/>
    <x v="0"/>
    <x v="0"/>
    <x v="0"/>
    <d v="1900-01-01T05:00:00"/>
    <x v="0"/>
    <x v="2"/>
    <x v="0"/>
    <x v="3"/>
    <x v="8"/>
    <n v="0.5"/>
    <x v="7"/>
    <n v="1"/>
    <n v="153"/>
    <n v="154"/>
  </r>
  <r>
    <n v="982"/>
    <d v="2011-02-13T00:00:00"/>
    <x v="0"/>
    <x v="0"/>
    <x v="1"/>
    <d v="1900-02-08T21:00:00"/>
    <x v="0"/>
    <x v="1"/>
    <x v="0"/>
    <x v="20"/>
    <x v="26"/>
    <n v="0.28999999999999998"/>
    <x v="12"/>
    <n v="62"/>
    <n v="92"/>
    <n v="154"/>
  </r>
  <r>
    <n v="228"/>
    <d v="2011-01-10T00:00:00"/>
    <x v="0"/>
    <x v="0"/>
    <x v="0"/>
    <d v="1900-01-08T11:00:00"/>
    <x v="0"/>
    <x v="2"/>
    <x v="0"/>
    <x v="4"/>
    <x v="5"/>
    <n v="0.4"/>
    <x v="5"/>
    <n v="1"/>
    <n v="154"/>
    <n v="155"/>
  </r>
  <r>
    <n v="720"/>
    <d v="2011-02-02T00:00:00"/>
    <x v="0"/>
    <x v="0"/>
    <x v="1"/>
    <d v="1900-01-28T23:00:00"/>
    <x v="0"/>
    <x v="6"/>
    <x v="2"/>
    <x v="10"/>
    <x v="6"/>
    <n v="0.93"/>
    <x v="5"/>
    <n v="1"/>
    <n v="154"/>
    <n v="155"/>
  </r>
  <r>
    <n v="776"/>
    <d v="2011-02-04T00:00:00"/>
    <x v="0"/>
    <x v="0"/>
    <x v="1"/>
    <d v="1900-01-31T07:00:00"/>
    <x v="0"/>
    <x v="5"/>
    <x v="1"/>
    <x v="0"/>
    <x v="1"/>
    <n v="0.6"/>
    <x v="8"/>
    <n v="3"/>
    <n v="152"/>
    <n v="155"/>
  </r>
  <r>
    <n v="683"/>
    <d v="2011-01-31T00:00:00"/>
    <x v="0"/>
    <x v="0"/>
    <x v="0"/>
    <d v="1900-01-27T10:00:00"/>
    <x v="0"/>
    <x v="2"/>
    <x v="1"/>
    <x v="2"/>
    <x v="4"/>
    <n v="0.55000000000000004"/>
    <x v="5"/>
    <n v="3"/>
    <n v="153"/>
    <n v="156"/>
  </r>
  <r>
    <n v="63"/>
    <d v="2011-01-03T00:00:00"/>
    <x v="0"/>
    <x v="0"/>
    <x v="0"/>
    <d v="1900-01-01T14:00:00"/>
    <x v="0"/>
    <x v="2"/>
    <x v="0"/>
    <x v="0"/>
    <x v="9"/>
    <n v="0.3"/>
    <x v="5"/>
    <n v="11"/>
    <n v="146"/>
    <n v="157"/>
  </r>
  <r>
    <n v="64"/>
    <d v="2011-01-03T00:00:00"/>
    <x v="0"/>
    <x v="0"/>
    <x v="0"/>
    <d v="1900-01-01T15:00:00"/>
    <x v="0"/>
    <x v="2"/>
    <x v="0"/>
    <x v="0"/>
    <x v="1"/>
    <n v="0.32"/>
    <x v="8"/>
    <n v="9"/>
    <n v="148"/>
    <n v="157"/>
  </r>
  <r>
    <n v="603"/>
    <d v="2011-01-28T00:00:00"/>
    <x v="0"/>
    <x v="0"/>
    <x v="0"/>
    <d v="1900-01-24T02:00:00"/>
    <x v="0"/>
    <x v="5"/>
    <x v="1"/>
    <x v="2"/>
    <x v="5"/>
    <n v="0.86"/>
    <x v="1"/>
    <n v="2"/>
    <n v="155"/>
    <n v="157"/>
  </r>
  <r>
    <n v="822"/>
    <d v="2011-02-06T00:00:00"/>
    <x v="0"/>
    <x v="0"/>
    <x v="1"/>
    <d v="1900-02-02T05:00:00"/>
    <x v="0"/>
    <x v="1"/>
    <x v="0"/>
    <x v="17"/>
    <x v="27"/>
    <n v="0.49"/>
    <x v="8"/>
    <n v="42"/>
    <n v="115"/>
    <n v="157"/>
  </r>
  <r>
    <n v="309"/>
    <d v="2011-01-14T00:00:00"/>
    <x v="0"/>
    <x v="0"/>
    <x v="0"/>
    <d v="1900-01-11T20:00:00"/>
    <x v="0"/>
    <x v="5"/>
    <x v="0"/>
    <x v="8"/>
    <x v="14"/>
    <n v="0.68"/>
    <x v="0"/>
    <n v="2"/>
    <n v="156"/>
    <n v="158"/>
  </r>
  <r>
    <n v="318"/>
    <d v="2011-01-14T00:00:00"/>
    <x v="0"/>
    <x v="0"/>
    <x v="0"/>
    <d v="1900-01-12T05:00:00"/>
    <x v="0"/>
    <x v="5"/>
    <x v="0"/>
    <x v="10"/>
    <x v="9"/>
    <n v="0.41"/>
    <x v="6"/>
    <n v="4"/>
    <n v="155"/>
    <n v="159"/>
  </r>
  <r>
    <n v="918"/>
    <d v="2011-02-10T00:00:00"/>
    <x v="0"/>
    <x v="0"/>
    <x v="1"/>
    <d v="1900-02-06T05:00:00"/>
    <x v="0"/>
    <x v="4"/>
    <x v="0"/>
    <x v="2"/>
    <x v="15"/>
    <n v="0.28000000000000003"/>
    <x v="4"/>
    <n v="3"/>
    <n v="157"/>
    <n v="160"/>
  </r>
  <r>
    <n v="426"/>
    <d v="2011-01-19T00:00:00"/>
    <x v="0"/>
    <x v="0"/>
    <x v="0"/>
    <d v="1900-01-16T17:00:00"/>
    <x v="0"/>
    <x v="6"/>
    <x v="0"/>
    <x v="17"/>
    <x v="22"/>
    <n v="0.61"/>
    <x v="7"/>
    <n v="5"/>
    <n v="156"/>
    <n v="161"/>
  </r>
  <r>
    <n v="473"/>
    <d v="2011-01-21T00:00:00"/>
    <x v="0"/>
    <x v="0"/>
    <x v="0"/>
    <d v="1900-01-18T16:00:00"/>
    <x v="0"/>
    <x v="5"/>
    <x v="0"/>
    <x v="3"/>
    <x v="8"/>
    <n v="0.28000000000000003"/>
    <x v="12"/>
    <n v="10"/>
    <n v="151"/>
    <n v="161"/>
  </r>
  <r>
    <n v="682"/>
    <d v="2011-01-31T00:00:00"/>
    <x v="0"/>
    <x v="0"/>
    <x v="0"/>
    <d v="1900-01-27T09:00:00"/>
    <x v="0"/>
    <x v="2"/>
    <x v="1"/>
    <x v="2"/>
    <x v="4"/>
    <n v="0.59"/>
    <x v="2"/>
    <n v="6"/>
    <n v="155"/>
    <n v="161"/>
  </r>
  <r>
    <n v="820"/>
    <d v="2011-02-06T00:00:00"/>
    <x v="0"/>
    <x v="0"/>
    <x v="1"/>
    <d v="1900-02-02T03:00:00"/>
    <x v="0"/>
    <x v="1"/>
    <x v="0"/>
    <x v="17"/>
    <x v="27"/>
    <n v="0.46"/>
    <x v="1"/>
    <n v="47"/>
    <n v="114"/>
    <n v="161"/>
  </r>
  <r>
    <n v="983"/>
    <d v="2011-02-13T00:00:00"/>
    <x v="0"/>
    <x v="0"/>
    <x v="1"/>
    <d v="1900-02-08T22:00:00"/>
    <x v="0"/>
    <x v="1"/>
    <x v="1"/>
    <x v="1"/>
    <x v="2"/>
    <n v="0.3"/>
    <x v="11"/>
    <n v="51"/>
    <n v="110"/>
    <n v="161"/>
  </r>
  <r>
    <n v="295"/>
    <d v="2011-01-13T00:00:00"/>
    <x v="0"/>
    <x v="0"/>
    <x v="0"/>
    <d v="1900-01-11T06:00:00"/>
    <x v="0"/>
    <x v="4"/>
    <x v="0"/>
    <x v="4"/>
    <x v="15"/>
    <n v="0.4"/>
    <x v="7"/>
    <n v="4"/>
    <n v="158"/>
    <n v="162"/>
  </r>
  <r>
    <n v="984"/>
    <d v="2011-02-13T00:00:00"/>
    <x v="0"/>
    <x v="0"/>
    <x v="1"/>
    <d v="1900-02-08T23:00:00"/>
    <x v="0"/>
    <x v="1"/>
    <x v="1"/>
    <x v="1"/>
    <x v="2"/>
    <n v="0.3"/>
    <x v="9"/>
    <n v="40"/>
    <n v="122"/>
    <n v="162"/>
  </r>
  <r>
    <n v="133"/>
    <d v="2011-01-06T00:00:00"/>
    <x v="0"/>
    <x v="0"/>
    <x v="0"/>
    <d v="1900-01-04T12:00:00"/>
    <x v="0"/>
    <x v="4"/>
    <x v="0"/>
    <x v="10"/>
    <x v="9"/>
    <n v="0.51"/>
    <x v="4"/>
    <n v="5"/>
    <n v="158"/>
    <n v="163"/>
  </r>
  <r>
    <n v="917"/>
    <d v="2011-02-10T00:00:00"/>
    <x v="0"/>
    <x v="0"/>
    <x v="1"/>
    <d v="1900-02-06T04:00:00"/>
    <x v="0"/>
    <x v="4"/>
    <x v="0"/>
    <x v="5"/>
    <x v="15"/>
    <n v="0.26"/>
    <x v="2"/>
    <n v="6"/>
    <n v="159"/>
    <n v="165"/>
  </r>
  <r>
    <n v="465"/>
    <d v="2011-01-21T00:00:00"/>
    <x v="0"/>
    <x v="0"/>
    <x v="0"/>
    <d v="1900-01-18T08:00:00"/>
    <x v="0"/>
    <x v="5"/>
    <x v="0"/>
    <x v="4"/>
    <x v="15"/>
    <n v="0.51"/>
    <x v="12"/>
    <n v="7"/>
    <n v="159"/>
    <n v="166"/>
  </r>
  <r>
    <n v="894"/>
    <d v="2011-02-09T00:00:00"/>
    <x v="0"/>
    <x v="0"/>
    <x v="1"/>
    <d v="1900-02-05T05:00:00"/>
    <x v="0"/>
    <x v="6"/>
    <x v="1"/>
    <x v="4"/>
    <x v="5"/>
    <n v="0.34"/>
    <x v="10"/>
    <n v="9"/>
    <n v="157"/>
    <n v="166"/>
  </r>
  <r>
    <n v="706"/>
    <d v="2011-02-01T00:00:00"/>
    <x v="0"/>
    <x v="0"/>
    <x v="1"/>
    <d v="1900-01-28T09:00:00"/>
    <x v="0"/>
    <x v="3"/>
    <x v="1"/>
    <x v="0"/>
    <x v="1"/>
    <n v="0.81"/>
    <x v="8"/>
    <n v="3"/>
    <n v="165"/>
    <n v="168"/>
  </r>
  <r>
    <n v="110"/>
    <d v="2011-01-05T00:00:00"/>
    <x v="0"/>
    <x v="0"/>
    <x v="0"/>
    <d v="1900-01-03T13:00:00"/>
    <x v="0"/>
    <x v="6"/>
    <x v="0"/>
    <x v="0"/>
    <x v="19"/>
    <n v="0.38"/>
    <x v="4"/>
    <n v="3"/>
    <n v="166"/>
    <n v="169"/>
  </r>
  <r>
    <n v="895"/>
    <d v="2011-02-09T00:00:00"/>
    <x v="0"/>
    <x v="0"/>
    <x v="1"/>
    <d v="1900-02-05T06:00:00"/>
    <x v="0"/>
    <x v="6"/>
    <x v="1"/>
    <x v="5"/>
    <x v="14"/>
    <n v="0.47"/>
    <x v="9"/>
    <n v="2"/>
    <n v="168"/>
    <n v="170"/>
  </r>
  <r>
    <n v="132"/>
    <d v="2011-01-06T00:00:00"/>
    <x v="0"/>
    <x v="0"/>
    <x v="0"/>
    <d v="1900-01-04T11:00:00"/>
    <x v="0"/>
    <x v="4"/>
    <x v="0"/>
    <x v="10"/>
    <x v="9"/>
    <n v="0.51"/>
    <x v="6"/>
    <n v="9"/>
    <n v="163"/>
    <n v="172"/>
  </r>
  <r>
    <n v="818"/>
    <d v="2011-02-06T00:00:00"/>
    <x v="0"/>
    <x v="0"/>
    <x v="1"/>
    <d v="1900-02-02T01:00:00"/>
    <x v="0"/>
    <x v="1"/>
    <x v="0"/>
    <x v="17"/>
    <x v="21"/>
    <n v="0.46"/>
    <x v="0"/>
    <n v="48"/>
    <n v="126"/>
    <n v="174"/>
  </r>
  <r>
    <n v="940"/>
    <d v="2011-02-11T00:00:00"/>
    <x v="0"/>
    <x v="0"/>
    <x v="1"/>
    <d v="1900-02-07T03:00:00"/>
    <x v="0"/>
    <x v="5"/>
    <x v="0"/>
    <x v="13"/>
    <x v="22"/>
    <n v="0.28000000000000003"/>
    <x v="0"/>
    <n v="9"/>
    <n v="165"/>
    <n v="174"/>
  </r>
  <r>
    <n v="961"/>
    <d v="2011-02-12T00:00:00"/>
    <x v="0"/>
    <x v="0"/>
    <x v="1"/>
    <d v="1900-02-08T00:00:00"/>
    <x v="0"/>
    <x v="0"/>
    <x v="0"/>
    <x v="17"/>
    <x v="23"/>
    <n v="0.28999999999999998"/>
    <x v="11"/>
    <n v="47"/>
    <n v="127"/>
    <n v="174"/>
  </r>
  <r>
    <n v="752"/>
    <d v="2011-02-03T00:00:00"/>
    <x v="0"/>
    <x v="0"/>
    <x v="1"/>
    <d v="1900-01-30T07:00:00"/>
    <x v="0"/>
    <x v="4"/>
    <x v="0"/>
    <x v="4"/>
    <x v="5"/>
    <n v="0.4"/>
    <x v="2"/>
    <n v="5"/>
    <n v="170"/>
    <n v="175"/>
  </r>
  <r>
    <n v="848"/>
    <d v="2011-02-07T00:00:00"/>
    <x v="0"/>
    <x v="0"/>
    <x v="1"/>
    <d v="1900-02-03T07:00:00"/>
    <x v="0"/>
    <x v="2"/>
    <x v="1"/>
    <x v="17"/>
    <x v="21"/>
    <n v="0.66"/>
    <x v="4"/>
    <n v="5"/>
    <n v="170"/>
    <n v="175"/>
  </r>
  <r>
    <n v="705"/>
    <d v="2011-02-01T00:00:00"/>
    <x v="0"/>
    <x v="0"/>
    <x v="1"/>
    <d v="1900-01-28T08:00:00"/>
    <x v="0"/>
    <x v="3"/>
    <x v="1"/>
    <x v="0"/>
    <x v="0"/>
    <n v="0.75"/>
    <x v="0"/>
    <n v="4"/>
    <n v="172"/>
    <n v="176"/>
  </r>
  <r>
    <n v="871"/>
    <d v="2011-02-08T00:00:00"/>
    <x v="0"/>
    <x v="0"/>
    <x v="1"/>
    <d v="1900-02-04T06:00:00"/>
    <x v="0"/>
    <x v="3"/>
    <x v="0"/>
    <x v="10"/>
    <x v="15"/>
    <n v="0.32"/>
    <x v="18"/>
    <n v="4"/>
    <n v="172"/>
    <n v="176"/>
  </r>
  <r>
    <n v="533"/>
    <d v="2011-01-24T00:00:00"/>
    <x v="0"/>
    <x v="0"/>
    <x v="0"/>
    <d v="1900-01-21T04:00:00"/>
    <x v="0"/>
    <x v="2"/>
    <x v="0"/>
    <x v="11"/>
    <x v="3"/>
    <n v="0.49"/>
    <x v="0"/>
    <n v="6"/>
    <n v="171"/>
    <n v="177"/>
  </r>
  <r>
    <n v="227"/>
    <d v="2011-01-10T00:00:00"/>
    <x v="0"/>
    <x v="0"/>
    <x v="0"/>
    <d v="1900-01-08T10:00:00"/>
    <x v="0"/>
    <x v="2"/>
    <x v="0"/>
    <x v="4"/>
    <x v="9"/>
    <n v="0.4"/>
    <x v="8"/>
    <n v="4"/>
    <n v="174"/>
    <n v="178"/>
  </r>
  <r>
    <n v="908"/>
    <d v="2011-02-10T00:00:00"/>
    <x v="0"/>
    <x v="0"/>
    <x v="1"/>
    <d v="1900-02-05T19:00:00"/>
    <x v="0"/>
    <x v="4"/>
    <x v="0"/>
    <x v="7"/>
    <x v="10"/>
    <n v="0.49"/>
    <x v="13"/>
    <n v="5"/>
    <n v="173"/>
    <n v="178"/>
  </r>
  <r>
    <n v="77"/>
    <d v="2011-01-04T00:00:00"/>
    <x v="0"/>
    <x v="0"/>
    <x v="0"/>
    <d v="1900-01-02T04:00:00"/>
    <x v="0"/>
    <x v="3"/>
    <x v="0"/>
    <x v="3"/>
    <x v="4"/>
    <n v="0.69"/>
    <x v="6"/>
    <n v="2"/>
    <n v="177"/>
    <n v="179"/>
  </r>
  <r>
    <n v="87"/>
    <d v="2011-01-04T00:00:00"/>
    <x v="0"/>
    <x v="0"/>
    <x v="0"/>
    <d v="1900-01-02T14:00:00"/>
    <x v="0"/>
    <x v="3"/>
    <x v="0"/>
    <x v="9"/>
    <x v="1"/>
    <n v="0.48"/>
    <x v="2"/>
    <n v="3"/>
    <n v="179"/>
    <n v="182"/>
  </r>
  <r>
    <n v="730"/>
    <d v="2011-02-02T00:00:00"/>
    <x v="0"/>
    <x v="0"/>
    <x v="1"/>
    <d v="1900-01-29T09:00:00"/>
    <x v="0"/>
    <x v="6"/>
    <x v="0"/>
    <x v="17"/>
    <x v="0"/>
    <n v="0.42"/>
    <x v="17"/>
    <n v="7"/>
    <n v="175"/>
    <n v="182"/>
  </r>
  <r>
    <n v="819"/>
    <d v="2011-02-06T00:00:00"/>
    <x v="0"/>
    <x v="0"/>
    <x v="1"/>
    <d v="1900-02-02T02:00:00"/>
    <x v="0"/>
    <x v="1"/>
    <x v="0"/>
    <x v="17"/>
    <x v="29"/>
    <n v="0.46"/>
    <x v="0"/>
    <n v="47"/>
    <n v="135"/>
    <n v="182"/>
  </r>
  <r>
    <n v="821"/>
    <d v="2011-02-06T00:00:00"/>
    <x v="0"/>
    <x v="0"/>
    <x v="1"/>
    <d v="1900-02-02T04:00:00"/>
    <x v="0"/>
    <x v="1"/>
    <x v="0"/>
    <x v="17"/>
    <x v="27"/>
    <n v="0.46"/>
    <x v="1"/>
    <n v="52"/>
    <n v="130"/>
    <n v="182"/>
  </r>
  <r>
    <n v="542"/>
    <d v="2011-01-24T00:00:00"/>
    <x v="0"/>
    <x v="0"/>
    <x v="0"/>
    <d v="1900-01-21T13:00:00"/>
    <x v="0"/>
    <x v="2"/>
    <x v="0"/>
    <x v="3"/>
    <x v="8"/>
    <n v="0.5"/>
    <x v="10"/>
    <n v="6"/>
    <n v="178"/>
    <n v="184"/>
  </r>
  <r>
    <n v="450"/>
    <d v="2011-01-20T00:00:00"/>
    <x v="0"/>
    <x v="0"/>
    <x v="0"/>
    <d v="1900-01-17T17:00:00"/>
    <x v="0"/>
    <x v="4"/>
    <x v="1"/>
    <x v="9"/>
    <x v="1"/>
    <n v="0.56000000000000005"/>
    <x v="2"/>
    <n v="1"/>
    <n v="184"/>
    <n v="185"/>
  </r>
  <r>
    <n v="673"/>
    <d v="2011-01-31T00:00:00"/>
    <x v="0"/>
    <x v="0"/>
    <x v="0"/>
    <d v="1900-01-27T00:00:00"/>
    <x v="0"/>
    <x v="2"/>
    <x v="1"/>
    <x v="2"/>
    <x v="3"/>
    <n v="0.59"/>
    <x v="7"/>
    <n v="3"/>
    <n v="182"/>
    <n v="185"/>
  </r>
  <r>
    <n v="155"/>
    <d v="2011-01-07T00:00:00"/>
    <x v="0"/>
    <x v="0"/>
    <x v="0"/>
    <d v="1900-01-05T10:00:00"/>
    <x v="0"/>
    <x v="5"/>
    <x v="1"/>
    <x v="4"/>
    <x v="1"/>
    <n v="0.37"/>
    <x v="0"/>
    <n v="9"/>
    <n v="178"/>
    <n v="187"/>
  </r>
  <r>
    <n v="218"/>
    <d v="2011-01-10T00:00:00"/>
    <x v="0"/>
    <x v="0"/>
    <x v="0"/>
    <d v="1900-01-08T01:00:00"/>
    <x v="0"/>
    <x v="2"/>
    <x v="1"/>
    <x v="8"/>
    <x v="8"/>
    <n v="0.5"/>
    <x v="7"/>
    <n v="4"/>
    <n v="184"/>
    <n v="188"/>
  </r>
  <r>
    <n v="743"/>
    <d v="2011-02-03T00:00:00"/>
    <x v="0"/>
    <x v="0"/>
    <x v="1"/>
    <d v="1900-01-29T22:00:00"/>
    <x v="0"/>
    <x v="4"/>
    <x v="0"/>
    <x v="3"/>
    <x v="8"/>
    <n v="0.5"/>
    <x v="12"/>
    <n v="4"/>
    <n v="184"/>
    <n v="188"/>
  </r>
  <r>
    <n v="109"/>
    <d v="2011-01-05T00:00:00"/>
    <x v="0"/>
    <x v="0"/>
    <x v="0"/>
    <d v="1900-01-03T12:00:00"/>
    <x v="0"/>
    <x v="6"/>
    <x v="0"/>
    <x v="0"/>
    <x v="9"/>
    <n v="0.38"/>
    <x v="2"/>
    <n v="4"/>
    <n v="186"/>
    <n v="190"/>
  </r>
  <r>
    <n v="729"/>
    <d v="2011-02-02T00:00:00"/>
    <x v="0"/>
    <x v="0"/>
    <x v="1"/>
    <d v="1900-01-29T08:00:00"/>
    <x v="0"/>
    <x v="6"/>
    <x v="0"/>
    <x v="16"/>
    <x v="22"/>
    <n v="0.53"/>
    <x v="14"/>
    <n v="7"/>
    <n v="183"/>
    <n v="190"/>
  </r>
  <r>
    <n v="100"/>
    <d v="2011-01-05T00:00:00"/>
    <x v="0"/>
    <x v="0"/>
    <x v="0"/>
    <d v="1900-01-03T03:00:00"/>
    <x v="0"/>
    <x v="6"/>
    <x v="0"/>
    <x v="4"/>
    <x v="15"/>
    <n v="0.4"/>
    <x v="9"/>
    <n v="3"/>
    <n v="192"/>
    <n v="195"/>
  </r>
  <r>
    <n v="416"/>
    <d v="2011-01-19T00:00:00"/>
    <x v="0"/>
    <x v="0"/>
    <x v="0"/>
    <d v="1900-01-16T07:00:00"/>
    <x v="0"/>
    <x v="6"/>
    <x v="1"/>
    <x v="0"/>
    <x v="1"/>
    <n v="0.93"/>
    <x v="8"/>
    <n v="1"/>
    <n v="196"/>
    <n v="197"/>
  </r>
  <r>
    <n v="425"/>
    <d v="2011-01-19T00:00:00"/>
    <x v="0"/>
    <x v="0"/>
    <x v="0"/>
    <d v="1900-01-16T16:00:00"/>
    <x v="0"/>
    <x v="6"/>
    <x v="0"/>
    <x v="16"/>
    <x v="21"/>
    <n v="0.56999999999999995"/>
    <x v="13"/>
    <n v="7"/>
    <n v="190"/>
    <n v="197"/>
  </r>
  <r>
    <n v="885"/>
    <d v="2011-02-09T00:00:00"/>
    <x v="0"/>
    <x v="0"/>
    <x v="1"/>
    <d v="1900-02-04T20:00:00"/>
    <x v="0"/>
    <x v="6"/>
    <x v="0"/>
    <x v="7"/>
    <x v="3"/>
    <n v="0.42"/>
    <x v="0"/>
    <n v="1"/>
    <n v="198"/>
    <n v="199"/>
  </r>
  <r>
    <n v="286"/>
    <d v="2011-01-13T00:00:00"/>
    <x v="0"/>
    <x v="0"/>
    <x v="0"/>
    <d v="1900-01-10T21:00:00"/>
    <x v="0"/>
    <x v="4"/>
    <x v="0"/>
    <x v="3"/>
    <x v="3"/>
    <n v="0.5"/>
    <x v="2"/>
    <n v="5"/>
    <n v="197"/>
    <n v="202"/>
  </r>
  <r>
    <n v="775"/>
    <d v="2011-02-04T00:00:00"/>
    <x v="0"/>
    <x v="0"/>
    <x v="1"/>
    <d v="1900-01-31T06:00:00"/>
    <x v="0"/>
    <x v="5"/>
    <x v="1"/>
    <x v="9"/>
    <x v="16"/>
    <n v="0.56000000000000005"/>
    <x v="4"/>
    <n v="10"/>
    <n v="195"/>
    <n v="205"/>
  </r>
  <r>
    <n v="146"/>
    <d v="2011-01-07T00:00:00"/>
    <x v="0"/>
    <x v="0"/>
    <x v="0"/>
    <d v="1900-01-05T01:00:00"/>
    <x v="0"/>
    <x v="5"/>
    <x v="0"/>
    <x v="4"/>
    <x v="5"/>
    <n v="0.51"/>
    <x v="10"/>
    <n v="20"/>
    <n v="190"/>
    <n v="210"/>
  </r>
  <r>
    <n v="939"/>
    <d v="2011-02-11T00:00:00"/>
    <x v="0"/>
    <x v="0"/>
    <x v="1"/>
    <d v="1900-02-07T02:00:00"/>
    <x v="0"/>
    <x v="5"/>
    <x v="0"/>
    <x v="22"/>
    <x v="21"/>
    <n v="0.24"/>
    <x v="0"/>
    <n v="18"/>
    <n v="193"/>
    <n v="211"/>
  </r>
  <r>
    <n v="86"/>
    <d v="2011-01-04T00:00:00"/>
    <x v="0"/>
    <x v="0"/>
    <x v="0"/>
    <d v="1900-01-02T13:00:00"/>
    <x v="0"/>
    <x v="3"/>
    <x v="0"/>
    <x v="13"/>
    <x v="16"/>
    <n v="0.48"/>
    <x v="5"/>
    <n v="10"/>
    <n v="202"/>
    <n v="212"/>
  </r>
  <r>
    <n v="449"/>
    <d v="2011-01-20T00:00:00"/>
    <x v="0"/>
    <x v="0"/>
    <x v="0"/>
    <d v="1900-01-17T16:00:00"/>
    <x v="0"/>
    <x v="4"/>
    <x v="1"/>
    <x v="22"/>
    <x v="22"/>
    <n v="0.49"/>
    <x v="8"/>
    <n v="8"/>
    <n v="207"/>
    <n v="215"/>
  </r>
  <r>
    <n v="847"/>
    <d v="2011-02-07T00:00:00"/>
    <x v="0"/>
    <x v="0"/>
    <x v="1"/>
    <d v="1900-02-03T06:00:00"/>
    <x v="0"/>
    <x v="2"/>
    <x v="1"/>
    <x v="18"/>
    <x v="22"/>
    <n v="0.7"/>
    <x v="6"/>
    <n v="9"/>
    <n v="207"/>
    <n v="216"/>
  </r>
  <r>
    <n v="930"/>
    <d v="2011-02-11T00:00:00"/>
    <x v="0"/>
    <x v="0"/>
    <x v="1"/>
    <d v="1900-02-06T17:00:00"/>
    <x v="0"/>
    <x v="5"/>
    <x v="0"/>
    <x v="7"/>
    <x v="8"/>
    <n v="0.74"/>
    <x v="6"/>
    <n v="4"/>
    <n v="212"/>
    <n v="216"/>
  </r>
  <r>
    <n v="240"/>
    <d v="2011-01-11T00:00:00"/>
    <x v="0"/>
    <x v="0"/>
    <x v="0"/>
    <d v="1900-01-08T23:00:00"/>
    <x v="0"/>
    <x v="3"/>
    <x v="1"/>
    <x v="5"/>
    <x v="6"/>
    <n v="0.51"/>
    <x v="1"/>
    <n v="3"/>
    <n v="214"/>
    <n v="217"/>
  </r>
  <r>
    <n v="464"/>
    <d v="2011-01-21T00:00:00"/>
    <x v="0"/>
    <x v="0"/>
    <x v="0"/>
    <d v="1900-01-18T07:00:00"/>
    <x v="0"/>
    <x v="5"/>
    <x v="0"/>
    <x v="4"/>
    <x v="15"/>
    <n v="0.47"/>
    <x v="13"/>
    <n v="7"/>
    <n v="210"/>
    <n v="217"/>
  </r>
  <r>
    <n v="123"/>
    <d v="2011-01-06T00:00:00"/>
    <x v="0"/>
    <x v="0"/>
    <x v="0"/>
    <d v="1900-01-04T02:00:00"/>
    <x v="0"/>
    <x v="4"/>
    <x v="0"/>
    <x v="2"/>
    <x v="9"/>
    <n v="0.59"/>
    <x v="0"/>
    <n v="3"/>
    <n v="216"/>
    <n v="219"/>
  </r>
  <r>
    <n v="766"/>
    <d v="2011-02-04T00:00:00"/>
    <x v="0"/>
    <x v="0"/>
    <x v="1"/>
    <d v="1900-01-30T21:00:00"/>
    <x v="0"/>
    <x v="5"/>
    <x v="0"/>
    <x v="3"/>
    <x v="4"/>
    <n v="0.74"/>
    <x v="4"/>
    <n v="3"/>
    <n v="217"/>
    <n v="220"/>
  </r>
  <r>
    <n v="565"/>
    <d v="2011-01-25T00:00:00"/>
    <x v="0"/>
    <x v="0"/>
    <x v="0"/>
    <d v="1900-01-22T12:00:00"/>
    <x v="0"/>
    <x v="3"/>
    <x v="0"/>
    <x v="22"/>
    <x v="21"/>
    <n v="0.45"/>
    <x v="0"/>
    <n v="14"/>
    <n v="208"/>
    <n v="222"/>
  </r>
  <r>
    <n v="566"/>
    <d v="2011-01-25T00:00:00"/>
    <x v="0"/>
    <x v="0"/>
    <x v="0"/>
    <d v="1900-01-22T13:00:00"/>
    <x v="0"/>
    <x v="3"/>
    <x v="1"/>
    <x v="22"/>
    <x v="22"/>
    <n v="0.49"/>
    <x v="1"/>
    <n v="7"/>
    <n v="218"/>
    <n v="225"/>
  </r>
  <r>
    <n v="838"/>
    <d v="2011-02-07T00:00:00"/>
    <x v="0"/>
    <x v="0"/>
    <x v="1"/>
    <d v="1900-02-02T21:00:00"/>
    <x v="0"/>
    <x v="2"/>
    <x v="1"/>
    <x v="2"/>
    <x v="9"/>
    <n v="1"/>
    <x v="0"/>
    <n v="7"/>
    <n v="223"/>
    <n v="230"/>
  </r>
  <r>
    <n v="556"/>
    <d v="2011-01-25T00:00:00"/>
    <x v="0"/>
    <x v="0"/>
    <x v="0"/>
    <d v="1900-01-22T03:00:00"/>
    <x v="0"/>
    <x v="3"/>
    <x v="1"/>
    <x v="2"/>
    <x v="15"/>
    <n v="0.74"/>
    <x v="4"/>
    <n v="5"/>
    <n v="233"/>
    <n v="238"/>
  </r>
  <r>
    <n v="862"/>
    <d v="2011-02-08T00:00:00"/>
    <x v="0"/>
    <x v="0"/>
    <x v="1"/>
    <d v="1900-02-03T21:00:00"/>
    <x v="0"/>
    <x v="3"/>
    <x v="0"/>
    <x v="0"/>
    <x v="5"/>
    <n v="0.56000000000000005"/>
    <x v="19"/>
    <n v="7"/>
    <n v="236"/>
    <n v="243"/>
  </r>
  <r>
    <n v="440"/>
    <d v="2011-01-20T00:00:00"/>
    <x v="0"/>
    <x v="0"/>
    <x v="0"/>
    <d v="1900-01-17T07:00:00"/>
    <x v="0"/>
    <x v="4"/>
    <x v="0"/>
    <x v="10"/>
    <x v="6"/>
    <n v="0.55000000000000004"/>
    <x v="7"/>
    <n v="2"/>
    <n v="247"/>
    <n v="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25B76E-FAEF-4E62-9129-7B568BE5B21A}"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Weather variable">
  <location ref="K8:N11" firstHeaderRow="1" firstDataRow="2" firstDataCol="1"/>
  <pivotFields count="17">
    <pivotField showAll="0"/>
    <pivotField numFmtId="14" showAll="0"/>
    <pivotField showAll="0"/>
    <pivotField showAll="0"/>
    <pivotField showAll="0">
      <items count="3">
        <item x="0"/>
        <item x="1"/>
        <item t="default"/>
      </items>
    </pivotField>
    <pivotField numFmtId="1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3">
        <item x="1"/>
        <item x="0"/>
        <item t="default"/>
      </items>
    </pivotField>
    <pivotField showAll="0">
      <items count="8">
        <item x="1"/>
        <item x="2"/>
        <item x="3"/>
        <item x="6"/>
        <item x="5"/>
        <item x="0"/>
        <item x="4"/>
        <item t="default"/>
      </items>
    </pivotField>
    <pivotField axis="axisRow" showAll="0">
      <items count="5">
        <item h="1" x="0"/>
        <item h="1" x="2"/>
        <item h="1" x="3"/>
        <item x="1"/>
        <item t="default"/>
      </items>
    </pivotField>
    <pivotField showAll="0"/>
    <pivotField showAll="0"/>
    <pivotField showAll="0"/>
    <pivotField showAll="0"/>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s>
  <rowFields count="1">
    <field x="8"/>
  </rowFields>
  <rowItems count="2">
    <i>
      <x v="3"/>
    </i>
    <i t="grand">
      <x/>
    </i>
  </rowItems>
  <colFields count="1">
    <field x="-2"/>
  </colFields>
  <colItems count="3">
    <i>
      <x/>
    </i>
    <i i="1">
      <x v="1"/>
    </i>
    <i i="2">
      <x v="2"/>
    </i>
  </colItems>
  <dataFields count="3">
    <dataField name="Sum of REGISTERED CUSTOMER" fld="14" baseField="0" baseItem="0"/>
    <dataField name="Sum of CASUAL  CUSTOMER" fld="13" baseField="0" baseItem="0"/>
    <dataField name="Sum of TOTAL" fld="15" baseField="0" baseItem="0"/>
  </dataFields>
  <formats count="6">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grandRow="1" outline="0" fieldPosition="0"/>
    </format>
    <format dxfId="7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BDB31-BCF6-475F-A1A2-07727B8DAA2E}"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y" colHeaderCaption="month">
  <location ref="F6:I15" firstHeaderRow="1" firstDataRow="2" firstDataCol="1"/>
  <pivotFields count="16">
    <pivotField showAll="0"/>
    <pivotField numFmtId="14" showAll="0"/>
    <pivotField showAll="0"/>
    <pivotField showAll="0"/>
    <pivotField axis="axisCol" showAll="0">
      <items count="3">
        <item x="0"/>
        <item x="1"/>
        <item t="default"/>
      </items>
    </pivotField>
    <pivotField numFmtId="18" showAll="0"/>
    <pivotField showAll="0"/>
    <pivotField axis="axisRow" showAll="0">
      <items count="8">
        <item x="1"/>
        <item x="2"/>
        <item x="3"/>
        <item x="6"/>
        <item x="5"/>
        <item x="0"/>
        <item x="4"/>
        <item t="default"/>
      </items>
    </pivotField>
    <pivotField showAll="0"/>
    <pivotField showAll="0"/>
    <pivotField showAll="0"/>
    <pivotField showAll="0"/>
    <pivotField showAll="0"/>
    <pivotField showAll="0"/>
    <pivotField showAll="0"/>
    <pivotField dataField="1" showAll="0"/>
  </pivotFields>
  <rowFields count="1">
    <field x="7"/>
  </rowFields>
  <rowItems count="8">
    <i>
      <x/>
    </i>
    <i>
      <x v="1"/>
    </i>
    <i>
      <x v="2"/>
    </i>
    <i>
      <x v="3"/>
    </i>
    <i>
      <x v="4"/>
    </i>
    <i>
      <x v="5"/>
    </i>
    <i>
      <x v="6"/>
    </i>
    <i t="grand">
      <x/>
    </i>
  </rowItems>
  <colFields count="1">
    <field x="4"/>
  </colFields>
  <colItems count="3">
    <i>
      <x/>
    </i>
    <i>
      <x v="1"/>
    </i>
    <i t="grand">
      <x/>
    </i>
  </colItems>
  <dataFields count="1">
    <dataField name="Sum of TOTAL" fld="15" baseField="0" baseItem="0"/>
  </dataFields>
  <formats count="1">
    <format dxfId="84">
      <pivotArea type="all" dataOnly="0"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3F9D4F-132B-4758-86FC-7A04F00FED9A}"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te">
  <location ref="A19:B65" firstHeaderRow="1" firstDataRow="1" firstDataCol="1"/>
  <pivotFields count="18">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numFmtId="18"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Total rental demand" fld="15" baseField="1" baseItem="1"/>
  </dataFields>
  <formats count="6">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45">
            <x v="1"/>
            <x v="2"/>
            <x v="3"/>
            <x v="4"/>
            <x v="5"/>
            <x v="6"/>
            <x v="7"/>
            <x v="8"/>
            <x v="9"/>
            <x v="10"/>
            <x v="11"/>
            <x v="12"/>
            <x v="13"/>
            <x v="14"/>
            <x v="15"/>
            <x v="16"/>
            <x v="17"/>
            <x v="18"/>
            <x v="19"/>
            <x v="20"/>
            <x v="21"/>
            <x v="22"/>
            <x v="23"/>
            <x v="24"/>
            <x v="25"/>
            <x v="26"/>
            <x v="27"/>
            <x v="28"/>
            <x v="29"/>
            <x v="30"/>
            <x v="31"/>
            <x v="32"/>
            <x v="33"/>
            <x v="34"/>
            <x v="35"/>
            <x v="36"/>
            <x v="37"/>
            <x v="38"/>
            <x v="39"/>
            <x v="40"/>
            <x v="41"/>
            <x v="42"/>
            <x v="43"/>
            <x v="44"/>
            <x v="45"/>
          </reference>
        </references>
      </pivotArea>
    </format>
    <format dxfId="86">
      <pivotArea dataOnly="0" labelOnly="1" grandRow="1" outline="0" fieldPosition="0"/>
    </format>
    <format dxfId="85">
      <pivotArea dataOnly="0" labelOnly="1" outline="0" axis="axisValues"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A0374B-294A-4BCA-ABC9-8EB5FDCB97EE}"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y">
  <location ref="A6:D15" firstHeaderRow="1" firstDataRow="2" firstDataCol="1"/>
  <pivotFields count="16">
    <pivotField showAll="0"/>
    <pivotField numFmtId="14" showAll="0"/>
    <pivotField showAll="0"/>
    <pivotField showAll="0"/>
    <pivotField showAll="0"/>
    <pivotField numFmtId="18" showAll="0"/>
    <pivotField showAll="0"/>
    <pivotField axis="axisRow" showAll="0">
      <items count="8">
        <item sd="0" x="1"/>
        <item sd="0" x="2"/>
        <item sd="0" x="3"/>
        <item sd="0" x="6"/>
        <item sd="0" x="5"/>
        <item sd="0" x="0"/>
        <item sd="0" x="4"/>
        <item t="default" sd="0"/>
      </items>
    </pivotField>
    <pivotField showAll="0"/>
    <pivotField showAll="0"/>
    <pivotField showAll="0"/>
    <pivotField showAll="0"/>
    <pivotField showAll="0"/>
    <pivotField dataField="1" showAll="0"/>
    <pivotField dataField="1" showAll="0"/>
    <pivotField dataField="1" showAll="0"/>
  </pivotFields>
  <rowFields count="1">
    <field x="7"/>
  </rowFields>
  <rowItems count="8">
    <i>
      <x/>
    </i>
    <i>
      <x v="1"/>
    </i>
    <i>
      <x v="2"/>
    </i>
    <i>
      <x v="3"/>
    </i>
    <i>
      <x v="4"/>
    </i>
    <i>
      <x v="5"/>
    </i>
    <i>
      <x v="6"/>
    </i>
    <i t="grand">
      <x/>
    </i>
  </rowItems>
  <colFields count="1">
    <field x="-2"/>
  </colFields>
  <colItems count="3">
    <i>
      <x/>
    </i>
    <i i="1">
      <x v="1"/>
    </i>
    <i i="2">
      <x v="2"/>
    </i>
  </colItems>
  <dataFields count="3">
    <dataField name="Sum of CASUAL  CUSTOMER" fld="13" baseField="0" baseItem="0"/>
    <dataField name="Sum of REGISTERED CUSTOMER" fld="14" baseField="0" baseItem="0"/>
    <dataField name="Sum of TOTAL" fld="15" baseField="0" baseItem="0"/>
  </dataFields>
  <formats count="6">
    <format dxfId="96">
      <pivotArea type="all" dataOnly="0" outline="0" fieldPosition="0"/>
    </format>
    <format dxfId="95">
      <pivotArea outline="0" collapsedLevelsAreSubtotals="1" fieldPosition="0"/>
    </format>
    <format dxfId="94">
      <pivotArea field="7" type="button" dataOnly="0" labelOnly="1" outline="0" axis="axisRow" fieldPosition="0"/>
    </format>
    <format dxfId="93">
      <pivotArea dataOnly="0" labelOnly="1" fieldPosition="0">
        <references count="1">
          <reference field="7" count="0"/>
        </references>
      </pivotArea>
    </format>
    <format dxfId="92">
      <pivotArea dataOnly="0" labelOnly="1" grandRow="1" outline="0" fieldPosition="0"/>
    </format>
    <format dxfId="9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B3C441-B2B0-48E6-B8DC-B11DA0C7905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holiday status">
  <location ref="D22:G26" firstHeaderRow="1" firstDataRow="2" firstDataCol="1"/>
  <pivotFields count="17">
    <pivotField showAll="0"/>
    <pivotField numFmtId="14" showAll="0"/>
    <pivotField showAll="0"/>
    <pivotField showAll="0"/>
    <pivotField showAll="0"/>
    <pivotField numFmtId="18" showAll="0"/>
    <pivotField axis="axisRow" showAll="0">
      <items count="3">
        <item x="1"/>
        <item x="0"/>
        <item t="default"/>
      </items>
    </pivotField>
    <pivotField showAll="0"/>
    <pivotField showAll="0"/>
    <pivotField showAll="0"/>
    <pivotField showAll="0"/>
    <pivotField showAll="0"/>
    <pivotField showAll="0"/>
    <pivotField dataField="1" showAll="0"/>
    <pivotField dataField="1" showAll="0"/>
    <pivotField dataField="1" showAll="0"/>
    <pivotField showAll="0" defaultSubtotal="0"/>
  </pivotFields>
  <rowFields count="1">
    <field x="6"/>
  </rowFields>
  <rowItems count="3">
    <i>
      <x/>
    </i>
    <i>
      <x v="1"/>
    </i>
    <i t="grand">
      <x/>
    </i>
  </rowItems>
  <colFields count="1">
    <field x="-2"/>
  </colFields>
  <colItems count="3">
    <i>
      <x/>
    </i>
    <i i="1">
      <x v="1"/>
    </i>
    <i i="2">
      <x v="2"/>
    </i>
  </colItems>
  <dataFields count="3">
    <dataField name="Sum of CASUAL  CUSTOMER" fld="13" baseField="0" baseItem="0"/>
    <dataField name="Sum of REGISTERED CUSTOMER" fld="14" baseField="0" baseItem="0"/>
    <dataField name="Sum of TOTAL" fld="15" baseField="0" baseItem="0"/>
  </dataFields>
  <formats count="6">
    <format dxfId="102">
      <pivotArea type="all" dataOnly="0" outline="0" fieldPosition="0"/>
    </format>
    <format dxfId="101">
      <pivotArea outline="0" collapsedLevelsAreSubtotals="1" fieldPosition="0"/>
    </format>
    <format dxfId="100">
      <pivotArea field="6" type="button" dataOnly="0" labelOnly="1" outline="0" axis="axisRow" fieldPosition="0"/>
    </format>
    <format dxfId="99">
      <pivotArea dataOnly="0" labelOnly="1" fieldPosition="0">
        <references count="1">
          <reference field="6" count="0"/>
        </references>
      </pivotArea>
    </format>
    <format dxfId="98">
      <pivotArea dataOnly="0" labelOnly="1" grandRow="1" outline="0" fieldPosition="0"/>
    </format>
    <format dxfId="9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1B6D56F1-17ED-4DBF-9649-E5CCDDDA235F}"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3EEA7532-4442-4046-A119-512AA835FB25}" autoFormatId="16" applyNumberFormats="0" applyBorderFormats="0" applyFontFormats="0" applyPatternFormats="0" applyAlignmentFormats="0" applyWidthHeightFormats="0">
  <queryTableRefresh nextId="9">
    <queryTableFields count="8">
      <queryTableField id="1" name="Unnamed: 0" tableColumnId="1"/>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B77C0873-6299-45B5-880C-F0FAB3FDF5C2}"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HIT" xr10:uid="{DFC0E9D2-9E28-4040-BA42-61B926A1B550}" sourceName="WEATHERSHIT">
  <pivotTables>
    <pivotTable tabId="7" name="PivotTable4"/>
  </pivotTables>
  <data>
    <tabular pivotCacheId="1834752320">
      <items count="4">
        <i x="0"/>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F35FBF33-EDF2-4CF3-8BE6-2CE98A1E4068}" sourceName="WEEKDAY">
  <pivotTables>
    <pivotTable tabId="7" name="PivotTable4"/>
  </pivotTables>
  <data>
    <tabular pivotCacheId="1834752320">
      <items count="7">
        <i x="1" s="1"/>
        <i x="2" s="1"/>
        <i x="3" s="1"/>
        <i x="6" s="1"/>
        <i x="5"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STATUS" xr10:uid="{6E5933C5-2ED6-4A3F-9ACA-D714F2C2344F}" sourceName="Holiday STATUS">
  <pivotTables>
    <pivotTable tabId="7" name="PivotTable4"/>
  </pivotTables>
  <data>
    <tabular pivotCacheId="1834752320">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940CF0-B9BB-4AAE-AAA6-770D06729453}" sourceName="MONTH">
  <pivotTables>
    <pivotTable tabId="7" name="PivotTable4"/>
  </pivotTables>
  <data>
    <tabular pivotCacheId="18347523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HIT" xr10:uid="{BA73282B-21AE-4C37-9793-E7B782E3E043}" cache="Slicer_WEATHERSHIT" caption="WEATHERSHIT" rowHeight="234950"/>
  <slicer name="WEEKDAY" xr10:uid="{C0A2F164-9910-429E-86D6-DD865EB96C1B}" cache="Slicer_WEEKDAY" caption="WEEKDAY" rowHeight="234950"/>
  <slicer name="Holiday STATUS" xr10:uid="{FA70500F-8B36-4F41-ABB6-DEE57E2DE4C3}" cache="Slicer_Holiday_STATUS" caption="Holiday STATUS" rowHeight="234950"/>
  <slicer name="MONTH" xr10:uid="{34ABA7E8-0BF5-4111-B1D8-2168E197CC76}" cache="Slicer_MONTH" caption="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3A68ED-8C85-40C8-95EA-FD8EC96BD018}" name="Merge1" displayName="Merge1" ref="A1:J612" tableType="queryTable" totalsRowShown="0">
  <autoFilter ref="A1:J612" xr:uid="{F025D8FF-AF70-4522-9C7F-50C718D953E9}"/>
  <tableColumns count="10">
    <tableColumn id="1" xr3:uid="{746827ED-A653-4D5F-A494-4FF36B87A4CA}" uniqueName="1" name="instant" queryTableFieldId="1"/>
    <tableColumn id="2" xr3:uid="{6307FAB7-F6DD-47C9-8DBF-FE046DEE7B45}" uniqueName="2" name="dteday" queryTableFieldId="2" dataDxfId="121"/>
    <tableColumn id="3" xr3:uid="{F3A637A9-B317-4A08-9454-C4A1CB2829A3}" uniqueName="3" name="season" queryTableFieldId="3"/>
    <tableColumn id="4" xr3:uid="{7DB4C97E-CD18-408D-97AE-50DC8B58CBF1}" uniqueName="4" name="yr" queryTableFieldId="4"/>
    <tableColumn id="5" xr3:uid="{0F7301EC-2848-49A8-A27A-803873A77429}" uniqueName="5" name="mnth" queryTableFieldId="5"/>
    <tableColumn id="6" xr3:uid="{41DBEE9E-2BCA-40D5-B5D6-B3379B15D63D}" uniqueName="6" name="hr" queryTableFieldId="6"/>
    <tableColumn id="7" xr3:uid="{162BF92A-6A64-4634-BB95-5DBEAC61A059}" uniqueName="7" name="holiday" queryTableFieldId="7"/>
    <tableColumn id="8" xr3:uid="{A8A6DF6F-2743-4B13-BC64-A9E6F707A077}" uniqueName="8" name="weekday" queryTableFieldId="8"/>
    <tableColumn id="9" xr3:uid="{80607BE5-3172-4B0D-957E-8C97C218DBB4}" uniqueName="9" name="weathersit" queryTableFieldId="9"/>
    <tableColumn id="10" xr3:uid="{3041B0D5-957F-4BA8-8B74-E2991316DE7D}" uniqueName="10" name="temp"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33F43-6504-425B-AAAF-AF3F7B7472BA}" name="dataset_2" displayName="dataset_2" ref="A1:H1000" tableType="queryTable" totalsRowShown="0">
  <autoFilter ref="A1:H1000" xr:uid="{9115CBED-84FA-4470-BEDF-E024414E8DE3}"/>
  <tableColumns count="8">
    <tableColumn id="1" xr3:uid="{A8A19FF2-91A9-4BFC-AF39-5A40C6B692D6}" uniqueName="1" name="Unnamed: 0" queryTableFieldId="1"/>
    <tableColumn id="2" xr3:uid="{8283EB38-8950-4BB5-8984-247E9CFD1FB2}" uniqueName="2" name="instant" queryTableFieldId="2"/>
    <tableColumn id="3" xr3:uid="{A91135CD-0309-4FE3-B646-28ECD7A26D93}" uniqueName="3" name="atemp" queryTableFieldId="3"/>
    <tableColumn id="4" xr3:uid="{103B07AA-035E-4C16-8397-9CEAE9D389F8}" uniqueName="4" name="hum" queryTableFieldId="4"/>
    <tableColumn id="5" xr3:uid="{F699E1B8-D834-4F58-8AE5-271591F9CE05}" uniqueName="5" name="windspeed" queryTableFieldId="5"/>
    <tableColumn id="6" xr3:uid="{1FBB6B68-480B-4D06-9424-21F41784E352}" uniqueName="6" name="casual" queryTableFieldId="6"/>
    <tableColumn id="7" xr3:uid="{88277FC6-075F-4C6C-921E-067C430E5086}" uniqueName="7" name="registered" queryTableFieldId="7"/>
    <tableColumn id="8" xr3:uid="{14ACDD4E-0EA5-4BB3-872F-2F2CBEC673A5}" uniqueName="8" name="cnt" queryTableField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E76F22-ACE3-43B6-A3FE-B1146D31362E}" name="dataset_3" displayName="dataset_3" ref="A1:P391" tableType="queryTable" totalsRowShown="0">
  <autoFilter ref="A1:P391" xr:uid="{0C416427-B208-48BB-82DC-11F1760D6FAA}"/>
  <tableColumns count="16">
    <tableColumn id="1" xr3:uid="{46B75CB2-6E0C-4C6C-A91D-0B93E87ABB97}" uniqueName="1" name="instant" queryTableFieldId="1"/>
    <tableColumn id="2" xr3:uid="{F2A24F99-63A1-4129-80E6-42B3EA5C6CA9}" uniqueName="2" name="dteday" queryTableFieldId="2" dataDxfId="120"/>
    <tableColumn id="3" xr3:uid="{1FF61C19-5436-47FE-9D0A-EEA6869E452F}" uniqueName="3" name="season" queryTableFieldId="3"/>
    <tableColumn id="4" xr3:uid="{05E0731A-C169-42E6-B235-5FBF2BE0E328}" uniqueName="4" name="yr" queryTableFieldId="4"/>
    <tableColumn id="5" xr3:uid="{E492E015-F63D-4A0F-B3DB-547399A8ABE0}" uniqueName="5" name="mnth" queryTableFieldId="5"/>
    <tableColumn id="6" xr3:uid="{48A11558-DEE4-4F37-B60F-5CE5496A6102}" uniqueName="6" name="hr" queryTableFieldId="6"/>
    <tableColumn id="7" xr3:uid="{C0B3D841-358A-4492-B6D1-08540BD1214B}" uniqueName="7" name="holiday" queryTableFieldId="7"/>
    <tableColumn id="8" xr3:uid="{2E2E2A0F-8D25-4DED-8C0F-E2D90B5C1DDA}" uniqueName="8" name="weekday" queryTableFieldId="8"/>
    <tableColumn id="9" xr3:uid="{33A08E0A-BF02-476B-BAF1-48742D9BB91A}" uniqueName="9" name="weathersit" queryTableFieldId="9"/>
    <tableColumn id="10" xr3:uid="{35FFA358-814F-4703-8AB4-401D961721AB}" uniqueName="10" name="temp" queryTableFieldId="10"/>
    <tableColumn id="11" xr3:uid="{66EB42BA-AFF2-4352-876D-37C8CEB8EAB5}" uniqueName="11" name="atemp" queryTableFieldId="11"/>
    <tableColumn id="12" xr3:uid="{47C46873-4330-4B41-AE9D-B0FAC219AB01}" uniqueName="12" name="hum" queryTableFieldId="12"/>
    <tableColumn id="13" xr3:uid="{B285DEA7-3D24-4E1C-B9AD-8401E9BEA5D4}" uniqueName="13" name="windspeed" queryTableFieldId="13"/>
    <tableColumn id="14" xr3:uid="{E8194892-6C53-4A5B-9686-C3B2C690C214}" uniqueName="14" name="casual" queryTableFieldId="14"/>
    <tableColumn id="15" xr3:uid="{E9DCCB76-1EA2-4CFB-AE45-1A296895F292}" uniqueName="15" name="registered" queryTableFieldId="15"/>
    <tableColumn id="16" xr3:uid="{C1DEF82B-D415-4E79-A013-00CB26FF9E37}" uniqueName="16" name="cnt"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E1C08CD-5041-45FB-8368-F31A3382FF35}" name="Table5" displayName="Table5" ref="A1:P1001" totalsRowShown="0" headerRowDxfId="119">
  <autoFilter ref="A1:P1001" xr:uid="{6F46475A-B687-4C71-8702-57D2E1398382}"/>
  <sortState ref="A2:P1001">
    <sortCondition ref="A1:A1001"/>
  </sortState>
  <tableColumns count="16">
    <tableColumn id="1" xr3:uid="{7A119D99-E54E-4C8B-B677-27F129A73899}" name="INSTANT"/>
    <tableColumn id="2" xr3:uid="{7130DACE-F96F-49AA-B5D5-4B446BBD2570}" name="DATE" dataDxfId="118"/>
    <tableColumn id="3" xr3:uid="{524A9964-C502-4570-A9E1-2280D233111C}" name="SEASON"/>
    <tableColumn id="4" xr3:uid="{0E1987E0-FF62-4B71-B1F6-6130E42DEA97}" name="YEAR"/>
    <tableColumn id="5" xr3:uid="{0B9DA6D7-4F8E-4166-A088-4AFDFF2CAABD}" name="MONTH" dataDxfId="117"/>
    <tableColumn id="6" xr3:uid="{BE943CD4-2BBB-42BB-AB22-40296693C9FC}" name="HOUR" dataDxfId="116"/>
    <tableColumn id="7" xr3:uid="{09F37DA0-690F-4502-8D9E-5A7BD3027ED0}" name="Holiday STATUS" dataDxfId="115"/>
    <tableColumn id="8" xr3:uid="{93EE4182-5036-49D2-B8E4-1FD5DF2FA526}" name="WEEKDAY" dataDxfId="114"/>
    <tableColumn id="9" xr3:uid="{FB4D3DA0-E690-4E5E-88B4-FAC5AE2E3F9E}" name="WEATHERSHIT" dataDxfId="113"/>
    <tableColumn id="10" xr3:uid="{D79ADEC8-E20D-4968-B53B-AFDB86E1A6C8}" name="ACTUAL TEMP"/>
    <tableColumn id="11" xr3:uid="{76B51520-1219-4915-BFC8-501F3657B1C4}" name="ASSUM TEMP" dataDxfId="112"/>
    <tableColumn id="12" xr3:uid="{D8049684-E395-4CA0-A448-FFA3A69C5C36}" name="HUMIDITY"/>
    <tableColumn id="13" xr3:uid="{848638C8-F3BF-4ACC-8496-E9C8185F4A1B}" name="WINDSPEED" dataDxfId="111"/>
    <tableColumn id="14" xr3:uid="{4D8373AD-EF97-4081-BAFA-2B6F31CF8B85}" name="CASUAL  CUSTOMER"/>
    <tableColumn id="15" xr3:uid="{FC7F82F1-8C2D-42DA-9EC5-16A8B1E83969}" name="REGISTERED CUSTOMER"/>
    <tableColumn id="16" xr3:uid="{3A499AFD-72D5-41C4-9234-89FC5950A290}" name="TOTAL"/>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BB194F-7E73-4BD2-B52C-8B1782B9EE5C}" name="Table66" displayName="Table66" ref="T9:W14" totalsRowShown="0" headerRowDxfId="110" dataDxfId="108" headerRowBorderDxfId="109" tableBorderDxfId="107">
  <autoFilter ref="T9:W14" xr:uid="{00000000-0009-0000-0100-000002000000}"/>
  <tableColumns count="4">
    <tableColumn id="1" xr3:uid="{00000000-0010-0000-0100-000001000000}" name="Weather variable" dataDxfId="106"/>
    <tableColumn id="2" xr3:uid="{00000000-0010-0000-0100-000002000000}" name="Registered customers" dataDxfId="105"/>
    <tableColumn id="3" xr3:uid="{00000000-0010-0000-0100-000003000000}" name="Casual customer" dataDxfId="104"/>
    <tableColumn id="4" xr3:uid="{00000000-0010-0000-0100-000004000000}" name="Total customer" dataDxfId="10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DE789-9A07-449F-B9BA-7FDD062B7288}">
  <dimension ref="A1:J612"/>
  <sheetViews>
    <sheetView workbookViewId="0">
      <selection activeCell="P20" sqref="P20"/>
    </sheetView>
  </sheetViews>
  <sheetFormatPr defaultRowHeight="14.4"/>
  <cols>
    <col min="1" max="1" width="9" bestFit="1" customWidth="1"/>
    <col min="2" max="2" width="13.66406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s>
  <sheetData>
    <row r="1" spans="1:10">
      <c r="A1" t="s">
        <v>0</v>
      </c>
      <c r="B1" t="s">
        <v>1</v>
      </c>
      <c r="C1" t="s">
        <v>2</v>
      </c>
      <c r="D1" t="s">
        <v>3</v>
      </c>
      <c r="E1" t="s">
        <v>4</v>
      </c>
      <c r="F1" t="s">
        <v>5</v>
      </c>
      <c r="G1" t="s">
        <v>6</v>
      </c>
      <c r="H1" t="s">
        <v>7</v>
      </c>
      <c r="I1" t="s">
        <v>8</v>
      </c>
      <c r="J1" t="s">
        <v>9</v>
      </c>
    </row>
    <row r="2" spans="1:10">
      <c r="A2">
        <v>1</v>
      </c>
      <c r="B2" s="1">
        <v>40544</v>
      </c>
      <c r="C2">
        <v>1</v>
      </c>
      <c r="D2">
        <v>0</v>
      </c>
      <c r="E2">
        <v>1</v>
      </c>
      <c r="F2">
        <v>0</v>
      </c>
      <c r="G2" t="b">
        <v>0</v>
      </c>
      <c r="H2">
        <v>6</v>
      </c>
      <c r="I2">
        <v>1</v>
      </c>
      <c r="J2">
        <v>0.24</v>
      </c>
    </row>
    <row r="3" spans="1:10">
      <c r="A3">
        <v>2</v>
      </c>
      <c r="B3" s="1">
        <v>40544</v>
      </c>
      <c r="C3">
        <v>1</v>
      </c>
      <c r="D3">
        <v>0</v>
      </c>
      <c r="E3">
        <v>1</v>
      </c>
      <c r="F3">
        <v>1</v>
      </c>
      <c r="G3" t="b">
        <v>0</v>
      </c>
      <c r="H3">
        <v>6</v>
      </c>
      <c r="I3">
        <v>1</v>
      </c>
      <c r="J3">
        <v>0.22</v>
      </c>
    </row>
    <row r="4" spans="1:10">
      <c r="A4">
        <v>3</v>
      </c>
      <c r="B4" s="1">
        <v>40544</v>
      </c>
      <c r="C4">
        <v>1</v>
      </c>
      <c r="D4">
        <v>0</v>
      </c>
      <c r="E4">
        <v>1</v>
      </c>
      <c r="F4">
        <v>2</v>
      </c>
      <c r="G4" t="b">
        <v>0</v>
      </c>
      <c r="H4">
        <v>6</v>
      </c>
      <c r="I4">
        <v>1</v>
      </c>
      <c r="J4">
        <v>0.22</v>
      </c>
    </row>
    <row r="5" spans="1:10">
      <c r="A5">
        <v>4</v>
      </c>
      <c r="B5" s="1">
        <v>40544</v>
      </c>
      <c r="C5">
        <v>1</v>
      </c>
      <c r="D5">
        <v>0</v>
      </c>
      <c r="E5">
        <v>1</v>
      </c>
      <c r="F5">
        <v>3</v>
      </c>
      <c r="G5" t="b">
        <v>0</v>
      </c>
      <c r="H5">
        <v>6</v>
      </c>
      <c r="I5">
        <v>1</v>
      </c>
      <c r="J5">
        <v>0.24</v>
      </c>
    </row>
    <row r="6" spans="1:10">
      <c r="A6">
        <v>5</v>
      </c>
      <c r="B6" s="1">
        <v>40544</v>
      </c>
      <c r="C6">
        <v>1</v>
      </c>
      <c r="D6">
        <v>0</v>
      </c>
      <c r="E6">
        <v>1</v>
      </c>
      <c r="F6">
        <v>4</v>
      </c>
      <c r="G6" t="b">
        <v>0</v>
      </c>
      <c r="H6">
        <v>6</v>
      </c>
      <c r="I6">
        <v>1</v>
      </c>
      <c r="J6">
        <v>0.24</v>
      </c>
    </row>
    <row r="7" spans="1:10">
      <c r="A7">
        <v>6</v>
      </c>
      <c r="B7" s="1">
        <v>40544</v>
      </c>
      <c r="C7">
        <v>1</v>
      </c>
      <c r="D7">
        <v>0</v>
      </c>
      <c r="E7">
        <v>1</v>
      </c>
      <c r="F7">
        <v>5</v>
      </c>
      <c r="G7" t="b">
        <v>0</v>
      </c>
      <c r="H7">
        <v>6</v>
      </c>
      <c r="I7">
        <v>2</v>
      </c>
      <c r="J7">
        <v>0.24</v>
      </c>
    </row>
    <row r="8" spans="1:10">
      <c r="A8">
        <v>7</v>
      </c>
      <c r="B8" s="1">
        <v>40544</v>
      </c>
      <c r="C8">
        <v>1</v>
      </c>
      <c r="D8">
        <v>0</v>
      </c>
      <c r="E8">
        <v>1</v>
      </c>
      <c r="F8">
        <v>6</v>
      </c>
      <c r="G8" t="b">
        <v>0</v>
      </c>
      <c r="H8">
        <v>6</v>
      </c>
      <c r="I8">
        <v>1</v>
      </c>
      <c r="J8">
        <v>0.22</v>
      </c>
    </row>
    <row r="9" spans="1:10">
      <c r="A9">
        <v>8</v>
      </c>
      <c r="B9" s="1">
        <v>40544</v>
      </c>
      <c r="C9">
        <v>1</v>
      </c>
      <c r="D9">
        <v>0</v>
      </c>
      <c r="E9">
        <v>1</v>
      </c>
      <c r="F9">
        <v>7</v>
      </c>
      <c r="G9" t="b">
        <v>0</v>
      </c>
      <c r="H9">
        <v>6</v>
      </c>
      <c r="I9">
        <v>1</v>
      </c>
      <c r="J9">
        <v>0.2</v>
      </c>
    </row>
    <row r="10" spans="1:10">
      <c r="A10">
        <v>9</v>
      </c>
      <c r="B10" s="1">
        <v>40544</v>
      </c>
      <c r="C10">
        <v>1</v>
      </c>
      <c r="D10">
        <v>0</v>
      </c>
      <c r="E10">
        <v>1</v>
      </c>
      <c r="F10">
        <v>8</v>
      </c>
      <c r="G10" t="b">
        <v>0</v>
      </c>
      <c r="H10">
        <v>6</v>
      </c>
      <c r="I10">
        <v>1</v>
      </c>
      <c r="J10">
        <v>0.24</v>
      </c>
    </row>
    <row r="11" spans="1:10">
      <c r="A11">
        <v>10</v>
      </c>
      <c r="B11" s="1">
        <v>40544</v>
      </c>
      <c r="C11">
        <v>1</v>
      </c>
      <c r="D11">
        <v>0</v>
      </c>
      <c r="E11">
        <v>1</v>
      </c>
      <c r="F11">
        <v>9</v>
      </c>
      <c r="G11" t="b">
        <v>0</v>
      </c>
      <c r="H11">
        <v>6</v>
      </c>
      <c r="I11">
        <v>1</v>
      </c>
      <c r="J11">
        <v>0.32</v>
      </c>
    </row>
    <row r="12" spans="1:10">
      <c r="A12">
        <v>11</v>
      </c>
      <c r="B12" s="1">
        <v>40544</v>
      </c>
      <c r="C12">
        <v>1</v>
      </c>
      <c r="D12">
        <v>0</v>
      </c>
      <c r="E12">
        <v>1</v>
      </c>
      <c r="F12">
        <v>10</v>
      </c>
      <c r="G12" t="b">
        <v>0</v>
      </c>
      <c r="H12">
        <v>6</v>
      </c>
      <c r="I12">
        <v>1</v>
      </c>
      <c r="J12">
        <v>0.38</v>
      </c>
    </row>
    <row r="13" spans="1:10">
      <c r="A13">
        <v>12</v>
      </c>
      <c r="B13" s="1">
        <v>40544</v>
      </c>
      <c r="C13">
        <v>1</v>
      </c>
      <c r="D13">
        <v>0</v>
      </c>
      <c r="E13">
        <v>1</v>
      </c>
      <c r="F13">
        <v>11</v>
      </c>
      <c r="G13" t="b">
        <v>0</v>
      </c>
      <c r="H13">
        <v>6</v>
      </c>
      <c r="I13">
        <v>1</v>
      </c>
      <c r="J13">
        <v>0.36</v>
      </c>
    </row>
    <row r="14" spans="1:10">
      <c r="A14">
        <v>13</v>
      </c>
      <c r="B14" s="1">
        <v>40544</v>
      </c>
      <c r="C14">
        <v>1</v>
      </c>
      <c r="D14">
        <v>0</v>
      </c>
      <c r="E14">
        <v>1</v>
      </c>
      <c r="F14">
        <v>12</v>
      </c>
      <c r="G14" t="b">
        <v>0</v>
      </c>
      <c r="H14">
        <v>6</v>
      </c>
      <c r="I14">
        <v>1</v>
      </c>
      <c r="J14">
        <v>0.42</v>
      </c>
    </row>
    <row r="15" spans="1:10">
      <c r="A15">
        <v>14</v>
      </c>
      <c r="B15" s="1">
        <v>40544</v>
      </c>
      <c r="C15">
        <v>1</v>
      </c>
      <c r="D15">
        <v>0</v>
      </c>
      <c r="E15">
        <v>1</v>
      </c>
      <c r="F15">
        <v>13</v>
      </c>
      <c r="G15" t="b">
        <v>0</v>
      </c>
      <c r="H15">
        <v>6</v>
      </c>
      <c r="I15">
        <v>2</v>
      </c>
      <c r="J15">
        <v>0.46</v>
      </c>
    </row>
    <row r="16" spans="1:10">
      <c r="A16">
        <v>15</v>
      </c>
      <c r="B16" s="1">
        <v>40544</v>
      </c>
      <c r="C16">
        <v>1</v>
      </c>
      <c r="D16">
        <v>0</v>
      </c>
      <c r="E16">
        <v>1</v>
      </c>
      <c r="F16">
        <v>14</v>
      </c>
      <c r="G16" t="b">
        <v>0</v>
      </c>
      <c r="H16">
        <v>6</v>
      </c>
      <c r="I16">
        <v>2</v>
      </c>
      <c r="J16">
        <v>0.46</v>
      </c>
    </row>
    <row r="17" spans="1:10">
      <c r="A17">
        <v>16</v>
      </c>
      <c r="B17" s="1">
        <v>40544</v>
      </c>
      <c r="C17">
        <v>1</v>
      </c>
      <c r="D17">
        <v>0</v>
      </c>
      <c r="E17">
        <v>1</v>
      </c>
      <c r="F17">
        <v>15</v>
      </c>
      <c r="G17" t="b">
        <v>0</v>
      </c>
      <c r="H17">
        <v>6</v>
      </c>
      <c r="I17">
        <v>2</v>
      </c>
      <c r="J17">
        <v>0.44</v>
      </c>
    </row>
    <row r="18" spans="1:10">
      <c r="A18">
        <v>17</v>
      </c>
      <c r="B18" s="1">
        <v>40544</v>
      </c>
      <c r="C18">
        <v>1</v>
      </c>
      <c r="D18">
        <v>0</v>
      </c>
      <c r="E18">
        <v>1</v>
      </c>
      <c r="F18">
        <v>16</v>
      </c>
      <c r="G18" t="b">
        <v>0</v>
      </c>
      <c r="H18">
        <v>6</v>
      </c>
      <c r="I18">
        <v>2</v>
      </c>
      <c r="J18">
        <v>0.42</v>
      </c>
    </row>
    <row r="19" spans="1:10">
      <c r="A19">
        <v>18</v>
      </c>
      <c r="B19" s="1">
        <v>40544</v>
      </c>
      <c r="C19">
        <v>1</v>
      </c>
      <c r="D19">
        <v>0</v>
      </c>
      <c r="E19">
        <v>1</v>
      </c>
      <c r="F19">
        <v>17</v>
      </c>
      <c r="G19" t="b">
        <v>0</v>
      </c>
      <c r="H19">
        <v>6</v>
      </c>
      <c r="I19">
        <v>2</v>
      </c>
      <c r="J19">
        <v>0.44</v>
      </c>
    </row>
    <row r="20" spans="1:10">
      <c r="A20">
        <v>19</v>
      </c>
      <c r="B20" s="1">
        <v>40544</v>
      </c>
      <c r="C20">
        <v>1</v>
      </c>
      <c r="D20">
        <v>0</v>
      </c>
      <c r="E20">
        <v>1</v>
      </c>
      <c r="F20">
        <v>18</v>
      </c>
      <c r="G20" t="b">
        <v>0</v>
      </c>
      <c r="H20">
        <v>6</v>
      </c>
      <c r="I20">
        <v>3</v>
      </c>
      <c r="J20">
        <v>0.42</v>
      </c>
    </row>
    <row r="21" spans="1:10">
      <c r="A21">
        <v>20</v>
      </c>
      <c r="B21" s="1">
        <v>40544</v>
      </c>
      <c r="C21">
        <v>1</v>
      </c>
      <c r="D21">
        <v>0</v>
      </c>
      <c r="E21">
        <v>1</v>
      </c>
      <c r="F21">
        <v>19</v>
      </c>
      <c r="G21" t="b">
        <v>0</v>
      </c>
      <c r="H21">
        <v>6</v>
      </c>
      <c r="I21">
        <v>3</v>
      </c>
      <c r="J21">
        <v>0.42</v>
      </c>
    </row>
    <row r="22" spans="1:10">
      <c r="A22">
        <v>21</v>
      </c>
      <c r="B22" s="1">
        <v>40544</v>
      </c>
      <c r="C22">
        <v>1</v>
      </c>
      <c r="D22">
        <v>0</v>
      </c>
      <c r="E22">
        <v>1</v>
      </c>
      <c r="F22">
        <v>20</v>
      </c>
      <c r="G22" t="b">
        <v>0</v>
      </c>
      <c r="H22">
        <v>6</v>
      </c>
      <c r="I22">
        <v>2</v>
      </c>
      <c r="J22">
        <v>0.4</v>
      </c>
    </row>
    <row r="23" spans="1:10">
      <c r="A23">
        <v>22</v>
      </c>
      <c r="B23" s="1">
        <v>40544</v>
      </c>
      <c r="C23">
        <v>1</v>
      </c>
      <c r="D23">
        <v>0</v>
      </c>
      <c r="E23">
        <v>1</v>
      </c>
      <c r="F23">
        <v>21</v>
      </c>
      <c r="G23" t="b">
        <v>0</v>
      </c>
      <c r="H23">
        <v>6</v>
      </c>
      <c r="I23">
        <v>2</v>
      </c>
      <c r="J23">
        <v>0.4</v>
      </c>
    </row>
    <row r="24" spans="1:10">
      <c r="A24">
        <v>23</v>
      </c>
      <c r="B24" s="1">
        <v>40544</v>
      </c>
      <c r="C24">
        <v>1</v>
      </c>
      <c r="D24">
        <v>0</v>
      </c>
      <c r="E24">
        <v>1</v>
      </c>
      <c r="F24">
        <v>22</v>
      </c>
      <c r="G24" t="b">
        <v>0</v>
      </c>
      <c r="H24">
        <v>6</v>
      </c>
      <c r="I24">
        <v>2</v>
      </c>
      <c r="J24">
        <v>0.4</v>
      </c>
    </row>
    <row r="25" spans="1:10">
      <c r="A25">
        <v>24</v>
      </c>
      <c r="B25" s="1">
        <v>40544</v>
      </c>
      <c r="C25">
        <v>1</v>
      </c>
      <c r="D25">
        <v>0</v>
      </c>
      <c r="E25">
        <v>1</v>
      </c>
      <c r="F25">
        <v>23</v>
      </c>
      <c r="G25" t="b">
        <v>0</v>
      </c>
      <c r="H25">
        <v>6</v>
      </c>
      <c r="I25">
        <v>2</v>
      </c>
      <c r="J25">
        <v>0.46</v>
      </c>
    </row>
    <row r="26" spans="1:10">
      <c r="A26">
        <v>25</v>
      </c>
      <c r="B26" s="1">
        <v>40545</v>
      </c>
      <c r="C26">
        <v>1</v>
      </c>
      <c r="D26">
        <v>0</v>
      </c>
      <c r="E26">
        <v>1</v>
      </c>
      <c r="F26">
        <v>0</v>
      </c>
      <c r="G26" t="b">
        <v>0</v>
      </c>
      <c r="H26">
        <v>0</v>
      </c>
      <c r="I26">
        <v>2</v>
      </c>
      <c r="J26">
        <v>0.46</v>
      </c>
    </row>
    <row r="27" spans="1:10">
      <c r="A27">
        <v>26</v>
      </c>
      <c r="B27" s="1">
        <v>40545</v>
      </c>
      <c r="C27">
        <v>1</v>
      </c>
      <c r="D27">
        <v>0</v>
      </c>
      <c r="E27">
        <v>1</v>
      </c>
      <c r="F27">
        <v>1</v>
      </c>
      <c r="G27" t="b">
        <v>0</v>
      </c>
      <c r="H27">
        <v>0</v>
      </c>
      <c r="I27">
        <v>2</v>
      </c>
      <c r="J27">
        <v>0.44</v>
      </c>
    </row>
    <row r="28" spans="1:10">
      <c r="A28">
        <v>27</v>
      </c>
      <c r="B28" s="1">
        <v>40545</v>
      </c>
      <c r="C28">
        <v>1</v>
      </c>
      <c r="D28">
        <v>0</v>
      </c>
      <c r="E28">
        <v>1</v>
      </c>
      <c r="F28">
        <v>2</v>
      </c>
      <c r="G28" t="b">
        <v>0</v>
      </c>
      <c r="H28">
        <v>0</v>
      </c>
      <c r="I28">
        <v>2</v>
      </c>
      <c r="J28">
        <v>0.42</v>
      </c>
    </row>
    <row r="29" spans="1:10">
      <c r="A29">
        <v>28</v>
      </c>
      <c r="B29" s="1">
        <v>40545</v>
      </c>
      <c r="C29">
        <v>1</v>
      </c>
      <c r="D29">
        <v>0</v>
      </c>
      <c r="E29">
        <v>1</v>
      </c>
      <c r="F29">
        <v>3</v>
      </c>
      <c r="G29" t="b">
        <v>0</v>
      </c>
      <c r="H29">
        <v>0</v>
      </c>
      <c r="I29">
        <v>2</v>
      </c>
      <c r="J29">
        <v>0.46</v>
      </c>
    </row>
    <row r="30" spans="1:10">
      <c r="A30">
        <v>29</v>
      </c>
      <c r="B30" s="1">
        <v>40545</v>
      </c>
      <c r="C30">
        <v>1</v>
      </c>
      <c r="D30">
        <v>0</v>
      </c>
      <c r="E30">
        <v>1</v>
      </c>
      <c r="F30">
        <v>4</v>
      </c>
      <c r="G30" t="b">
        <v>0</v>
      </c>
      <c r="H30">
        <v>0</v>
      </c>
      <c r="I30">
        <v>2</v>
      </c>
      <c r="J30">
        <v>0.46</v>
      </c>
    </row>
    <row r="31" spans="1:10">
      <c r="A31">
        <v>30</v>
      </c>
      <c r="B31" s="1">
        <v>40545</v>
      </c>
      <c r="C31">
        <v>1</v>
      </c>
      <c r="D31">
        <v>0</v>
      </c>
      <c r="E31">
        <v>1</v>
      </c>
      <c r="F31">
        <v>6</v>
      </c>
      <c r="G31" t="b">
        <v>0</v>
      </c>
      <c r="H31">
        <v>0</v>
      </c>
      <c r="I31">
        <v>3</v>
      </c>
      <c r="J31">
        <v>0.42</v>
      </c>
    </row>
    <row r="32" spans="1:10">
      <c r="A32">
        <v>31</v>
      </c>
      <c r="B32" s="1">
        <v>40545</v>
      </c>
      <c r="C32">
        <v>1</v>
      </c>
      <c r="D32">
        <v>0</v>
      </c>
      <c r="E32">
        <v>1</v>
      </c>
      <c r="F32">
        <v>7</v>
      </c>
      <c r="G32" t="b">
        <v>0</v>
      </c>
      <c r="H32">
        <v>0</v>
      </c>
      <c r="I32">
        <v>2</v>
      </c>
      <c r="J32">
        <v>0.4</v>
      </c>
    </row>
    <row r="33" spans="1:10">
      <c r="A33">
        <v>32</v>
      </c>
      <c r="B33" s="1">
        <v>40545</v>
      </c>
      <c r="C33">
        <v>1</v>
      </c>
      <c r="D33">
        <v>0</v>
      </c>
      <c r="E33">
        <v>1</v>
      </c>
      <c r="F33">
        <v>8</v>
      </c>
      <c r="G33" t="b">
        <v>0</v>
      </c>
      <c r="H33">
        <v>0</v>
      </c>
      <c r="I33">
        <v>3</v>
      </c>
      <c r="J33">
        <v>0.4</v>
      </c>
    </row>
    <row r="34" spans="1:10">
      <c r="A34">
        <v>33</v>
      </c>
      <c r="B34" s="1">
        <v>40545</v>
      </c>
      <c r="C34">
        <v>1</v>
      </c>
      <c r="D34">
        <v>0</v>
      </c>
      <c r="E34">
        <v>1</v>
      </c>
      <c r="F34">
        <v>9</v>
      </c>
      <c r="G34" t="b">
        <v>0</v>
      </c>
      <c r="H34">
        <v>0</v>
      </c>
      <c r="I34">
        <v>2</v>
      </c>
      <c r="J34">
        <v>0.38</v>
      </c>
    </row>
    <row r="35" spans="1:10">
      <c r="A35">
        <v>34</v>
      </c>
      <c r="B35" s="1">
        <v>40545</v>
      </c>
      <c r="C35">
        <v>1</v>
      </c>
      <c r="D35">
        <v>0</v>
      </c>
      <c r="E35">
        <v>1</v>
      </c>
      <c r="F35">
        <v>10</v>
      </c>
      <c r="G35" t="b">
        <v>0</v>
      </c>
      <c r="H35">
        <v>0</v>
      </c>
      <c r="I35">
        <v>2</v>
      </c>
      <c r="J35">
        <v>0.36</v>
      </c>
    </row>
    <row r="36" spans="1:10">
      <c r="A36">
        <v>35</v>
      </c>
      <c r="B36" s="1">
        <v>40545</v>
      </c>
      <c r="C36">
        <v>1</v>
      </c>
      <c r="D36">
        <v>0</v>
      </c>
      <c r="E36">
        <v>1</v>
      </c>
      <c r="F36">
        <v>11</v>
      </c>
      <c r="G36" t="b">
        <v>0</v>
      </c>
      <c r="H36">
        <v>0</v>
      </c>
      <c r="I36">
        <v>2</v>
      </c>
      <c r="J36">
        <v>0.36</v>
      </c>
    </row>
    <row r="37" spans="1:10">
      <c r="A37">
        <v>36</v>
      </c>
      <c r="B37" s="1">
        <v>40545</v>
      </c>
      <c r="C37">
        <v>1</v>
      </c>
      <c r="D37">
        <v>0</v>
      </c>
      <c r="E37">
        <v>1</v>
      </c>
      <c r="F37">
        <v>12</v>
      </c>
      <c r="G37" t="b">
        <v>0</v>
      </c>
      <c r="H37">
        <v>0</v>
      </c>
      <c r="I37">
        <v>2</v>
      </c>
      <c r="J37">
        <v>0.36</v>
      </c>
    </row>
    <row r="38" spans="1:10">
      <c r="A38">
        <v>37</v>
      </c>
      <c r="B38" s="1">
        <v>40545</v>
      </c>
      <c r="C38">
        <v>1</v>
      </c>
      <c r="D38">
        <v>0</v>
      </c>
      <c r="E38">
        <v>1</v>
      </c>
      <c r="F38">
        <v>13</v>
      </c>
      <c r="G38" t="b">
        <v>0</v>
      </c>
      <c r="H38">
        <v>0</v>
      </c>
      <c r="I38">
        <v>2</v>
      </c>
      <c r="J38">
        <v>0.36</v>
      </c>
    </row>
    <row r="39" spans="1:10">
      <c r="A39">
        <v>38</v>
      </c>
      <c r="B39" s="1">
        <v>40545</v>
      </c>
      <c r="C39">
        <v>1</v>
      </c>
      <c r="D39">
        <v>0</v>
      </c>
      <c r="E39">
        <v>1</v>
      </c>
      <c r="F39">
        <v>14</v>
      </c>
      <c r="G39" t="b">
        <v>0</v>
      </c>
      <c r="H39">
        <v>0</v>
      </c>
      <c r="I39">
        <v>3</v>
      </c>
      <c r="J39">
        <v>0.36</v>
      </c>
    </row>
    <row r="40" spans="1:10">
      <c r="A40">
        <v>39</v>
      </c>
      <c r="B40" s="1">
        <v>40545</v>
      </c>
      <c r="C40">
        <v>1</v>
      </c>
      <c r="D40">
        <v>0</v>
      </c>
      <c r="E40">
        <v>1</v>
      </c>
      <c r="F40">
        <v>15</v>
      </c>
      <c r="G40" t="b">
        <v>0</v>
      </c>
      <c r="H40">
        <v>0</v>
      </c>
      <c r="I40">
        <v>3</v>
      </c>
      <c r="J40">
        <v>0.34</v>
      </c>
    </row>
    <row r="41" spans="1:10">
      <c r="A41">
        <v>40</v>
      </c>
      <c r="B41" s="1">
        <v>40545</v>
      </c>
      <c r="C41">
        <v>1</v>
      </c>
      <c r="D41">
        <v>0</v>
      </c>
      <c r="E41">
        <v>1</v>
      </c>
      <c r="F41">
        <v>16</v>
      </c>
      <c r="G41" t="b">
        <v>0</v>
      </c>
      <c r="H41">
        <v>0</v>
      </c>
      <c r="I41">
        <v>3</v>
      </c>
      <c r="J41">
        <v>0.34</v>
      </c>
    </row>
    <row r="42" spans="1:10">
      <c r="A42">
        <v>41</v>
      </c>
      <c r="B42" s="1">
        <v>40545</v>
      </c>
      <c r="C42">
        <v>1</v>
      </c>
      <c r="D42">
        <v>0</v>
      </c>
      <c r="E42">
        <v>1</v>
      </c>
      <c r="F42">
        <v>17</v>
      </c>
      <c r="G42" t="b">
        <v>0</v>
      </c>
      <c r="H42">
        <v>0</v>
      </c>
      <c r="I42">
        <v>1</v>
      </c>
      <c r="J42">
        <v>0.34</v>
      </c>
    </row>
    <row r="43" spans="1:10">
      <c r="A43">
        <v>42</v>
      </c>
      <c r="B43" s="1">
        <v>40545</v>
      </c>
      <c r="C43">
        <v>1</v>
      </c>
      <c r="D43">
        <v>0</v>
      </c>
      <c r="E43">
        <v>1</v>
      </c>
      <c r="F43">
        <v>18</v>
      </c>
      <c r="G43" t="b">
        <v>0</v>
      </c>
      <c r="H43">
        <v>0</v>
      </c>
      <c r="I43">
        <v>2</v>
      </c>
      <c r="J43">
        <v>0.36</v>
      </c>
    </row>
    <row r="44" spans="1:10">
      <c r="A44">
        <v>43</v>
      </c>
      <c r="B44" s="1">
        <v>40545</v>
      </c>
      <c r="C44">
        <v>1</v>
      </c>
      <c r="D44">
        <v>0</v>
      </c>
      <c r="E44">
        <v>1</v>
      </c>
      <c r="F44">
        <v>19</v>
      </c>
      <c r="G44" t="b">
        <v>0</v>
      </c>
      <c r="H44">
        <v>0</v>
      </c>
      <c r="I44">
        <v>1</v>
      </c>
      <c r="J44">
        <v>0.32</v>
      </c>
    </row>
    <row r="45" spans="1:10">
      <c r="A45">
        <v>44</v>
      </c>
      <c r="B45" s="1">
        <v>40545</v>
      </c>
      <c r="C45">
        <v>1</v>
      </c>
      <c r="D45">
        <v>0</v>
      </c>
      <c r="E45">
        <v>1</v>
      </c>
      <c r="F45">
        <v>20</v>
      </c>
      <c r="G45" t="b">
        <v>0</v>
      </c>
      <c r="H45">
        <v>0</v>
      </c>
      <c r="I45">
        <v>1</v>
      </c>
      <c r="J45">
        <v>0.3</v>
      </c>
    </row>
    <row r="46" spans="1:10">
      <c r="A46">
        <v>45</v>
      </c>
      <c r="B46" s="1">
        <v>40545</v>
      </c>
      <c r="C46">
        <v>1</v>
      </c>
      <c r="D46">
        <v>0</v>
      </c>
      <c r="E46">
        <v>1</v>
      </c>
      <c r="F46">
        <v>21</v>
      </c>
      <c r="G46" t="b">
        <v>0</v>
      </c>
      <c r="H46">
        <v>0</v>
      </c>
      <c r="I46">
        <v>1</v>
      </c>
      <c r="J46">
        <v>0.26</v>
      </c>
    </row>
    <row r="47" spans="1:10">
      <c r="A47">
        <v>46</v>
      </c>
      <c r="B47" s="1">
        <v>40545</v>
      </c>
      <c r="C47">
        <v>1</v>
      </c>
      <c r="D47">
        <v>0</v>
      </c>
      <c r="E47">
        <v>1</v>
      </c>
      <c r="F47">
        <v>22</v>
      </c>
      <c r="G47" t="b">
        <v>0</v>
      </c>
      <c r="H47">
        <v>0</v>
      </c>
      <c r="I47">
        <v>1</v>
      </c>
      <c r="J47">
        <v>0.24</v>
      </c>
    </row>
    <row r="48" spans="1:10">
      <c r="A48">
        <v>47</v>
      </c>
      <c r="B48" s="1">
        <v>40545</v>
      </c>
      <c r="C48">
        <v>1</v>
      </c>
      <c r="D48">
        <v>0</v>
      </c>
      <c r="E48">
        <v>1</v>
      </c>
      <c r="F48">
        <v>23</v>
      </c>
      <c r="G48" t="b">
        <v>0</v>
      </c>
      <c r="H48">
        <v>0</v>
      </c>
      <c r="I48">
        <v>1</v>
      </c>
      <c r="J48">
        <v>0.22</v>
      </c>
    </row>
    <row r="49" spans="1:10">
      <c r="A49">
        <v>48</v>
      </c>
      <c r="B49" s="1">
        <v>40546</v>
      </c>
      <c r="C49">
        <v>1</v>
      </c>
      <c r="D49">
        <v>0</v>
      </c>
      <c r="E49">
        <v>1</v>
      </c>
      <c r="F49">
        <v>0</v>
      </c>
      <c r="G49" t="b">
        <v>0</v>
      </c>
      <c r="H49">
        <v>1</v>
      </c>
      <c r="I49">
        <v>1</v>
      </c>
      <c r="J49">
        <v>0.22</v>
      </c>
    </row>
    <row r="50" spans="1:10">
      <c r="A50">
        <v>49</v>
      </c>
      <c r="B50" s="1">
        <v>40546</v>
      </c>
      <c r="C50">
        <v>1</v>
      </c>
      <c r="D50">
        <v>0</v>
      </c>
      <c r="E50">
        <v>1</v>
      </c>
      <c r="F50">
        <v>1</v>
      </c>
      <c r="G50" t="b">
        <v>0</v>
      </c>
      <c r="H50">
        <v>1</v>
      </c>
      <c r="I50">
        <v>1</v>
      </c>
      <c r="J50">
        <v>0.2</v>
      </c>
    </row>
    <row r="51" spans="1:10">
      <c r="A51">
        <v>50</v>
      </c>
      <c r="B51" s="1">
        <v>40546</v>
      </c>
      <c r="C51">
        <v>1</v>
      </c>
      <c r="D51">
        <v>0</v>
      </c>
      <c r="E51">
        <v>1</v>
      </c>
      <c r="F51">
        <v>4</v>
      </c>
      <c r="G51" t="b">
        <v>0</v>
      </c>
      <c r="H51">
        <v>1</v>
      </c>
      <c r="I51">
        <v>1</v>
      </c>
      <c r="J51">
        <v>0.16</v>
      </c>
    </row>
    <row r="52" spans="1:10">
      <c r="A52">
        <v>51</v>
      </c>
      <c r="B52" s="1">
        <v>40546</v>
      </c>
      <c r="C52">
        <v>1</v>
      </c>
      <c r="D52">
        <v>0</v>
      </c>
      <c r="E52">
        <v>1</v>
      </c>
      <c r="F52">
        <v>5</v>
      </c>
      <c r="G52" t="b">
        <v>0</v>
      </c>
      <c r="H52">
        <v>1</v>
      </c>
      <c r="I52">
        <v>1</v>
      </c>
      <c r="J52">
        <v>0.16</v>
      </c>
    </row>
    <row r="53" spans="1:10">
      <c r="A53">
        <v>52</v>
      </c>
      <c r="B53" s="1">
        <v>40546</v>
      </c>
      <c r="C53">
        <v>1</v>
      </c>
      <c r="D53">
        <v>0</v>
      </c>
      <c r="E53">
        <v>1</v>
      </c>
      <c r="F53">
        <v>6</v>
      </c>
      <c r="G53" t="b">
        <v>0</v>
      </c>
      <c r="H53">
        <v>1</v>
      </c>
      <c r="I53">
        <v>1</v>
      </c>
      <c r="J53">
        <v>0.14000000000000001</v>
      </c>
    </row>
    <row r="54" spans="1:10">
      <c r="A54">
        <v>53</v>
      </c>
      <c r="B54" s="1">
        <v>40546</v>
      </c>
      <c r="C54">
        <v>1</v>
      </c>
      <c r="D54">
        <v>0</v>
      </c>
      <c r="E54">
        <v>1</v>
      </c>
      <c r="F54">
        <v>7</v>
      </c>
      <c r="G54" t="b">
        <v>0</v>
      </c>
      <c r="H54">
        <v>1</v>
      </c>
      <c r="I54">
        <v>1</v>
      </c>
      <c r="J54">
        <v>0.14000000000000001</v>
      </c>
    </row>
    <row r="55" spans="1:10">
      <c r="A55">
        <v>54</v>
      </c>
      <c r="B55" s="1">
        <v>40546</v>
      </c>
      <c r="C55">
        <v>1</v>
      </c>
      <c r="D55">
        <v>0</v>
      </c>
      <c r="E55">
        <v>1</v>
      </c>
      <c r="F55">
        <v>8</v>
      </c>
      <c r="G55" t="b">
        <v>0</v>
      </c>
      <c r="H55">
        <v>1</v>
      </c>
      <c r="I55">
        <v>1</v>
      </c>
      <c r="J55">
        <v>0.14000000000000001</v>
      </c>
    </row>
    <row r="56" spans="1:10">
      <c r="A56">
        <v>55</v>
      </c>
      <c r="B56" s="1">
        <v>40546</v>
      </c>
      <c r="C56">
        <v>1</v>
      </c>
      <c r="D56">
        <v>0</v>
      </c>
      <c r="E56">
        <v>1</v>
      </c>
      <c r="F56">
        <v>9</v>
      </c>
      <c r="G56" t="b">
        <v>0</v>
      </c>
      <c r="H56">
        <v>1</v>
      </c>
      <c r="I56">
        <v>1</v>
      </c>
      <c r="J56">
        <v>0.16</v>
      </c>
    </row>
    <row r="57" spans="1:10">
      <c r="A57">
        <v>56</v>
      </c>
      <c r="B57" s="1">
        <v>40546</v>
      </c>
      <c r="C57">
        <v>1</v>
      </c>
      <c r="D57">
        <v>0</v>
      </c>
      <c r="E57">
        <v>1</v>
      </c>
      <c r="F57">
        <v>10</v>
      </c>
      <c r="G57" t="b">
        <v>0</v>
      </c>
      <c r="H57">
        <v>1</v>
      </c>
      <c r="I57">
        <v>1</v>
      </c>
      <c r="J57">
        <v>0.18</v>
      </c>
    </row>
    <row r="58" spans="1:10">
      <c r="A58">
        <v>57</v>
      </c>
      <c r="B58" s="1">
        <v>40546</v>
      </c>
      <c r="C58">
        <v>1</v>
      </c>
      <c r="D58">
        <v>0</v>
      </c>
      <c r="E58">
        <v>1</v>
      </c>
      <c r="F58">
        <v>11</v>
      </c>
      <c r="G58" t="b">
        <v>0</v>
      </c>
      <c r="H58">
        <v>1</v>
      </c>
      <c r="I58">
        <v>1</v>
      </c>
      <c r="J58">
        <v>0.2</v>
      </c>
    </row>
    <row r="59" spans="1:10">
      <c r="A59">
        <v>58</v>
      </c>
      <c r="B59" s="1">
        <v>40546</v>
      </c>
      <c r="C59">
        <v>1</v>
      </c>
      <c r="D59">
        <v>0</v>
      </c>
      <c r="E59">
        <v>1</v>
      </c>
      <c r="F59">
        <v>12</v>
      </c>
      <c r="G59" t="b">
        <v>0</v>
      </c>
      <c r="H59">
        <v>1</v>
      </c>
      <c r="I59">
        <v>1</v>
      </c>
      <c r="J59">
        <v>0.22</v>
      </c>
    </row>
    <row r="60" spans="1:10">
      <c r="A60">
        <v>59</v>
      </c>
      <c r="B60" s="1">
        <v>40546</v>
      </c>
      <c r="C60">
        <v>1</v>
      </c>
      <c r="D60">
        <v>0</v>
      </c>
      <c r="E60">
        <v>1</v>
      </c>
      <c r="F60">
        <v>13</v>
      </c>
      <c r="G60" t="b">
        <v>0</v>
      </c>
      <c r="H60">
        <v>1</v>
      </c>
      <c r="I60">
        <v>1</v>
      </c>
      <c r="J60">
        <v>0.24</v>
      </c>
    </row>
    <row r="61" spans="1:10">
      <c r="A61">
        <v>60</v>
      </c>
      <c r="B61" s="1">
        <v>40546</v>
      </c>
      <c r="C61">
        <v>1</v>
      </c>
      <c r="D61">
        <v>0</v>
      </c>
      <c r="E61">
        <v>1</v>
      </c>
      <c r="F61">
        <v>14</v>
      </c>
      <c r="G61" t="b">
        <v>0</v>
      </c>
      <c r="H61">
        <v>1</v>
      </c>
      <c r="I61">
        <v>1</v>
      </c>
      <c r="J61">
        <v>0.26</v>
      </c>
    </row>
    <row r="62" spans="1:10">
      <c r="A62">
        <v>61</v>
      </c>
      <c r="B62" s="1">
        <v>40546</v>
      </c>
      <c r="C62">
        <v>1</v>
      </c>
      <c r="D62">
        <v>0</v>
      </c>
      <c r="E62">
        <v>1</v>
      </c>
      <c r="F62">
        <v>15</v>
      </c>
      <c r="G62" t="b">
        <v>0</v>
      </c>
      <c r="H62">
        <v>1</v>
      </c>
      <c r="I62">
        <v>1</v>
      </c>
      <c r="J62">
        <v>0.26</v>
      </c>
    </row>
    <row r="63" spans="1:10">
      <c r="A63">
        <v>62</v>
      </c>
      <c r="B63" s="1">
        <v>40546</v>
      </c>
      <c r="C63">
        <v>1</v>
      </c>
      <c r="D63">
        <v>0</v>
      </c>
      <c r="E63">
        <v>1</v>
      </c>
      <c r="F63">
        <v>16</v>
      </c>
      <c r="G63" t="b">
        <v>0</v>
      </c>
      <c r="H63">
        <v>1</v>
      </c>
      <c r="I63">
        <v>1</v>
      </c>
      <c r="J63">
        <v>0.26</v>
      </c>
    </row>
    <row r="64" spans="1:10">
      <c r="A64">
        <v>63</v>
      </c>
      <c r="B64" s="1">
        <v>40546</v>
      </c>
      <c r="C64">
        <v>1</v>
      </c>
      <c r="D64">
        <v>0</v>
      </c>
      <c r="E64">
        <v>1</v>
      </c>
      <c r="F64">
        <v>17</v>
      </c>
      <c r="G64" t="b">
        <v>0</v>
      </c>
      <c r="H64">
        <v>1</v>
      </c>
      <c r="I64">
        <v>1</v>
      </c>
      <c r="J64">
        <v>0.24</v>
      </c>
    </row>
    <row r="65" spans="1:10">
      <c r="A65">
        <v>64</v>
      </c>
      <c r="B65" s="1">
        <v>40546</v>
      </c>
      <c r="C65">
        <v>1</v>
      </c>
      <c r="D65">
        <v>0</v>
      </c>
      <c r="E65">
        <v>1</v>
      </c>
      <c r="F65">
        <v>18</v>
      </c>
      <c r="G65" t="b">
        <v>0</v>
      </c>
      <c r="H65">
        <v>1</v>
      </c>
      <c r="I65">
        <v>1</v>
      </c>
      <c r="J65">
        <v>0.24</v>
      </c>
    </row>
    <row r="66" spans="1:10">
      <c r="A66">
        <v>65</v>
      </c>
      <c r="B66" s="1">
        <v>40546</v>
      </c>
      <c r="C66">
        <v>1</v>
      </c>
      <c r="D66">
        <v>0</v>
      </c>
      <c r="E66">
        <v>1</v>
      </c>
      <c r="F66">
        <v>19</v>
      </c>
      <c r="G66" t="b">
        <v>0</v>
      </c>
      <c r="H66">
        <v>1</v>
      </c>
      <c r="I66">
        <v>1</v>
      </c>
      <c r="J66">
        <v>0.2</v>
      </c>
    </row>
    <row r="67" spans="1:10">
      <c r="A67">
        <v>66</v>
      </c>
      <c r="B67" s="1">
        <v>40546</v>
      </c>
      <c r="C67">
        <v>1</v>
      </c>
      <c r="D67">
        <v>0</v>
      </c>
      <c r="E67">
        <v>1</v>
      </c>
      <c r="F67">
        <v>20</v>
      </c>
      <c r="G67" t="b">
        <v>0</v>
      </c>
      <c r="H67">
        <v>1</v>
      </c>
      <c r="I67">
        <v>1</v>
      </c>
      <c r="J67">
        <v>0.2</v>
      </c>
    </row>
    <row r="68" spans="1:10">
      <c r="A68">
        <v>67</v>
      </c>
      <c r="B68" s="1">
        <v>40546</v>
      </c>
      <c r="C68">
        <v>1</v>
      </c>
      <c r="D68">
        <v>0</v>
      </c>
      <c r="E68">
        <v>1</v>
      </c>
      <c r="F68">
        <v>21</v>
      </c>
      <c r="G68" t="b">
        <v>0</v>
      </c>
      <c r="H68">
        <v>1</v>
      </c>
      <c r="I68">
        <v>1</v>
      </c>
      <c r="J68">
        <v>0.18</v>
      </c>
    </row>
    <row r="69" spans="1:10">
      <c r="A69">
        <v>68</v>
      </c>
      <c r="B69" s="1">
        <v>40546</v>
      </c>
      <c r="C69">
        <v>1</v>
      </c>
      <c r="D69">
        <v>0</v>
      </c>
      <c r="E69">
        <v>1</v>
      </c>
      <c r="F69">
        <v>22</v>
      </c>
      <c r="G69" t="b">
        <v>0</v>
      </c>
      <c r="H69">
        <v>1</v>
      </c>
      <c r="I69">
        <v>1</v>
      </c>
      <c r="J69">
        <v>0.14000000000000001</v>
      </c>
    </row>
    <row r="70" spans="1:10">
      <c r="A70">
        <v>69</v>
      </c>
      <c r="B70" s="1">
        <v>40546</v>
      </c>
      <c r="C70">
        <v>1</v>
      </c>
      <c r="D70">
        <v>0</v>
      </c>
      <c r="E70">
        <v>1</v>
      </c>
      <c r="F70">
        <v>23</v>
      </c>
      <c r="G70" t="b">
        <v>0</v>
      </c>
      <c r="H70">
        <v>1</v>
      </c>
      <c r="I70">
        <v>1</v>
      </c>
      <c r="J70">
        <v>0.18</v>
      </c>
    </row>
    <row r="71" spans="1:10">
      <c r="A71">
        <v>70</v>
      </c>
      <c r="B71" s="1">
        <v>40547</v>
      </c>
      <c r="C71">
        <v>1</v>
      </c>
      <c r="D71">
        <v>0</v>
      </c>
      <c r="E71">
        <v>1</v>
      </c>
      <c r="F71">
        <v>0</v>
      </c>
      <c r="G71" t="b">
        <v>0</v>
      </c>
      <c r="H71">
        <v>2</v>
      </c>
      <c r="I71">
        <v>1</v>
      </c>
      <c r="J71">
        <v>0.16</v>
      </c>
    </row>
    <row r="72" spans="1:10">
      <c r="A72">
        <v>71</v>
      </c>
      <c r="B72" s="1">
        <v>40547</v>
      </c>
      <c r="C72">
        <v>1</v>
      </c>
      <c r="D72">
        <v>0</v>
      </c>
      <c r="E72">
        <v>1</v>
      </c>
      <c r="F72">
        <v>1</v>
      </c>
      <c r="G72" t="b">
        <v>0</v>
      </c>
      <c r="H72">
        <v>2</v>
      </c>
      <c r="I72">
        <v>1</v>
      </c>
      <c r="J72">
        <v>0.16</v>
      </c>
    </row>
    <row r="73" spans="1:10">
      <c r="A73">
        <v>72</v>
      </c>
      <c r="B73" s="1">
        <v>40547</v>
      </c>
      <c r="C73">
        <v>1</v>
      </c>
      <c r="D73">
        <v>0</v>
      </c>
      <c r="E73">
        <v>1</v>
      </c>
      <c r="F73">
        <v>2</v>
      </c>
      <c r="G73" t="b">
        <v>0</v>
      </c>
      <c r="H73">
        <v>2</v>
      </c>
      <c r="I73">
        <v>1</v>
      </c>
      <c r="J73">
        <v>0.14000000000000001</v>
      </c>
    </row>
    <row r="74" spans="1:10">
      <c r="A74">
        <v>73</v>
      </c>
      <c r="B74" s="1">
        <v>40547</v>
      </c>
      <c r="C74">
        <v>1</v>
      </c>
      <c r="D74">
        <v>0</v>
      </c>
      <c r="E74">
        <v>1</v>
      </c>
      <c r="F74">
        <v>4</v>
      </c>
      <c r="G74" t="b">
        <v>0</v>
      </c>
      <c r="H74">
        <v>2</v>
      </c>
      <c r="I74">
        <v>1</v>
      </c>
      <c r="J74">
        <v>0.14000000000000001</v>
      </c>
    </row>
    <row r="75" spans="1:10">
      <c r="A75">
        <v>74</v>
      </c>
      <c r="B75" s="1">
        <v>40547</v>
      </c>
      <c r="C75">
        <v>1</v>
      </c>
      <c r="D75">
        <v>0</v>
      </c>
      <c r="E75">
        <v>1</v>
      </c>
      <c r="F75">
        <v>5</v>
      </c>
      <c r="G75" t="b">
        <v>0</v>
      </c>
      <c r="H75">
        <v>2</v>
      </c>
      <c r="I75">
        <v>1</v>
      </c>
      <c r="J75">
        <v>0.12</v>
      </c>
    </row>
    <row r="76" spans="1:10">
      <c r="A76">
        <v>75</v>
      </c>
      <c r="B76" s="1">
        <v>40547</v>
      </c>
      <c r="C76">
        <v>1</v>
      </c>
      <c r="D76">
        <v>0</v>
      </c>
      <c r="E76">
        <v>1</v>
      </c>
      <c r="F76">
        <v>6</v>
      </c>
      <c r="G76" t="b">
        <v>0</v>
      </c>
      <c r="H76">
        <v>2</v>
      </c>
      <c r="I76">
        <v>1</v>
      </c>
      <c r="J76">
        <v>0.12</v>
      </c>
    </row>
    <row r="77" spans="1:10">
      <c r="A77">
        <v>76</v>
      </c>
      <c r="B77" s="1">
        <v>40547</v>
      </c>
      <c r="C77">
        <v>1</v>
      </c>
      <c r="D77">
        <v>0</v>
      </c>
      <c r="E77">
        <v>1</v>
      </c>
      <c r="F77">
        <v>7</v>
      </c>
      <c r="G77" t="b">
        <v>0</v>
      </c>
      <c r="H77">
        <v>2</v>
      </c>
      <c r="I77">
        <v>1</v>
      </c>
      <c r="J77">
        <v>0.12</v>
      </c>
    </row>
    <row r="78" spans="1:10">
      <c r="A78">
        <v>77</v>
      </c>
      <c r="B78" s="1">
        <v>40547</v>
      </c>
      <c r="C78">
        <v>1</v>
      </c>
      <c r="D78">
        <v>0</v>
      </c>
      <c r="E78">
        <v>1</v>
      </c>
      <c r="F78">
        <v>8</v>
      </c>
      <c r="G78" t="b">
        <v>0</v>
      </c>
      <c r="H78">
        <v>2</v>
      </c>
      <c r="I78">
        <v>1</v>
      </c>
      <c r="J78">
        <v>0.14000000000000001</v>
      </c>
    </row>
    <row r="79" spans="1:10">
      <c r="A79">
        <v>78</v>
      </c>
      <c r="B79" s="1">
        <v>40547</v>
      </c>
      <c r="C79">
        <v>1</v>
      </c>
      <c r="D79">
        <v>0</v>
      </c>
      <c r="E79">
        <v>1</v>
      </c>
      <c r="F79">
        <v>9</v>
      </c>
      <c r="G79" t="b">
        <v>0</v>
      </c>
      <c r="H79">
        <v>2</v>
      </c>
      <c r="I79">
        <v>1</v>
      </c>
      <c r="J79">
        <v>0.16</v>
      </c>
    </row>
    <row r="80" spans="1:10">
      <c r="A80">
        <v>79</v>
      </c>
      <c r="B80" s="1">
        <v>40547</v>
      </c>
      <c r="C80">
        <v>1</v>
      </c>
      <c r="D80">
        <v>0</v>
      </c>
      <c r="E80">
        <v>1</v>
      </c>
      <c r="F80">
        <v>10</v>
      </c>
      <c r="G80" t="b">
        <v>0</v>
      </c>
      <c r="H80">
        <v>2</v>
      </c>
      <c r="I80">
        <v>2</v>
      </c>
      <c r="J80">
        <v>0.16</v>
      </c>
    </row>
    <row r="81" spans="1:10">
      <c r="A81">
        <v>80</v>
      </c>
      <c r="B81" s="1">
        <v>40547</v>
      </c>
      <c r="C81">
        <v>1</v>
      </c>
      <c r="D81">
        <v>0</v>
      </c>
      <c r="E81">
        <v>1</v>
      </c>
      <c r="F81">
        <v>11</v>
      </c>
      <c r="G81" t="b">
        <v>0</v>
      </c>
      <c r="H81">
        <v>2</v>
      </c>
      <c r="I81">
        <v>1</v>
      </c>
      <c r="J81">
        <v>0.22</v>
      </c>
    </row>
    <row r="82" spans="1:10">
      <c r="A82">
        <v>81</v>
      </c>
      <c r="B82" s="1">
        <v>40547</v>
      </c>
      <c r="C82">
        <v>1</v>
      </c>
      <c r="D82">
        <v>0</v>
      </c>
      <c r="E82">
        <v>1</v>
      </c>
      <c r="F82">
        <v>12</v>
      </c>
      <c r="G82" t="b">
        <v>0</v>
      </c>
      <c r="H82">
        <v>2</v>
      </c>
      <c r="I82">
        <v>1</v>
      </c>
      <c r="J82">
        <v>0.22</v>
      </c>
    </row>
    <row r="83" spans="1:10">
      <c r="A83">
        <v>82</v>
      </c>
      <c r="B83" s="1">
        <v>40547</v>
      </c>
      <c r="C83">
        <v>1</v>
      </c>
      <c r="D83">
        <v>0</v>
      </c>
      <c r="E83">
        <v>1</v>
      </c>
      <c r="F83">
        <v>13</v>
      </c>
      <c r="G83" t="b">
        <v>0</v>
      </c>
      <c r="H83">
        <v>2</v>
      </c>
      <c r="I83">
        <v>1</v>
      </c>
      <c r="J83">
        <v>0.24</v>
      </c>
    </row>
    <row r="84" spans="1:10">
      <c r="A84">
        <v>83</v>
      </c>
      <c r="B84" s="1">
        <v>40547</v>
      </c>
      <c r="C84">
        <v>1</v>
      </c>
      <c r="D84">
        <v>0</v>
      </c>
      <c r="E84">
        <v>1</v>
      </c>
      <c r="F84">
        <v>14</v>
      </c>
      <c r="G84" t="b">
        <v>0</v>
      </c>
      <c r="H84">
        <v>2</v>
      </c>
      <c r="I84">
        <v>1</v>
      </c>
      <c r="J84">
        <v>0.26</v>
      </c>
    </row>
    <row r="85" spans="1:10">
      <c r="A85">
        <v>84</v>
      </c>
      <c r="B85" s="1">
        <v>40547</v>
      </c>
      <c r="C85">
        <v>1</v>
      </c>
      <c r="D85">
        <v>0</v>
      </c>
      <c r="E85">
        <v>1</v>
      </c>
      <c r="F85">
        <v>15</v>
      </c>
      <c r="G85" t="b">
        <v>0</v>
      </c>
      <c r="H85">
        <v>2</v>
      </c>
      <c r="I85">
        <v>1</v>
      </c>
      <c r="J85">
        <v>0.28000000000000003</v>
      </c>
    </row>
    <row r="86" spans="1:10">
      <c r="A86">
        <v>85</v>
      </c>
      <c r="B86" s="1">
        <v>40547</v>
      </c>
      <c r="C86">
        <v>1</v>
      </c>
      <c r="D86">
        <v>0</v>
      </c>
      <c r="E86">
        <v>1</v>
      </c>
      <c r="F86">
        <v>16</v>
      </c>
      <c r="G86" t="b">
        <v>0</v>
      </c>
      <c r="H86">
        <v>2</v>
      </c>
      <c r="I86">
        <v>1</v>
      </c>
      <c r="J86">
        <v>0.3</v>
      </c>
    </row>
    <row r="87" spans="1:10">
      <c r="A87">
        <v>86</v>
      </c>
      <c r="B87" s="1">
        <v>40547</v>
      </c>
      <c r="C87">
        <v>1</v>
      </c>
      <c r="D87">
        <v>0</v>
      </c>
      <c r="E87">
        <v>1</v>
      </c>
      <c r="F87">
        <v>17</v>
      </c>
      <c r="G87" t="b">
        <v>0</v>
      </c>
      <c r="H87">
        <v>2</v>
      </c>
      <c r="I87">
        <v>1</v>
      </c>
      <c r="J87">
        <v>0.28000000000000003</v>
      </c>
    </row>
    <row r="88" spans="1:10">
      <c r="A88">
        <v>87</v>
      </c>
      <c r="B88" s="1">
        <v>40547</v>
      </c>
      <c r="C88">
        <v>1</v>
      </c>
      <c r="D88">
        <v>0</v>
      </c>
      <c r="E88">
        <v>1</v>
      </c>
      <c r="F88">
        <v>18</v>
      </c>
      <c r="G88" t="b">
        <v>0</v>
      </c>
      <c r="H88">
        <v>2</v>
      </c>
      <c r="I88">
        <v>1</v>
      </c>
      <c r="J88">
        <v>0.26</v>
      </c>
    </row>
    <row r="89" spans="1:10">
      <c r="A89">
        <v>88</v>
      </c>
      <c r="B89" s="1">
        <v>40547</v>
      </c>
      <c r="C89">
        <v>1</v>
      </c>
      <c r="D89">
        <v>0</v>
      </c>
      <c r="E89">
        <v>1</v>
      </c>
      <c r="F89">
        <v>19</v>
      </c>
      <c r="G89" t="b">
        <v>0</v>
      </c>
      <c r="H89">
        <v>2</v>
      </c>
      <c r="I89">
        <v>1</v>
      </c>
      <c r="J89">
        <v>0.24</v>
      </c>
    </row>
    <row r="90" spans="1:10">
      <c r="A90">
        <v>89</v>
      </c>
      <c r="B90" s="1">
        <v>40547</v>
      </c>
      <c r="C90">
        <v>1</v>
      </c>
      <c r="D90">
        <v>0</v>
      </c>
      <c r="E90">
        <v>1</v>
      </c>
      <c r="F90">
        <v>20</v>
      </c>
      <c r="G90" t="b">
        <v>0</v>
      </c>
      <c r="H90">
        <v>2</v>
      </c>
      <c r="I90">
        <v>1</v>
      </c>
      <c r="J90">
        <v>0.24</v>
      </c>
    </row>
    <row r="91" spans="1:10">
      <c r="A91">
        <v>90</v>
      </c>
      <c r="B91" s="1">
        <v>40547</v>
      </c>
      <c r="C91">
        <v>1</v>
      </c>
      <c r="D91">
        <v>0</v>
      </c>
      <c r="E91">
        <v>1</v>
      </c>
      <c r="F91">
        <v>21</v>
      </c>
      <c r="G91" t="b">
        <v>0</v>
      </c>
      <c r="H91">
        <v>2</v>
      </c>
      <c r="I91">
        <v>1</v>
      </c>
      <c r="J91">
        <v>0.22</v>
      </c>
    </row>
    <row r="92" spans="1:10">
      <c r="A92">
        <v>91</v>
      </c>
      <c r="B92" s="1">
        <v>40547</v>
      </c>
      <c r="C92">
        <v>1</v>
      </c>
      <c r="D92">
        <v>0</v>
      </c>
      <c r="E92">
        <v>1</v>
      </c>
      <c r="F92">
        <v>22</v>
      </c>
      <c r="G92" t="b">
        <v>0</v>
      </c>
      <c r="H92">
        <v>2</v>
      </c>
      <c r="I92">
        <v>1</v>
      </c>
      <c r="J92">
        <v>0.22</v>
      </c>
    </row>
    <row r="93" spans="1:10">
      <c r="A93">
        <v>92</v>
      </c>
      <c r="B93" s="1">
        <v>40547</v>
      </c>
      <c r="C93">
        <v>1</v>
      </c>
      <c r="D93">
        <v>0</v>
      </c>
      <c r="E93">
        <v>1</v>
      </c>
      <c r="F93">
        <v>23</v>
      </c>
      <c r="G93" t="b">
        <v>0</v>
      </c>
      <c r="H93">
        <v>2</v>
      </c>
      <c r="I93">
        <v>1</v>
      </c>
      <c r="J93">
        <v>0.2</v>
      </c>
    </row>
    <row r="94" spans="1:10">
      <c r="A94">
        <v>93</v>
      </c>
      <c r="B94" s="1">
        <v>40548</v>
      </c>
      <c r="C94">
        <v>1</v>
      </c>
      <c r="D94">
        <v>0</v>
      </c>
      <c r="E94">
        <v>1</v>
      </c>
      <c r="F94">
        <v>0</v>
      </c>
      <c r="G94" t="b">
        <v>0</v>
      </c>
      <c r="H94">
        <v>3</v>
      </c>
      <c r="I94">
        <v>1</v>
      </c>
      <c r="J94">
        <v>0.2</v>
      </c>
    </row>
    <row r="95" spans="1:10">
      <c r="A95">
        <v>94</v>
      </c>
      <c r="B95" s="1">
        <v>40548</v>
      </c>
      <c r="C95">
        <v>1</v>
      </c>
      <c r="D95">
        <v>0</v>
      </c>
      <c r="E95">
        <v>1</v>
      </c>
      <c r="F95">
        <v>1</v>
      </c>
      <c r="G95" t="b">
        <v>0</v>
      </c>
      <c r="H95">
        <v>3</v>
      </c>
      <c r="I95">
        <v>1</v>
      </c>
      <c r="J95">
        <v>0.16</v>
      </c>
    </row>
    <row r="96" spans="1:10">
      <c r="A96">
        <v>95</v>
      </c>
      <c r="B96" s="1">
        <v>40548</v>
      </c>
      <c r="C96">
        <v>1</v>
      </c>
      <c r="D96">
        <v>0</v>
      </c>
      <c r="E96">
        <v>1</v>
      </c>
      <c r="F96">
        <v>2</v>
      </c>
      <c r="G96" t="b">
        <v>0</v>
      </c>
      <c r="H96">
        <v>3</v>
      </c>
      <c r="I96">
        <v>1</v>
      </c>
      <c r="J96">
        <v>0.16</v>
      </c>
    </row>
    <row r="97" spans="1:10">
      <c r="A97">
        <v>96</v>
      </c>
      <c r="B97" s="1">
        <v>40548</v>
      </c>
      <c r="C97">
        <v>1</v>
      </c>
      <c r="D97">
        <v>0</v>
      </c>
      <c r="E97">
        <v>1</v>
      </c>
      <c r="F97">
        <v>4</v>
      </c>
      <c r="G97" t="b">
        <v>0</v>
      </c>
      <c r="H97">
        <v>3</v>
      </c>
      <c r="I97">
        <v>1</v>
      </c>
      <c r="J97">
        <v>0.24</v>
      </c>
    </row>
    <row r="98" spans="1:10">
      <c r="A98">
        <v>97</v>
      </c>
      <c r="B98" s="1">
        <v>40548</v>
      </c>
      <c r="C98">
        <v>1</v>
      </c>
      <c r="D98">
        <v>0</v>
      </c>
      <c r="E98">
        <v>1</v>
      </c>
      <c r="F98">
        <v>5</v>
      </c>
      <c r="G98" t="b">
        <v>0</v>
      </c>
      <c r="H98">
        <v>3</v>
      </c>
      <c r="I98">
        <v>1</v>
      </c>
      <c r="J98">
        <v>0.22</v>
      </c>
    </row>
    <row r="99" spans="1:10">
      <c r="A99">
        <v>98</v>
      </c>
      <c r="B99" s="1">
        <v>40548</v>
      </c>
      <c r="C99">
        <v>1</v>
      </c>
      <c r="D99">
        <v>0</v>
      </c>
      <c r="E99">
        <v>1</v>
      </c>
      <c r="F99">
        <v>6</v>
      </c>
      <c r="G99" t="b">
        <v>0</v>
      </c>
      <c r="H99">
        <v>3</v>
      </c>
      <c r="I99">
        <v>1</v>
      </c>
      <c r="J99">
        <v>0.2</v>
      </c>
    </row>
    <row r="100" spans="1:10">
      <c r="A100">
        <v>99</v>
      </c>
      <c r="B100" s="1">
        <v>40548</v>
      </c>
      <c r="C100">
        <v>1</v>
      </c>
      <c r="D100">
        <v>0</v>
      </c>
      <c r="E100">
        <v>1</v>
      </c>
      <c r="F100">
        <v>7</v>
      </c>
      <c r="G100" t="b">
        <v>0</v>
      </c>
      <c r="H100">
        <v>3</v>
      </c>
      <c r="I100">
        <v>1</v>
      </c>
      <c r="J100">
        <v>0.18</v>
      </c>
    </row>
    <row r="101" spans="1:10">
      <c r="A101">
        <v>100</v>
      </c>
      <c r="B101" s="1">
        <v>40548</v>
      </c>
      <c r="C101">
        <v>1</v>
      </c>
      <c r="D101">
        <v>0</v>
      </c>
      <c r="E101">
        <v>1</v>
      </c>
      <c r="F101">
        <v>8</v>
      </c>
      <c r="G101" t="b">
        <v>0</v>
      </c>
      <c r="H101">
        <v>3</v>
      </c>
      <c r="I101">
        <v>1</v>
      </c>
      <c r="J101">
        <v>0.2</v>
      </c>
    </row>
    <row r="102" spans="1:10">
      <c r="A102">
        <v>101</v>
      </c>
      <c r="B102" s="1">
        <v>40548</v>
      </c>
      <c r="C102">
        <v>1</v>
      </c>
      <c r="D102">
        <v>0</v>
      </c>
      <c r="E102">
        <v>1</v>
      </c>
      <c r="F102">
        <v>9</v>
      </c>
      <c r="G102" t="b">
        <v>0</v>
      </c>
      <c r="H102">
        <v>3</v>
      </c>
      <c r="I102">
        <v>1</v>
      </c>
      <c r="J102">
        <v>0.22</v>
      </c>
    </row>
    <row r="103" spans="1:10">
      <c r="A103">
        <v>102</v>
      </c>
      <c r="B103" s="1">
        <v>40548</v>
      </c>
      <c r="C103">
        <v>1</v>
      </c>
      <c r="D103">
        <v>0</v>
      </c>
      <c r="E103">
        <v>1</v>
      </c>
      <c r="F103">
        <v>10</v>
      </c>
      <c r="G103" t="b">
        <v>0</v>
      </c>
      <c r="H103">
        <v>3</v>
      </c>
      <c r="I103">
        <v>1</v>
      </c>
      <c r="J103">
        <v>0.22</v>
      </c>
    </row>
    <row r="104" spans="1:10">
      <c r="A104">
        <v>103</v>
      </c>
      <c r="B104" s="1">
        <v>40548</v>
      </c>
      <c r="C104">
        <v>1</v>
      </c>
      <c r="D104">
        <v>0</v>
      </c>
      <c r="E104">
        <v>1</v>
      </c>
      <c r="F104">
        <v>11</v>
      </c>
      <c r="G104" t="b">
        <v>0</v>
      </c>
      <c r="H104">
        <v>3</v>
      </c>
      <c r="I104">
        <v>1</v>
      </c>
      <c r="J104">
        <v>0.26</v>
      </c>
    </row>
    <row r="105" spans="1:10">
      <c r="A105">
        <v>104</v>
      </c>
      <c r="B105" s="1">
        <v>40548</v>
      </c>
      <c r="C105">
        <v>1</v>
      </c>
      <c r="D105">
        <v>0</v>
      </c>
      <c r="E105">
        <v>1</v>
      </c>
      <c r="F105">
        <v>12</v>
      </c>
      <c r="G105" t="b">
        <v>0</v>
      </c>
      <c r="H105">
        <v>3</v>
      </c>
      <c r="I105">
        <v>1</v>
      </c>
      <c r="J105">
        <v>0.26</v>
      </c>
    </row>
    <row r="106" spans="1:10">
      <c r="A106">
        <v>105</v>
      </c>
      <c r="B106" s="1">
        <v>40548</v>
      </c>
      <c r="C106">
        <v>1</v>
      </c>
      <c r="D106">
        <v>0</v>
      </c>
      <c r="E106">
        <v>1</v>
      </c>
      <c r="F106">
        <v>13</v>
      </c>
      <c r="G106" t="b">
        <v>0</v>
      </c>
      <c r="H106">
        <v>3</v>
      </c>
      <c r="I106">
        <v>1</v>
      </c>
      <c r="J106">
        <v>0.28000000000000003</v>
      </c>
    </row>
    <row r="107" spans="1:10">
      <c r="A107">
        <v>106</v>
      </c>
      <c r="B107" s="1">
        <v>40548</v>
      </c>
      <c r="C107">
        <v>1</v>
      </c>
      <c r="D107">
        <v>0</v>
      </c>
      <c r="E107">
        <v>1</v>
      </c>
      <c r="F107">
        <v>14</v>
      </c>
      <c r="G107" t="b">
        <v>0</v>
      </c>
      <c r="H107">
        <v>3</v>
      </c>
      <c r="I107">
        <v>1</v>
      </c>
      <c r="J107">
        <v>0.3</v>
      </c>
    </row>
    <row r="108" spans="1:10">
      <c r="A108">
        <v>107</v>
      </c>
      <c r="B108" s="1">
        <v>40548</v>
      </c>
      <c r="C108">
        <v>1</v>
      </c>
      <c r="D108">
        <v>0</v>
      </c>
      <c r="E108">
        <v>1</v>
      </c>
      <c r="F108">
        <v>15</v>
      </c>
      <c r="G108" t="b">
        <v>0</v>
      </c>
      <c r="H108">
        <v>3</v>
      </c>
      <c r="I108">
        <v>1</v>
      </c>
      <c r="J108">
        <v>0.3</v>
      </c>
    </row>
    <row r="109" spans="1:10">
      <c r="A109">
        <v>108</v>
      </c>
      <c r="B109" s="1">
        <v>40548</v>
      </c>
      <c r="C109">
        <v>1</v>
      </c>
      <c r="D109">
        <v>0</v>
      </c>
      <c r="E109">
        <v>1</v>
      </c>
      <c r="F109">
        <v>16</v>
      </c>
      <c r="G109" t="b">
        <v>0</v>
      </c>
      <c r="H109">
        <v>3</v>
      </c>
      <c r="I109">
        <v>1</v>
      </c>
      <c r="J109">
        <v>0.3</v>
      </c>
    </row>
    <row r="110" spans="1:10">
      <c r="A110">
        <v>109</v>
      </c>
      <c r="B110" s="1">
        <v>40548</v>
      </c>
      <c r="C110">
        <v>1</v>
      </c>
      <c r="D110">
        <v>0</v>
      </c>
      <c r="E110">
        <v>1</v>
      </c>
      <c r="F110">
        <v>17</v>
      </c>
      <c r="G110" t="b">
        <v>0</v>
      </c>
      <c r="H110">
        <v>3</v>
      </c>
      <c r="I110">
        <v>1</v>
      </c>
      <c r="J110">
        <v>0.24</v>
      </c>
    </row>
    <row r="111" spans="1:10">
      <c r="A111">
        <v>110</v>
      </c>
      <c r="B111" s="1">
        <v>40548</v>
      </c>
      <c r="C111">
        <v>1</v>
      </c>
      <c r="D111">
        <v>0</v>
      </c>
      <c r="E111">
        <v>1</v>
      </c>
      <c r="F111">
        <v>18</v>
      </c>
      <c r="G111" t="b">
        <v>0</v>
      </c>
      <c r="H111">
        <v>3</v>
      </c>
      <c r="I111">
        <v>1</v>
      </c>
      <c r="J111">
        <v>0.24</v>
      </c>
    </row>
    <row r="112" spans="1:10">
      <c r="A112">
        <v>111</v>
      </c>
      <c r="B112" s="1">
        <v>40548</v>
      </c>
      <c r="C112">
        <v>1</v>
      </c>
      <c r="D112">
        <v>0</v>
      </c>
      <c r="E112">
        <v>1</v>
      </c>
      <c r="F112">
        <v>19</v>
      </c>
      <c r="G112" t="b">
        <v>0</v>
      </c>
      <c r="H112">
        <v>3</v>
      </c>
      <c r="I112">
        <v>1</v>
      </c>
      <c r="J112">
        <v>0.24</v>
      </c>
    </row>
    <row r="113" spans="1:10">
      <c r="A113">
        <v>112</v>
      </c>
      <c r="B113" s="1">
        <v>40548</v>
      </c>
      <c r="C113">
        <v>1</v>
      </c>
      <c r="D113">
        <v>0</v>
      </c>
      <c r="E113">
        <v>1</v>
      </c>
      <c r="F113">
        <v>20</v>
      </c>
      <c r="G113" t="b">
        <v>0</v>
      </c>
      <c r="H113">
        <v>3</v>
      </c>
      <c r="I113">
        <v>1</v>
      </c>
      <c r="J113">
        <v>0.22</v>
      </c>
    </row>
    <row r="114" spans="1:10">
      <c r="A114">
        <v>113</v>
      </c>
      <c r="B114" s="1">
        <v>40548</v>
      </c>
      <c r="C114">
        <v>1</v>
      </c>
      <c r="D114">
        <v>0</v>
      </c>
      <c r="E114">
        <v>1</v>
      </c>
      <c r="F114">
        <v>21</v>
      </c>
      <c r="G114" t="b">
        <v>0</v>
      </c>
      <c r="H114">
        <v>3</v>
      </c>
      <c r="I114">
        <v>1</v>
      </c>
      <c r="J114">
        <v>0.2</v>
      </c>
    </row>
    <row r="115" spans="1:10">
      <c r="A115">
        <v>114</v>
      </c>
      <c r="B115" s="1">
        <v>40548</v>
      </c>
      <c r="C115">
        <v>1</v>
      </c>
      <c r="D115">
        <v>0</v>
      </c>
      <c r="E115">
        <v>1</v>
      </c>
      <c r="F115">
        <v>22</v>
      </c>
      <c r="G115" t="b">
        <v>0</v>
      </c>
      <c r="H115">
        <v>3</v>
      </c>
      <c r="I115">
        <v>1</v>
      </c>
      <c r="J115">
        <v>0.18</v>
      </c>
    </row>
    <row r="116" spans="1:10">
      <c r="A116">
        <v>115</v>
      </c>
      <c r="B116" s="1">
        <v>40548</v>
      </c>
      <c r="C116">
        <v>1</v>
      </c>
      <c r="D116">
        <v>0</v>
      </c>
      <c r="E116">
        <v>1</v>
      </c>
      <c r="F116">
        <v>23</v>
      </c>
      <c r="G116" t="b">
        <v>0</v>
      </c>
      <c r="H116">
        <v>3</v>
      </c>
      <c r="I116">
        <v>1</v>
      </c>
      <c r="J116">
        <v>0.2</v>
      </c>
    </row>
    <row r="117" spans="1:10">
      <c r="A117">
        <v>116</v>
      </c>
      <c r="B117" s="1">
        <v>40549</v>
      </c>
      <c r="C117">
        <v>1</v>
      </c>
      <c r="D117">
        <v>0</v>
      </c>
      <c r="E117">
        <v>1</v>
      </c>
      <c r="F117">
        <v>0</v>
      </c>
      <c r="G117" t="b">
        <v>0</v>
      </c>
      <c r="H117">
        <v>4</v>
      </c>
      <c r="I117">
        <v>1</v>
      </c>
      <c r="J117">
        <v>0.18</v>
      </c>
    </row>
    <row r="118" spans="1:10">
      <c r="A118">
        <v>117</v>
      </c>
      <c r="B118" s="1">
        <v>40549</v>
      </c>
      <c r="C118">
        <v>1</v>
      </c>
      <c r="D118">
        <v>0</v>
      </c>
      <c r="E118">
        <v>1</v>
      </c>
      <c r="F118">
        <v>1</v>
      </c>
      <c r="G118" t="b">
        <v>0</v>
      </c>
      <c r="H118">
        <v>4</v>
      </c>
      <c r="I118">
        <v>1</v>
      </c>
      <c r="J118">
        <v>0.16</v>
      </c>
    </row>
    <row r="119" spans="1:10">
      <c r="A119">
        <v>118</v>
      </c>
      <c r="B119" s="1">
        <v>40549</v>
      </c>
      <c r="C119">
        <v>1</v>
      </c>
      <c r="D119">
        <v>0</v>
      </c>
      <c r="E119">
        <v>1</v>
      </c>
      <c r="F119">
        <v>2</v>
      </c>
      <c r="G119" t="b">
        <v>0</v>
      </c>
      <c r="H119">
        <v>4</v>
      </c>
      <c r="I119">
        <v>1</v>
      </c>
      <c r="J119">
        <v>0.16</v>
      </c>
    </row>
    <row r="120" spans="1:10">
      <c r="A120">
        <v>119</v>
      </c>
      <c r="B120" s="1">
        <v>40549</v>
      </c>
      <c r="C120">
        <v>1</v>
      </c>
      <c r="D120">
        <v>0</v>
      </c>
      <c r="E120">
        <v>1</v>
      </c>
      <c r="F120">
        <v>4</v>
      </c>
      <c r="G120" t="b">
        <v>0</v>
      </c>
      <c r="H120">
        <v>4</v>
      </c>
      <c r="I120">
        <v>2</v>
      </c>
      <c r="J120">
        <v>0.16</v>
      </c>
    </row>
    <row r="121" spans="1:10">
      <c r="A121">
        <v>120</v>
      </c>
      <c r="B121" s="1">
        <v>40549</v>
      </c>
      <c r="C121">
        <v>1</v>
      </c>
      <c r="D121">
        <v>0</v>
      </c>
      <c r="E121">
        <v>1</v>
      </c>
      <c r="F121">
        <v>5</v>
      </c>
      <c r="G121" t="b">
        <v>0</v>
      </c>
      <c r="H121">
        <v>4</v>
      </c>
      <c r="I121">
        <v>2</v>
      </c>
      <c r="J121">
        <v>0.14000000000000001</v>
      </c>
    </row>
    <row r="122" spans="1:10">
      <c r="A122">
        <v>121</v>
      </c>
      <c r="B122" s="1">
        <v>40549</v>
      </c>
      <c r="C122">
        <v>1</v>
      </c>
      <c r="D122">
        <v>0</v>
      </c>
      <c r="E122">
        <v>1</v>
      </c>
      <c r="F122">
        <v>6</v>
      </c>
      <c r="G122" t="b">
        <v>0</v>
      </c>
      <c r="H122">
        <v>4</v>
      </c>
      <c r="I122">
        <v>2</v>
      </c>
      <c r="J122">
        <v>0.14000000000000001</v>
      </c>
    </row>
    <row r="123" spans="1:10">
      <c r="A123">
        <v>122</v>
      </c>
      <c r="B123" s="1">
        <v>40549</v>
      </c>
      <c r="C123">
        <v>1</v>
      </c>
      <c r="D123">
        <v>0</v>
      </c>
      <c r="E123">
        <v>1</v>
      </c>
      <c r="F123">
        <v>7</v>
      </c>
      <c r="G123" t="b">
        <v>0</v>
      </c>
      <c r="H123">
        <v>4</v>
      </c>
      <c r="I123">
        <v>2</v>
      </c>
      <c r="J123">
        <v>0.16</v>
      </c>
    </row>
    <row r="124" spans="1:10">
      <c r="A124">
        <v>123</v>
      </c>
      <c r="B124" s="1">
        <v>40549</v>
      </c>
      <c r="C124">
        <v>1</v>
      </c>
      <c r="D124">
        <v>0</v>
      </c>
      <c r="E124">
        <v>1</v>
      </c>
      <c r="F124">
        <v>8</v>
      </c>
      <c r="G124" t="b">
        <v>0</v>
      </c>
      <c r="H124">
        <v>4</v>
      </c>
      <c r="I124">
        <v>1</v>
      </c>
      <c r="J124">
        <v>0.16</v>
      </c>
    </row>
    <row r="125" spans="1:10">
      <c r="A125">
        <v>124</v>
      </c>
      <c r="B125" s="1">
        <v>40549</v>
      </c>
      <c r="C125">
        <v>1</v>
      </c>
      <c r="D125">
        <v>0</v>
      </c>
      <c r="E125">
        <v>1</v>
      </c>
      <c r="F125">
        <v>9</v>
      </c>
      <c r="G125" t="b">
        <v>0</v>
      </c>
      <c r="H125">
        <v>4</v>
      </c>
      <c r="I125">
        <v>2</v>
      </c>
      <c r="J125">
        <v>0.18</v>
      </c>
    </row>
    <row r="126" spans="1:10">
      <c r="A126">
        <v>125</v>
      </c>
      <c r="B126" s="1">
        <v>40549</v>
      </c>
      <c r="C126">
        <v>1</v>
      </c>
      <c r="D126">
        <v>0</v>
      </c>
      <c r="E126">
        <v>1</v>
      </c>
      <c r="F126">
        <v>10</v>
      </c>
      <c r="G126" t="b">
        <v>0</v>
      </c>
      <c r="H126">
        <v>4</v>
      </c>
      <c r="I126">
        <v>1</v>
      </c>
      <c r="J126">
        <v>0.2</v>
      </c>
    </row>
    <row r="127" spans="1:10">
      <c r="A127">
        <v>126</v>
      </c>
      <c r="B127" s="1">
        <v>40549</v>
      </c>
      <c r="C127">
        <v>1</v>
      </c>
      <c r="D127">
        <v>0</v>
      </c>
      <c r="E127">
        <v>1</v>
      </c>
      <c r="F127">
        <v>11</v>
      </c>
      <c r="G127" t="b">
        <v>0</v>
      </c>
      <c r="H127">
        <v>4</v>
      </c>
      <c r="I127">
        <v>1</v>
      </c>
      <c r="J127">
        <v>0.22</v>
      </c>
    </row>
    <row r="128" spans="1:10">
      <c r="A128">
        <v>127</v>
      </c>
      <c r="B128" s="1">
        <v>40549</v>
      </c>
      <c r="C128">
        <v>1</v>
      </c>
      <c r="D128">
        <v>0</v>
      </c>
      <c r="E128">
        <v>1</v>
      </c>
      <c r="F128">
        <v>12</v>
      </c>
      <c r="G128" t="b">
        <v>0</v>
      </c>
      <c r="H128">
        <v>4</v>
      </c>
      <c r="I128">
        <v>1</v>
      </c>
      <c r="J128">
        <v>0.26</v>
      </c>
    </row>
    <row r="129" spans="1:10">
      <c r="A129">
        <v>128</v>
      </c>
      <c r="B129" s="1">
        <v>40549</v>
      </c>
      <c r="C129">
        <v>1</v>
      </c>
      <c r="D129">
        <v>0</v>
      </c>
      <c r="E129">
        <v>1</v>
      </c>
      <c r="F129">
        <v>13</v>
      </c>
      <c r="G129" t="b">
        <v>0</v>
      </c>
      <c r="H129">
        <v>4</v>
      </c>
      <c r="I129">
        <v>1</v>
      </c>
      <c r="J129">
        <v>0.26</v>
      </c>
    </row>
    <row r="130" spans="1:10">
      <c r="A130">
        <v>129</v>
      </c>
      <c r="B130" s="1">
        <v>40549</v>
      </c>
      <c r="C130">
        <v>1</v>
      </c>
      <c r="D130">
        <v>0</v>
      </c>
      <c r="E130">
        <v>1</v>
      </c>
      <c r="F130">
        <v>14</v>
      </c>
      <c r="G130" t="b">
        <v>0</v>
      </c>
      <c r="H130">
        <v>4</v>
      </c>
      <c r="I130">
        <v>1</v>
      </c>
      <c r="J130">
        <v>0.28000000000000003</v>
      </c>
    </row>
    <row r="131" spans="1:10">
      <c r="A131">
        <v>130</v>
      </c>
      <c r="B131" s="1">
        <v>40549</v>
      </c>
      <c r="C131">
        <v>1</v>
      </c>
      <c r="D131">
        <v>0</v>
      </c>
      <c r="E131">
        <v>1</v>
      </c>
      <c r="F131">
        <v>15</v>
      </c>
      <c r="G131" t="b">
        <v>0</v>
      </c>
      <c r="H131">
        <v>4</v>
      </c>
      <c r="I131">
        <v>1</v>
      </c>
      <c r="J131">
        <v>0.28000000000000003</v>
      </c>
    </row>
    <row r="132" spans="1:10">
      <c r="A132">
        <v>131</v>
      </c>
      <c r="B132" s="1">
        <v>40549</v>
      </c>
      <c r="C132">
        <v>1</v>
      </c>
      <c r="D132">
        <v>0</v>
      </c>
      <c r="E132">
        <v>1</v>
      </c>
      <c r="F132">
        <v>16</v>
      </c>
      <c r="G132" t="b">
        <v>0</v>
      </c>
      <c r="H132">
        <v>4</v>
      </c>
      <c r="I132">
        <v>1</v>
      </c>
      <c r="J132">
        <v>0.26</v>
      </c>
    </row>
    <row r="133" spans="1:10">
      <c r="A133">
        <v>132</v>
      </c>
      <c r="B133" s="1">
        <v>40549</v>
      </c>
      <c r="C133">
        <v>1</v>
      </c>
      <c r="D133">
        <v>0</v>
      </c>
      <c r="E133">
        <v>1</v>
      </c>
      <c r="F133">
        <v>17</v>
      </c>
      <c r="G133" t="b">
        <v>0</v>
      </c>
      <c r="H133">
        <v>4</v>
      </c>
      <c r="I133">
        <v>1</v>
      </c>
      <c r="J133">
        <v>0.22</v>
      </c>
    </row>
    <row r="134" spans="1:10">
      <c r="A134">
        <v>133</v>
      </c>
      <c r="B134" s="1">
        <v>40549</v>
      </c>
      <c r="C134">
        <v>1</v>
      </c>
      <c r="D134">
        <v>0</v>
      </c>
      <c r="E134">
        <v>1</v>
      </c>
      <c r="F134">
        <v>18</v>
      </c>
      <c r="G134" t="b">
        <v>0</v>
      </c>
      <c r="H134">
        <v>4</v>
      </c>
      <c r="I134">
        <v>1</v>
      </c>
      <c r="J134">
        <v>0.22</v>
      </c>
    </row>
    <row r="135" spans="1:10">
      <c r="A135">
        <v>134</v>
      </c>
      <c r="B135" s="1">
        <v>40549</v>
      </c>
      <c r="C135">
        <v>1</v>
      </c>
      <c r="D135">
        <v>0</v>
      </c>
      <c r="E135">
        <v>1</v>
      </c>
      <c r="F135">
        <v>19</v>
      </c>
      <c r="G135" t="b">
        <v>0</v>
      </c>
      <c r="H135">
        <v>4</v>
      </c>
      <c r="I135">
        <v>1</v>
      </c>
      <c r="J135">
        <v>0.22</v>
      </c>
    </row>
    <row r="136" spans="1:10">
      <c r="A136">
        <v>135</v>
      </c>
      <c r="B136" s="1">
        <v>40549</v>
      </c>
      <c r="C136">
        <v>1</v>
      </c>
      <c r="D136">
        <v>0</v>
      </c>
      <c r="E136">
        <v>1</v>
      </c>
      <c r="F136">
        <v>20</v>
      </c>
      <c r="G136" t="b">
        <v>0</v>
      </c>
      <c r="H136">
        <v>4</v>
      </c>
      <c r="I136">
        <v>1</v>
      </c>
      <c r="J136">
        <v>0.2</v>
      </c>
    </row>
    <row r="137" spans="1:10">
      <c r="A137">
        <v>136</v>
      </c>
      <c r="B137" s="1">
        <v>40549</v>
      </c>
      <c r="C137">
        <v>1</v>
      </c>
      <c r="D137">
        <v>0</v>
      </c>
      <c r="E137">
        <v>1</v>
      </c>
      <c r="F137">
        <v>21</v>
      </c>
      <c r="G137" t="b">
        <v>0</v>
      </c>
      <c r="H137">
        <v>4</v>
      </c>
      <c r="I137">
        <v>2</v>
      </c>
      <c r="J137">
        <v>0.22</v>
      </c>
    </row>
    <row r="138" spans="1:10">
      <c r="A138">
        <v>137</v>
      </c>
      <c r="B138" s="1">
        <v>40549</v>
      </c>
      <c r="C138">
        <v>1</v>
      </c>
      <c r="D138">
        <v>0</v>
      </c>
      <c r="E138">
        <v>1</v>
      </c>
      <c r="F138">
        <v>22</v>
      </c>
      <c r="G138" t="b">
        <v>0</v>
      </c>
      <c r="H138">
        <v>4</v>
      </c>
      <c r="I138">
        <v>2</v>
      </c>
      <c r="J138">
        <v>0.22</v>
      </c>
    </row>
    <row r="139" spans="1:10">
      <c r="A139">
        <v>138</v>
      </c>
      <c r="B139" s="1">
        <v>40549</v>
      </c>
      <c r="C139">
        <v>1</v>
      </c>
      <c r="D139">
        <v>0</v>
      </c>
      <c r="E139">
        <v>1</v>
      </c>
      <c r="F139">
        <v>23</v>
      </c>
      <c r="G139" t="b">
        <v>0</v>
      </c>
      <c r="H139">
        <v>4</v>
      </c>
      <c r="I139">
        <v>2</v>
      </c>
      <c r="J139">
        <v>0.2</v>
      </c>
    </row>
    <row r="140" spans="1:10">
      <c r="A140">
        <v>139</v>
      </c>
      <c r="B140" s="1">
        <v>40550</v>
      </c>
      <c r="C140">
        <v>1</v>
      </c>
      <c r="D140">
        <v>0</v>
      </c>
      <c r="E140">
        <v>1</v>
      </c>
      <c r="F140">
        <v>0</v>
      </c>
      <c r="G140" t="b">
        <v>0</v>
      </c>
      <c r="H140">
        <v>5</v>
      </c>
      <c r="I140">
        <v>2</v>
      </c>
      <c r="J140">
        <v>0.2</v>
      </c>
    </row>
    <row r="141" spans="1:10">
      <c r="A141">
        <v>140</v>
      </c>
      <c r="B141" s="1">
        <v>40550</v>
      </c>
      <c r="C141">
        <v>1</v>
      </c>
      <c r="D141">
        <v>0</v>
      </c>
      <c r="E141">
        <v>1</v>
      </c>
      <c r="F141">
        <v>1</v>
      </c>
      <c r="G141" t="b">
        <v>0</v>
      </c>
      <c r="H141">
        <v>5</v>
      </c>
      <c r="I141">
        <v>2</v>
      </c>
      <c r="J141">
        <v>0.2</v>
      </c>
    </row>
    <row r="142" spans="1:10">
      <c r="A142">
        <v>141</v>
      </c>
      <c r="B142" s="1">
        <v>40550</v>
      </c>
      <c r="C142">
        <v>1</v>
      </c>
      <c r="D142">
        <v>0</v>
      </c>
      <c r="E142">
        <v>1</v>
      </c>
      <c r="F142">
        <v>2</v>
      </c>
      <c r="G142" t="b">
        <v>0</v>
      </c>
      <c r="H142">
        <v>5</v>
      </c>
      <c r="I142">
        <v>2</v>
      </c>
      <c r="J142">
        <v>0.2</v>
      </c>
    </row>
    <row r="143" spans="1:10">
      <c r="A143">
        <v>142</v>
      </c>
      <c r="B143" s="1">
        <v>40550</v>
      </c>
      <c r="C143">
        <v>1</v>
      </c>
      <c r="D143">
        <v>0</v>
      </c>
      <c r="E143">
        <v>1</v>
      </c>
      <c r="F143">
        <v>4</v>
      </c>
      <c r="G143" t="b">
        <v>0</v>
      </c>
      <c r="H143">
        <v>5</v>
      </c>
      <c r="I143">
        <v>2</v>
      </c>
      <c r="J143">
        <v>0.2</v>
      </c>
    </row>
    <row r="144" spans="1:10">
      <c r="A144">
        <v>143</v>
      </c>
      <c r="B144" s="1">
        <v>40550</v>
      </c>
      <c r="C144">
        <v>1</v>
      </c>
      <c r="D144">
        <v>0</v>
      </c>
      <c r="E144">
        <v>1</v>
      </c>
      <c r="F144">
        <v>5</v>
      </c>
      <c r="G144" t="b">
        <v>0</v>
      </c>
      <c r="H144">
        <v>5</v>
      </c>
      <c r="I144">
        <v>3</v>
      </c>
      <c r="J144">
        <v>0.22</v>
      </c>
    </row>
    <row r="145" spans="1:10">
      <c r="A145">
        <v>144</v>
      </c>
      <c r="B145" s="1">
        <v>40550</v>
      </c>
      <c r="C145">
        <v>1</v>
      </c>
      <c r="D145">
        <v>0</v>
      </c>
      <c r="E145">
        <v>1</v>
      </c>
      <c r="F145">
        <v>6</v>
      </c>
      <c r="G145" t="b">
        <v>0</v>
      </c>
      <c r="H145">
        <v>5</v>
      </c>
      <c r="I145">
        <v>2</v>
      </c>
      <c r="J145">
        <v>0.2</v>
      </c>
    </row>
    <row r="146" spans="1:10">
      <c r="A146">
        <v>145</v>
      </c>
      <c r="B146" s="1">
        <v>40550</v>
      </c>
      <c r="C146">
        <v>1</v>
      </c>
      <c r="D146">
        <v>0</v>
      </c>
      <c r="E146">
        <v>1</v>
      </c>
      <c r="F146">
        <v>7</v>
      </c>
      <c r="G146" t="b">
        <v>0</v>
      </c>
      <c r="H146">
        <v>5</v>
      </c>
      <c r="I146">
        <v>1</v>
      </c>
      <c r="J146">
        <v>0.2</v>
      </c>
    </row>
    <row r="147" spans="1:10">
      <c r="A147">
        <v>146</v>
      </c>
      <c r="B147" s="1">
        <v>40550</v>
      </c>
      <c r="C147">
        <v>1</v>
      </c>
      <c r="D147">
        <v>0</v>
      </c>
      <c r="E147">
        <v>1</v>
      </c>
      <c r="F147">
        <v>8</v>
      </c>
      <c r="G147" t="b">
        <v>0</v>
      </c>
      <c r="H147">
        <v>5</v>
      </c>
      <c r="I147">
        <v>1</v>
      </c>
      <c r="J147">
        <v>0.2</v>
      </c>
    </row>
    <row r="148" spans="1:10">
      <c r="A148">
        <v>147</v>
      </c>
      <c r="B148" s="1">
        <v>40550</v>
      </c>
      <c r="C148">
        <v>1</v>
      </c>
      <c r="D148">
        <v>0</v>
      </c>
      <c r="E148">
        <v>1</v>
      </c>
      <c r="F148">
        <v>9</v>
      </c>
      <c r="G148" t="b">
        <v>0</v>
      </c>
      <c r="H148">
        <v>5</v>
      </c>
      <c r="I148">
        <v>1</v>
      </c>
      <c r="J148">
        <v>0.2</v>
      </c>
    </row>
    <row r="149" spans="1:10">
      <c r="A149">
        <v>148</v>
      </c>
      <c r="B149" s="1">
        <v>40550</v>
      </c>
      <c r="C149">
        <v>1</v>
      </c>
      <c r="D149">
        <v>0</v>
      </c>
      <c r="E149">
        <v>1</v>
      </c>
      <c r="F149">
        <v>10</v>
      </c>
      <c r="G149" t="b">
        <v>0</v>
      </c>
      <c r="H149">
        <v>5</v>
      </c>
      <c r="I149">
        <v>1</v>
      </c>
      <c r="J149">
        <v>0.22</v>
      </c>
    </row>
    <row r="150" spans="1:10">
      <c r="A150">
        <v>149</v>
      </c>
      <c r="B150" s="1">
        <v>40550</v>
      </c>
      <c r="C150">
        <v>1</v>
      </c>
      <c r="D150">
        <v>0</v>
      </c>
      <c r="E150">
        <v>1</v>
      </c>
      <c r="F150">
        <v>11</v>
      </c>
      <c r="G150" t="b">
        <v>0</v>
      </c>
      <c r="H150">
        <v>5</v>
      </c>
      <c r="I150">
        <v>2</v>
      </c>
      <c r="J150">
        <v>0.2</v>
      </c>
    </row>
    <row r="151" spans="1:10">
      <c r="A151">
        <v>150</v>
      </c>
      <c r="B151" s="1">
        <v>40550</v>
      </c>
      <c r="C151">
        <v>1</v>
      </c>
      <c r="D151">
        <v>0</v>
      </c>
      <c r="E151">
        <v>1</v>
      </c>
      <c r="F151">
        <v>12</v>
      </c>
      <c r="G151" t="b">
        <v>0</v>
      </c>
      <c r="H151">
        <v>5</v>
      </c>
      <c r="I151">
        <v>2</v>
      </c>
      <c r="J151">
        <v>0.2</v>
      </c>
    </row>
    <row r="152" spans="1:10">
      <c r="A152">
        <v>151</v>
      </c>
      <c r="B152" s="1">
        <v>40550</v>
      </c>
      <c r="C152">
        <v>1</v>
      </c>
      <c r="D152">
        <v>0</v>
      </c>
      <c r="E152">
        <v>1</v>
      </c>
      <c r="F152">
        <v>13</v>
      </c>
      <c r="G152" t="b">
        <v>0</v>
      </c>
      <c r="H152">
        <v>5</v>
      </c>
      <c r="I152">
        <v>2</v>
      </c>
      <c r="J152">
        <v>0.2</v>
      </c>
    </row>
    <row r="153" spans="1:10">
      <c r="A153">
        <v>152</v>
      </c>
      <c r="B153" s="1">
        <v>40550</v>
      </c>
      <c r="C153">
        <v>1</v>
      </c>
      <c r="D153">
        <v>0</v>
      </c>
      <c r="E153">
        <v>1</v>
      </c>
      <c r="F153">
        <v>14</v>
      </c>
      <c r="G153" t="b">
        <v>0</v>
      </c>
      <c r="H153">
        <v>5</v>
      </c>
      <c r="I153">
        <v>2</v>
      </c>
      <c r="J153">
        <v>0.2</v>
      </c>
    </row>
    <row r="154" spans="1:10">
      <c r="A154">
        <v>153</v>
      </c>
      <c r="B154" s="1">
        <v>40550</v>
      </c>
      <c r="C154">
        <v>1</v>
      </c>
      <c r="D154">
        <v>0</v>
      </c>
      <c r="E154">
        <v>1</v>
      </c>
      <c r="F154">
        <v>15</v>
      </c>
      <c r="G154" t="b">
        <v>0</v>
      </c>
      <c r="H154">
        <v>5</v>
      </c>
      <c r="I154">
        <v>2</v>
      </c>
      <c r="J154">
        <v>0.2</v>
      </c>
    </row>
    <row r="155" spans="1:10">
      <c r="A155">
        <v>154</v>
      </c>
      <c r="B155" s="1">
        <v>40550</v>
      </c>
      <c r="C155">
        <v>1</v>
      </c>
      <c r="D155">
        <v>0</v>
      </c>
      <c r="E155">
        <v>1</v>
      </c>
      <c r="F155">
        <v>16</v>
      </c>
      <c r="G155" t="b">
        <v>0</v>
      </c>
      <c r="H155">
        <v>5</v>
      </c>
      <c r="I155">
        <v>2</v>
      </c>
      <c r="J155">
        <v>0.2</v>
      </c>
    </row>
    <row r="156" spans="1:10">
      <c r="A156">
        <v>155</v>
      </c>
      <c r="B156" s="1">
        <v>40550</v>
      </c>
      <c r="C156">
        <v>1</v>
      </c>
      <c r="D156">
        <v>0</v>
      </c>
      <c r="E156">
        <v>1</v>
      </c>
      <c r="F156">
        <v>17</v>
      </c>
      <c r="G156" t="b">
        <v>0</v>
      </c>
      <c r="H156">
        <v>5</v>
      </c>
      <c r="I156">
        <v>2</v>
      </c>
      <c r="J156">
        <v>0.2</v>
      </c>
    </row>
    <row r="157" spans="1:10">
      <c r="A157">
        <v>156</v>
      </c>
      <c r="B157" s="1">
        <v>40550</v>
      </c>
      <c r="C157">
        <v>1</v>
      </c>
      <c r="D157">
        <v>0</v>
      </c>
      <c r="E157">
        <v>1</v>
      </c>
      <c r="F157">
        <v>18</v>
      </c>
      <c r="G157" t="b">
        <v>0</v>
      </c>
      <c r="H157">
        <v>5</v>
      </c>
      <c r="I157">
        <v>1</v>
      </c>
      <c r="J157">
        <v>0.2</v>
      </c>
    </row>
    <row r="158" spans="1:10">
      <c r="A158">
        <v>157</v>
      </c>
      <c r="B158" s="1">
        <v>40550</v>
      </c>
      <c r="C158">
        <v>1</v>
      </c>
      <c r="D158">
        <v>0</v>
      </c>
      <c r="E158">
        <v>1</v>
      </c>
      <c r="F158">
        <v>19</v>
      </c>
      <c r="G158" t="b">
        <v>0</v>
      </c>
      <c r="H158">
        <v>5</v>
      </c>
      <c r="I158">
        <v>1</v>
      </c>
      <c r="J158">
        <v>0.16</v>
      </c>
    </row>
    <row r="159" spans="1:10">
      <c r="A159">
        <v>158</v>
      </c>
      <c r="B159" s="1">
        <v>40550</v>
      </c>
      <c r="C159">
        <v>1</v>
      </c>
      <c r="D159">
        <v>0</v>
      </c>
      <c r="E159">
        <v>1</v>
      </c>
      <c r="F159">
        <v>20</v>
      </c>
      <c r="G159" t="b">
        <v>0</v>
      </c>
      <c r="H159">
        <v>5</v>
      </c>
      <c r="I159">
        <v>1</v>
      </c>
      <c r="J159">
        <v>0.18</v>
      </c>
    </row>
    <row r="160" spans="1:10">
      <c r="A160">
        <v>159</v>
      </c>
      <c r="B160" s="1">
        <v>40550</v>
      </c>
      <c r="C160">
        <v>1</v>
      </c>
      <c r="D160">
        <v>0</v>
      </c>
      <c r="E160">
        <v>1</v>
      </c>
      <c r="F160">
        <v>21</v>
      </c>
      <c r="G160" t="b">
        <v>0</v>
      </c>
      <c r="H160">
        <v>5</v>
      </c>
      <c r="I160">
        <v>1</v>
      </c>
      <c r="J160">
        <v>0.18</v>
      </c>
    </row>
    <row r="161" spans="1:10">
      <c r="A161">
        <v>160</v>
      </c>
      <c r="B161" s="1">
        <v>40550</v>
      </c>
      <c r="C161">
        <v>1</v>
      </c>
      <c r="D161">
        <v>0</v>
      </c>
      <c r="E161">
        <v>1</v>
      </c>
      <c r="F161">
        <v>22</v>
      </c>
      <c r="G161" t="b">
        <v>0</v>
      </c>
      <c r="H161">
        <v>5</v>
      </c>
      <c r="I161">
        <v>2</v>
      </c>
      <c r="J161">
        <v>0.18</v>
      </c>
    </row>
    <row r="162" spans="1:10">
      <c r="A162">
        <v>161</v>
      </c>
      <c r="B162" s="1">
        <v>40550</v>
      </c>
      <c r="C162">
        <v>1</v>
      </c>
      <c r="D162">
        <v>0</v>
      </c>
      <c r="E162">
        <v>1</v>
      </c>
      <c r="F162">
        <v>23</v>
      </c>
      <c r="G162" t="b">
        <v>0</v>
      </c>
      <c r="H162">
        <v>5</v>
      </c>
      <c r="I162">
        <v>2</v>
      </c>
      <c r="J162">
        <v>0.18</v>
      </c>
    </row>
    <row r="163" spans="1:10">
      <c r="A163">
        <v>162</v>
      </c>
      <c r="B163" s="1">
        <v>40551</v>
      </c>
      <c r="C163">
        <v>1</v>
      </c>
      <c r="D163">
        <v>0</v>
      </c>
      <c r="E163">
        <v>1</v>
      </c>
      <c r="F163">
        <v>0</v>
      </c>
      <c r="G163" t="b">
        <v>0</v>
      </c>
      <c r="H163">
        <v>6</v>
      </c>
      <c r="I163">
        <v>2</v>
      </c>
      <c r="J163">
        <v>0.18</v>
      </c>
    </row>
    <row r="164" spans="1:10">
      <c r="A164">
        <v>163</v>
      </c>
      <c r="B164" s="1">
        <v>40551</v>
      </c>
      <c r="C164">
        <v>1</v>
      </c>
      <c r="D164">
        <v>0</v>
      </c>
      <c r="E164">
        <v>1</v>
      </c>
      <c r="F164">
        <v>1</v>
      </c>
      <c r="G164" t="b">
        <v>0</v>
      </c>
      <c r="H164">
        <v>6</v>
      </c>
      <c r="I164">
        <v>2</v>
      </c>
      <c r="J164">
        <v>0.18</v>
      </c>
    </row>
    <row r="165" spans="1:10">
      <c r="A165">
        <v>164</v>
      </c>
      <c r="B165" s="1">
        <v>40551</v>
      </c>
      <c r="C165">
        <v>1</v>
      </c>
      <c r="D165">
        <v>0</v>
      </c>
      <c r="E165">
        <v>1</v>
      </c>
      <c r="F165">
        <v>2</v>
      </c>
      <c r="G165" t="b">
        <v>0</v>
      </c>
      <c r="H165">
        <v>6</v>
      </c>
      <c r="I165">
        <v>2</v>
      </c>
      <c r="J165">
        <v>0.18</v>
      </c>
    </row>
    <row r="166" spans="1:10">
      <c r="A166">
        <v>165</v>
      </c>
      <c r="B166" s="1">
        <v>40551</v>
      </c>
      <c r="C166">
        <v>1</v>
      </c>
      <c r="D166">
        <v>0</v>
      </c>
      <c r="E166">
        <v>1</v>
      </c>
      <c r="F166">
        <v>3</v>
      </c>
      <c r="G166" t="b">
        <v>0</v>
      </c>
      <c r="H166">
        <v>6</v>
      </c>
      <c r="I166">
        <v>3</v>
      </c>
      <c r="J166">
        <v>0.18</v>
      </c>
    </row>
    <row r="167" spans="1:10">
      <c r="A167">
        <v>166</v>
      </c>
      <c r="B167" s="1">
        <v>40551</v>
      </c>
      <c r="C167">
        <v>1</v>
      </c>
      <c r="D167">
        <v>0</v>
      </c>
      <c r="E167">
        <v>1</v>
      </c>
      <c r="F167">
        <v>4</v>
      </c>
      <c r="G167" t="b">
        <v>0</v>
      </c>
      <c r="H167">
        <v>6</v>
      </c>
      <c r="I167">
        <v>3</v>
      </c>
      <c r="J167">
        <v>0.18</v>
      </c>
    </row>
    <row r="168" spans="1:10">
      <c r="A168">
        <v>167</v>
      </c>
      <c r="B168" s="1">
        <v>40551</v>
      </c>
      <c r="C168">
        <v>1</v>
      </c>
      <c r="D168">
        <v>0</v>
      </c>
      <c r="E168">
        <v>1</v>
      </c>
      <c r="F168">
        <v>5</v>
      </c>
      <c r="G168" t="b">
        <v>0</v>
      </c>
      <c r="H168">
        <v>6</v>
      </c>
      <c r="I168">
        <v>2</v>
      </c>
      <c r="J168">
        <v>0.16</v>
      </c>
    </row>
    <row r="169" spans="1:10">
      <c r="A169">
        <v>168</v>
      </c>
      <c r="B169" s="1">
        <v>40551</v>
      </c>
      <c r="C169">
        <v>1</v>
      </c>
      <c r="D169">
        <v>0</v>
      </c>
      <c r="E169">
        <v>1</v>
      </c>
      <c r="F169">
        <v>6</v>
      </c>
      <c r="G169" t="b">
        <v>0</v>
      </c>
      <c r="H169">
        <v>6</v>
      </c>
      <c r="I169">
        <v>2</v>
      </c>
      <c r="J169">
        <v>0.16</v>
      </c>
    </row>
    <row r="170" spans="1:10">
      <c r="A170">
        <v>169</v>
      </c>
      <c r="B170" s="1">
        <v>40551</v>
      </c>
      <c r="C170">
        <v>1</v>
      </c>
      <c r="D170">
        <v>0</v>
      </c>
      <c r="E170">
        <v>1</v>
      </c>
      <c r="F170">
        <v>7</v>
      </c>
      <c r="G170" t="b">
        <v>0</v>
      </c>
      <c r="H170">
        <v>6</v>
      </c>
      <c r="I170">
        <v>2</v>
      </c>
      <c r="J170">
        <v>0.16</v>
      </c>
    </row>
    <row r="171" spans="1:10">
      <c r="A171">
        <v>170</v>
      </c>
      <c r="B171" s="1">
        <v>40551</v>
      </c>
      <c r="C171">
        <v>1</v>
      </c>
      <c r="D171">
        <v>0</v>
      </c>
      <c r="E171">
        <v>1</v>
      </c>
      <c r="F171">
        <v>8</v>
      </c>
      <c r="G171" t="b">
        <v>0</v>
      </c>
      <c r="H171">
        <v>6</v>
      </c>
      <c r="I171">
        <v>3</v>
      </c>
      <c r="J171">
        <v>0.16</v>
      </c>
    </row>
    <row r="172" spans="1:10">
      <c r="A172">
        <v>171</v>
      </c>
      <c r="B172" s="1">
        <v>40551</v>
      </c>
      <c r="C172">
        <v>1</v>
      </c>
      <c r="D172">
        <v>0</v>
      </c>
      <c r="E172">
        <v>1</v>
      </c>
      <c r="F172">
        <v>9</v>
      </c>
      <c r="G172" t="b">
        <v>0</v>
      </c>
      <c r="H172">
        <v>6</v>
      </c>
      <c r="I172">
        <v>3</v>
      </c>
      <c r="J172">
        <v>0.16</v>
      </c>
    </row>
    <row r="173" spans="1:10">
      <c r="A173">
        <v>172</v>
      </c>
      <c r="B173" s="1">
        <v>40551</v>
      </c>
      <c r="C173">
        <v>1</v>
      </c>
      <c r="D173">
        <v>0</v>
      </c>
      <c r="E173">
        <v>1</v>
      </c>
      <c r="F173">
        <v>10</v>
      </c>
      <c r="G173" t="b">
        <v>0</v>
      </c>
      <c r="H173">
        <v>6</v>
      </c>
      <c r="I173">
        <v>2</v>
      </c>
      <c r="J173">
        <v>0.18</v>
      </c>
    </row>
    <row r="174" spans="1:10">
      <c r="A174">
        <v>173</v>
      </c>
      <c r="B174" s="1">
        <v>40551</v>
      </c>
      <c r="C174">
        <v>1</v>
      </c>
      <c r="D174">
        <v>0</v>
      </c>
      <c r="E174">
        <v>1</v>
      </c>
      <c r="F174">
        <v>11</v>
      </c>
      <c r="G174" t="b">
        <v>0</v>
      </c>
      <c r="H174">
        <v>6</v>
      </c>
      <c r="I174">
        <v>2</v>
      </c>
      <c r="J174">
        <v>0.2</v>
      </c>
    </row>
    <row r="175" spans="1:10">
      <c r="A175">
        <v>174</v>
      </c>
      <c r="B175" s="1">
        <v>40551</v>
      </c>
      <c r="C175">
        <v>1</v>
      </c>
      <c r="D175">
        <v>0</v>
      </c>
      <c r="E175">
        <v>1</v>
      </c>
      <c r="F175">
        <v>12</v>
      </c>
      <c r="G175" t="b">
        <v>0</v>
      </c>
      <c r="H175">
        <v>6</v>
      </c>
      <c r="I175">
        <v>2</v>
      </c>
      <c r="J175">
        <v>0.2</v>
      </c>
    </row>
    <row r="176" spans="1:10">
      <c r="A176">
        <v>175</v>
      </c>
      <c r="B176" s="1">
        <v>40551</v>
      </c>
      <c r="C176">
        <v>1</v>
      </c>
      <c r="D176">
        <v>0</v>
      </c>
      <c r="E176">
        <v>1</v>
      </c>
      <c r="F176">
        <v>13</v>
      </c>
      <c r="G176" t="b">
        <v>0</v>
      </c>
      <c r="H176">
        <v>6</v>
      </c>
      <c r="I176">
        <v>1</v>
      </c>
      <c r="J176">
        <v>0.2</v>
      </c>
    </row>
    <row r="177" spans="1:10">
      <c r="A177">
        <v>176</v>
      </c>
      <c r="B177" s="1">
        <v>40551</v>
      </c>
      <c r="C177">
        <v>1</v>
      </c>
      <c r="D177">
        <v>0</v>
      </c>
      <c r="E177">
        <v>1</v>
      </c>
      <c r="F177">
        <v>14</v>
      </c>
      <c r="G177" t="b">
        <v>0</v>
      </c>
      <c r="H177">
        <v>6</v>
      </c>
      <c r="I177">
        <v>1</v>
      </c>
      <c r="J177">
        <v>0.2</v>
      </c>
    </row>
    <row r="178" spans="1:10">
      <c r="A178">
        <v>177</v>
      </c>
      <c r="B178" s="1">
        <v>40551</v>
      </c>
      <c r="C178">
        <v>1</v>
      </c>
      <c r="D178">
        <v>0</v>
      </c>
      <c r="E178">
        <v>1</v>
      </c>
      <c r="F178">
        <v>15</v>
      </c>
      <c r="G178" t="b">
        <v>0</v>
      </c>
      <c r="H178">
        <v>6</v>
      </c>
      <c r="I178">
        <v>1</v>
      </c>
      <c r="J178">
        <v>0.2</v>
      </c>
    </row>
    <row r="179" spans="1:10">
      <c r="A179">
        <v>178</v>
      </c>
      <c r="B179" s="1">
        <v>40551</v>
      </c>
      <c r="C179">
        <v>1</v>
      </c>
      <c r="D179">
        <v>0</v>
      </c>
      <c r="E179">
        <v>1</v>
      </c>
      <c r="F179">
        <v>16</v>
      </c>
      <c r="G179" t="b">
        <v>0</v>
      </c>
      <c r="H179">
        <v>6</v>
      </c>
      <c r="I179">
        <v>1</v>
      </c>
      <c r="J179">
        <v>0.18</v>
      </c>
    </row>
    <row r="180" spans="1:10">
      <c r="A180">
        <v>179</v>
      </c>
      <c r="B180" s="1">
        <v>40551</v>
      </c>
      <c r="C180">
        <v>1</v>
      </c>
      <c r="D180">
        <v>0</v>
      </c>
      <c r="E180">
        <v>1</v>
      </c>
      <c r="F180">
        <v>17</v>
      </c>
      <c r="G180" t="b">
        <v>0</v>
      </c>
      <c r="H180">
        <v>6</v>
      </c>
      <c r="I180">
        <v>1</v>
      </c>
      <c r="J180">
        <v>0.16</v>
      </c>
    </row>
    <row r="181" spans="1:10">
      <c r="A181">
        <v>180</v>
      </c>
      <c r="B181" s="1">
        <v>40551</v>
      </c>
      <c r="C181">
        <v>1</v>
      </c>
      <c r="D181">
        <v>0</v>
      </c>
      <c r="E181">
        <v>1</v>
      </c>
      <c r="F181">
        <v>18</v>
      </c>
      <c r="G181" t="b">
        <v>0</v>
      </c>
      <c r="H181">
        <v>6</v>
      </c>
      <c r="I181">
        <v>1</v>
      </c>
      <c r="J181">
        <v>0.14000000000000001</v>
      </c>
    </row>
    <row r="182" spans="1:10">
      <c r="A182">
        <v>181</v>
      </c>
      <c r="B182" s="1">
        <v>40551</v>
      </c>
      <c r="C182">
        <v>1</v>
      </c>
      <c r="D182">
        <v>0</v>
      </c>
      <c r="E182">
        <v>1</v>
      </c>
      <c r="F182">
        <v>19</v>
      </c>
      <c r="G182" t="b">
        <v>0</v>
      </c>
      <c r="H182">
        <v>6</v>
      </c>
      <c r="I182">
        <v>1</v>
      </c>
      <c r="J182">
        <v>0.14000000000000001</v>
      </c>
    </row>
    <row r="183" spans="1:10">
      <c r="A183">
        <v>182</v>
      </c>
      <c r="B183" s="1">
        <v>40551</v>
      </c>
      <c r="C183">
        <v>1</v>
      </c>
      <c r="D183">
        <v>0</v>
      </c>
      <c r="E183">
        <v>1</v>
      </c>
      <c r="F183">
        <v>20</v>
      </c>
      <c r="G183" t="b">
        <v>0</v>
      </c>
      <c r="H183">
        <v>6</v>
      </c>
      <c r="I183">
        <v>1</v>
      </c>
      <c r="J183">
        <v>0.12</v>
      </c>
    </row>
    <row r="184" spans="1:10">
      <c r="A184">
        <v>183</v>
      </c>
      <c r="B184" s="1">
        <v>40551</v>
      </c>
      <c r="C184">
        <v>1</v>
      </c>
      <c r="D184">
        <v>0</v>
      </c>
      <c r="E184">
        <v>1</v>
      </c>
      <c r="F184">
        <v>21</v>
      </c>
      <c r="G184" t="b">
        <v>0</v>
      </c>
      <c r="H184">
        <v>6</v>
      </c>
      <c r="I184">
        <v>1</v>
      </c>
      <c r="J184">
        <v>0.12</v>
      </c>
    </row>
    <row r="185" spans="1:10">
      <c r="A185">
        <v>184</v>
      </c>
      <c r="B185" s="1">
        <v>40551</v>
      </c>
      <c r="C185">
        <v>1</v>
      </c>
      <c r="D185">
        <v>0</v>
      </c>
      <c r="E185">
        <v>1</v>
      </c>
      <c r="F185">
        <v>22</v>
      </c>
      <c r="G185" t="b">
        <v>0</v>
      </c>
      <c r="H185">
        <v>6</v>
      </c>
      <c r="I185">
        <v>1</v>
      </c>
      <c r="J185">
        <v>0.12</v>
      </c>
    </row>
    <row r="186" spans="1:10">
      <c r="A186">
        <v>185</v>
      </c>
      <c r="B186" s="1">
        <v>40551</v>
      </c>
      <c r="C186">
        <v>1</v>
      </c>
      <c r="D186">
        <v>0</v>
      </c>
      <c r="E186">
        <v>1</v>
      </c>
      <c r="F186">
        <v>23</v>
      </c>
      <c r="G186" t="b">
        <v>0</v>
      </c>
      <c r="H186">
        <v>6</v>
      </c>
      <c r="I186">
        <v>1</v>
      </c>
      <c r="J186">
        <v>0.1</v>
      </c>
    </row>
    <row r="187" spans="1:10">
      <c r="A187">
        <v>186</v>
      </c>
      <c r="B187" s="1">
        <v>40552</v>
      </c>
      <c r="C187">
        <v>1</v>
      </c>
      <c r="D187">
        <v>0</v>
      </c>
      <c r="E187">
        <v>1</v>
      </c>
      <c r="F187">
        <v>0</v>
      </c>
      <c r="G187" t="b">
        <v>0</v>
      </c>
      <c r="H187">
        <v>0</v>
      </c>
      <c r="I187">
        <v>1</v>
      </c>
      <c r="J187">
        <v>0.1</v>
      </c>
    </row>
    <row r="188" spans="1:10">
      <c r="A188">
        <v>187</v>
      </c>
      <c r="B188" s="1">
        <v>40552</v>
      </c>
      <c r="C188">
        <v>1</v>
      </c>
      <c r="D188">
        <v>0</v>
      </c>
      <c r="E188">
        <v>1</v>
      </c>
      <c r="F188">
        <v>1</v>
      </c>
      <c r="G188" t="b">
        <v>0</v>
      </c>
      <c r="H188">
        <v>0</v>
      </c>
      <c r="I188">
        <v>1</v>
      </c>
      <c r="J188">
        <v>0.1</v>
      </c>
    </row>
    <row r="189" spans="1:10">
      <c r="A189">
        <v>188</v>
      </c>
      <c r="B189" s="1">
        <v>40552</v>
      </c>
      <c r="C189">
        <v>1</v>
      </c>
      <c r="D189">
        <v>0</v>
      </c>
      <c r="E189">
        <v>1</v>
      </c>
      <c r="F189">
        <v>2</v>
      </c>
      <c r="G189" t="b">
        <v>0</v>
      </c>
      <c r="H189">
        <v>0</v>
      </c>
      <c r="I189">
        <v>1</v>
      </c>
      <c r="J189">
        <v>0.1</v>
      </c>
    </row>
    <row r="190" spans="1:10">
      <c r="A190">
        <v>189</v>
      </c>
      <c r="B190" s="1">
        <v>40552</v>
      </c>
      <c r="C190">
        <v>1</v>
      </c>
      <c r="D190">
        <v>0</v>
      </c>
      <c r="E190">
        <v>1</v>
      </c>
      <c r="F190">
        <v>3</v>
      </c>
      <c r="G190" t="b">
        <v>0</v>
      </c>
      <c r="H190">
        <v>0</v>
      </c>
      <c r="I190">
        <v>1</v>
      </c>
      <c r="J190">
        <v>0.1</v>
      </c>
    </row>
    <row r="191" spans="1:10">
      <c r="A191">
        <v>190</v>
      </c>
      <c r="B191" s="1">
        <v>40552</v>
      </c>
      <c r="C191">
        <v>1</v>
      </c>
      <c r="D191">
        <v>0</v>
      </c>
      <c r="E191">
        <v>1</v>
      </c>
      <c r="F191">
        <v>4</v>
      </c>
      <c r="G191" t="b">
        <v>0</v>
      </c>
      <c r="H191">
        <v>0</v>
      </c>
      <c r="I191">
        <v>1</v>
      </c>
      <c r="J191">
        <v>0.08</v>
      </c>
    </row>
    <row r="192" spans="1:10">
      <c r="A192">
        <v>191</v>
      </c>
      <c r="B192" s="1">
        <v>40552</v>
      </c>
      <c r="C192">
        <v>1</v>
      </c>
      <c r="D192">
        <v>0</v>
      </c>
      <c r="E192">
        <v>1</v>
      </c>
      <c r="F192">
        <v>5</v>
      </c>
      <c r="G192" t="b">
        <v>0</v>
      </c>
      <c r="H192">
        <v>0</v>
      </c>
      <c r="I192">
        <v>1</v>
      </c>
      <c r="J192">
        <v>0.08</v>
      </c>
    </row>
    <row r="193" spans="1:10">
      <c r="A193">
        <v>192</v>
      </c>
      <c r="B193" s="1">
        <v>40552</v>
      </c>
      <c r="C193">
        <v>1</v>
      </c>
      <c r="D193">
        <v>0</v>
      </c>
      <c r="E193">
        <v>1</v>
      </c>
      <c r="F193">
        <v>6</v>
      </c>
      <c r="G193" t="b">
        <v>0</v>
      </c>
      <c r="H193">
        <v>0</v>
      </c>
      <c r="I193">
        <v>1</v>
      </c>
      <c r="J193">
        <v>0.1</v>
      </c>
    </row>
    <row r="194" spans="1:10">
      <c r="A194">
        <v>193</v>
      </c>
      <c r="B194" s="1">
        <v>40552</v>
      </c>
      <c r="C194">
        <v>1</v>
      </c>
      <c r="D194">
        <v>0</v>
      </c>
      <c r="E194">
        <v>1</v>
      </c>
      <c r="F194">
        <v>7</v>
      </c>
      <c r="G194" t="b">
        <v>0</v>
      </c>
      <c r="H194">
        <v>0</v>
      </c>
      <c r="I194">
        <v>1</v>
      </c>
      <c r="J194">
        <v>0.08</v>
      </c>
    </row>
    <row r="195" spans="1:10">
      <c r="A195">
        <v>194</v>
      </c>
      <c r="B195" s="1">
        <v>40552</v>
      </c>
      <c r="C195">
        <v>1</v>
      </c>
      <c r="D195">
        <v>0</v>
      </c>
      <c r="E195">
        <v>1</v>
      </c>
      <c r="F195">
        <v>8</v>
      </c>
      <c r="G195" t="b">
        <v>0</v>
      </c>
      <c r="H195">
        <v>0</v>
      </c>
      <c r="I195">
        <v>1</v>
      </c>
      <c r="J195">
        <v>0.1</v>
      </c>
    </row>
    <row r="196" spans="1:10">
      <c r="A196">
        <v>195</v>
      </c>
      <c r="B196" s="1">
        <v>40552</v>
      </c>
      <c r="C196">
        <v>1</v>
      </c>
      <c r="D196">
        <v>0</v>
      </c>
      <c r="E196">
        <v>1</v>
      </c>
      <c r="F196">
        <v>9</v>
      </c>
      <c r="G196" t="b">
        <v>0</v>
      </c>
      <c r="H196">
        <v>0</v>
      </c>
      <c r="I196">
        <v>1</v>
      </c>
      <c r="J196">
        <v>0.12</v>
      </c>
    </row>
    <row r="197" spans="1:10">
      <c r="A197">
        <v>196</v>
      </c>
      <c r="B197" s="1">
        <v>40552</v>
      </c>
      <c r="C197">
        <v>1</v>
      </c>
      <c r="D197">
        <v>0</v>
      </c>
      <c r="E197">
        <v>1</v>
      </c>
      <c r="F197">
        <v>10</v>
      </c>
      <c r="G197" t="b">
        <v>0</v>
      </c>
      <c r="H197">
        <v>0</v>
      </c>
      <c r="I197">
        <v>1</v>
      </c>
      <c r="J197">
        <v>0.14000000000000001</v>
      </c>
    </row>
    <row r="198" spans="1:10">
      <c r="A198">
        <v>197</v>
      </c>
      <c r="B198" s="1">
        <v>40552</v>
      </c>
      <c r="C198">
        <v>1</v>
      </c>
      <c r="D198">
        <v>0</v>
      </c>
      <c r="E198">
        <v>1</v>
      </c>
      <c r="F198">
        <v>11</v>
      </c>
      <c r="G198" t="b">
        <v>0</v>
      </c>
      <c r="H198">
        <v>0</v>
      </c>
      <c r="I198">
        <v>1</v>
      </c>
      <c r="J198">
        <v>0.16</v>
      </c>
    </row>
    <row r="199" spans="1:10">
      <c r="A199">
        <v>198</v>
      </c>
      <c r="B199" s="1">
        <v>40552</v>
      </c>
      <c r="C199">
        <v>1</v>
      </c>
      <c r="D199">
        <v>0</v>
      </c>
      <c r="E199">
        <v>1</v>
      </c>
      <c r="F199">
        <v>12</v>
      </c>
      <c r="G199" t="b">
        <v>0</v>
      </c>
      <c r="H199">
        <v>0</v>
      </c>
      <c r="I199">
        <v>1</v>
      </c>
      <c r="J199">
        <v>0.18</v>
      </c>
    </row>
    <row r="200" spans="1:10">
      <c r="A200">
        <v>199</v>
      </c>
      <c r="B200" s="1">
        <v>40552</v>
      </c>
      <c r="C200">
        <v>1</v>
      </c>
      <c r="D200">
        <v>0</v>
      </c>
      <c r="E200">
        <v>1</v>
      </c>
      <c r="F200">
        <v>13</v>
      </c>
      <c r="G200" t="b">
        <v>0</v>
      </c>
      <c r="H200">
        <v>0</v>
      </c>
      <c r="I200">
        <v>1</v>
      </c>
      <c r="J200">
        <v>0.2</v>
      </c>
    </row>
    <row r="201" spans="1:10">
      <c r="A201">
        <v>200</v>
      </c>
      <c r="B201" s="1">
        <v>40552</v>
      </c>
      <c r="C201">
        <v>1</v>
      </c>
      <c r="D201">
        <v>0</v>
      </c>
      <c r="E201">
        <v>1</v>
      </c>
      <c r="F201">
        <v>14</v>
      </c>
      <c r="G201" t="b">
        <v>0</v>
      </c>
      <c r="H201">
        <v>0</v>
      </c>
      <c r="I201">
        <v>1</v>
      </c>
      <c r="J201">
        <v>0.22</v>
      </c>
    </row>
    <row r="202" spans="1:10">
      <c r="A202">
        <v>201</v>
      </c>
      <c r="B202" s="1">
        <v>40552</v>
      </c>
      <c r="C202">
        <v>1</v>
      </c>
      <c r="D202">
        <v>0</v>
      </c>
      <c r="E202">
        <v>1</v>
      </c>
      <c r="F202">
        <v>15</v>
      </c>
      <c r="G202" t="b">
        <v>0</v>
      </c>
      <c r="H202">
        <v>0</v>
      </c>
      <c r="I202">
        <v>1</v>
      </c>
      <c r="J202">
        <v>0.22</v>
      </c>
    </row>
    <row r="203" spans="1:10">
      <c r="A203">
        <v>202</v>
      </c>
      <c r="B203" s="1">
        <v>40552</v>
      </c>
      <c r="C203">
        <v>1</v>
      </c>
      <c r="D203">
        <v>0</v>
      </c>
      <c r="E203">
        <v>1</v>
      </c>
      <c r="F203">
        <v>16</v>
      </c>
      <c r="G203" t="b">
        <v>0</v>
      </c>
      <c r="H203">
        <v>0</v>
      </c>
      <c r="I203">
        <v>1</v>
      </c>
      <c r="J203">
        <v>0.2</v>
      </c>
    </row>
    <row r="204" spans="1:10">
      <c r="A204">
        <v>203</v>
      </c>
      <c r="B204" s="1">
        <v>40552</v>
      </c>
      <c r="C204">
        <v>1</v>
      </c>
      <c r="D204">
        <v>0</v>
      </c>
      <c r="E204">
        <v>1</v>
      </c>
      <c r="F204">
        <v>17</v>
      </c>
      <c r="G204" t="b">
        <v>0</v>
      </c>
      <c r="H204">
        <v>0</v>
      </c>
      <c r="I204">
        <v>1</v>
      </c>
      <c r="J204">
        <v>0.18</v>
      </c>
    </row>
    <row r="205" spans="1:10">
      <c r="A205">
        <v>204</v>
      </c>
      <c r="B205" s="1">
        <v>40552</v>
      </c>
      <c r="C205">
        <v>1</v>
      </c>
      <c r="D205">
        <v>0</v>
      </c>
      <c r="E205">
        <v>1</v>
      </c>
      <c r="F205">
        <v>18</v>
      </c>
      <c r="G205" t="b">
        <v>0</v>
      </c>
      <c r="H205">
        <v>0</v>
      </c>
      <c r="I205">
        <v>1</v>
      </c>
      <c r="J205">
        <v>0.16</v>
      </c>
    </row>
    <row r="206" spans="1:10">
      <c r="A206">
        <v>205</v>
      </c>
      <c r="B206" s="1">
        <v>40552</v>
      </c>
      <c r="C206">
        <v>1</v>
      </c>
      <c r="D206">
        <v>0</v>
      </c>
      <c r="E206">
        <v>1</v>
      </c>
      <c r="F206">
        <v>19</v>
      </c>
      <c r="G206" t="b">
        <v>0</v>
      </c>
      <c r="H206">
        <v>0</v>
      </c>
      <c r="I206">
        <v>1</v>
      </c>
      <c r="J206">
        <v>0.16</v>
      </c>
    </row>
    <row r="207" spans="1:10">
      <c r="A207">
        <v>206</v>
      </c>
      <c r="B207" s="1">
        <v>40552</v>
      </c>
      <c r="C207">
        <v>1</v>
      </c>
      <c r="D207">
        <v>0</v>
      </c>
      <c r="E207">
        <v>1</v>
      </c>
      <c r="F207">
        <v>20</v>
      </c>
      <c r="G207" t="b">
        <v>0</v>
      </c>
      <c r="H207">
        <v>0</v>
      </c>
      <c r="I207">
        <v>1</v>
      </c>
      <c r="J207">
        <v>0.14000000000000001</v>
      </c>
    </row>
    <row r="208" spans="1:10">
      <c r="A208">
        <v>207</v>
      </c>
      <c r="B208" s="1">
        <v>40552</v>
      </c>
      <c r="C208">
        <v>1</v>
      </c>
      <c r="D208">
        <v>0</v>
      </c>
      <c r="E208">
        <v>1</v>
      </c>
      <c r="F208">
        <v>21</v>
      </c>
      <c r="G208" t="b">
        <v>0</v>
      </c>
      <c r="H208">
        <v>0</v>
      </c>
      <c r="I208">
        <v>1</v>
      </c>
      <c r="J208">
        <v>0.14000000000000001</v>
      </c>
    </row>
    <row r="209" spans="1:10">
      <c r="A209">
        <v>208</v>
      </c>
      <c r="B209" s="1">
        <v>40552</v>
      </c>
      <c r="C209">
        <v>1</v>
      </c>
      <c r="D209">
        <v>0</v>
      </c>
      <c r="E209">
        <v>1</v>
      </c>
      <c r="F209">
        <v>22</v>
      </c>
      <c r="G209" t="b">
        <v>0</v>
      </c>
      <c r="H209">
        <v>0</v>
      </c>
      <c r="I209">
        <v>1</v>
      </c>
      <c r="J209">
        <v>0.14000000000000001</v>
      </c>
    </row>
    <row r="210" spans="1:10">
      <c r="A210">
        <v>209</v>
      </c>
      <c r="B210" s="1">
        <v>40552</v>
      </c>
      <c r="C210">
        <v>1</v>
      </c>
      <c r="D210">
        <v>0</v>
      </c>
      <c r="E210">
        <v>1</v>
      </c>
      <c r="F210">
        <v>23</v>
      </c>
      <c r="G210" t="b">
        <v>0</v>
      </c>
      <c r="H210">
        <v>0</v>
      </c>
      <c r="I210">
        <v>1</v>
      </c>
      <c r="J210">
        <v>0.12</v>
      </c>
    </row>
    <row r="211" spans="1:10">
      <c r="A211">
        <v>210</v>
      </c>
      <c r="B211" s="1">
        <v>40553</v>
      </c>
      <c r="C211">
        <v>1</v>
      </c>
      <c r="D211">
        <v>0</v>
      </c>
      <c r="E211">
        <v>1</v>
      </c>
      <c r="F211">
        <v>0</v>
      </c>
      <c r="G211" t="b">
        <v>0</v>
      </c>
      <c r="H211">
        <v>1</v>
      </c>
      <c r="I211">
        <v>1</v>
      </c>
      <c r="J211">
        <v>0.12</v>
      </c>
    </row>
    <row r="212" spans="1:10">
      <c r="A212">
        <v>211</v>
      </c>
      <c r="B212" s="1">
        <v>40553</v>
      </c>
      <c r="C212">
        <v>1</v>
      </c>
      <c r="D212">
        <v>0</v>
      </c>
      <c r="E212">
        <v>1</v>
      </c>
      <c r="F212">
        <v>1</v>
      </c>
      <c r="G212" t="b">
        <v>0</v>
      </c>
      <c r="H212">
        <v>1</v>
      </c>
      <c r="I212">
        <v>1</v>
      </c>
      <c r="J212">
        <v>0.12</v>
      </c>
    </row>
    <row r="213" spans="1:10">
      <c r="A213">
        <v>212</v>
      </c>
      <c r="B213" s="1">
        <v>40553</v>
      </c>
      <c r="C213">
        <v>1</v>
      </c>
      <c r="D213">
        <v>0</v>
      </c>
      <c r="E213">
        <v>1</v>
      </c>
      <c r="F213">
        <v>2</v>
      </c>
      <c r="G213" t="b">
        <v>0</v>
      </c>
      <c r="H213">
        <v>1</v>
      </c>
      <c r="I213">
        <v>1</v>
      </c>
      <c r="J213">
        <v>0.12</v>
      </c>
    </row>
    <row r="214" spans="1:10">
      <c r="A214">
        <v>213</v>
      </c>
      <c r="B214" s="1">
        <v>40553</v>
      </c>
      <c r="C214">
        <v>1</v>
      </c>
      <c r="D214">
        <v>0</v>
      </c>
      <c r="E214">
        <v>1</v>
      </c>
      <c r="F214">
        <v>3</v>
      </c>
      <c r="G214" t="b">
        <v>0</v>
      </c>
      <c r="H214">
        <v>1</v>
      </c>
      <c r="I214">
        <v>1</v>
      </c>
      <c r="J214">
        <v>0.12</v>
      </c>
    </row>
    <row r="215" spans="1:10">
      <c r="A215">
        <v>214</v>
      </c>
      <c r="B215" s="1">
        <v>40553</v>
      </c>
      <c r="C215">
        <v>1</v>
      </c>
      <c r="D215">
        <v>0</v>
      </c>
      <c r="E215">
        <v>1</v>
      </c>
      <c r="F215">
        <v>4</v>
      </c>
      <c r="G215" t="b">
        <v>0</v>
      </c>
      <c r="H215">
        <v>1</v>
      </c>
      <c r="I215">
        <v>1</v>
      </c>
      <c r="J215">
        <v>0.1</v>
      </c>
    </row>
    <row r="216" spans="1:10">
      <c r="A216">
        <v>215</v>
      </c>
      <c r="B216" s="1">
        <v>40553</v>
      </c>
      <c r="C216">
        <v>1</v>
      </c>
      <c r="D216">
        <v>0</v>
      </c>
      <c r="E216">
        <v>1</v>
      </c>
      <c r="F216">
        <v>5</v>
      </c>
      <c r="G216" t="b">
        <v>0</v>
      </c>
      <c r="H216">
        <v>1</v>
      </c>
      <c r="I216">
        <v>1</v>
      </c>
      <c r="J216">
        <v>0.1</v>
      </c>
    </row>
    <row r="217" spans="1:10">
      <c r="A217">
        <v>216</v>
      </c>
      <c r="B217" s="1">
        <v>40553</v>
      </c>
      <c r="C217">
        <v>1</v>
      </c>
      <c r="D217">
        <v>0</v>
      </c>
      <c r="E217">
        <v>1</v>
      </c>
      <c r="F217">
        <v>6</v>
      </c>
      <c r="G217" t="b">
        <v>0</v>
      </c>
      <c r="H217">
        <v>1</v>
      </c>
      <c r="I217">
        <v>1</v>
      </c>
      <c r="J217">
        <v>0.12</v>
      </c>
    </row>
    <row r="218" spans="1:10">
      <c r="A218">
        <v>217</v>
      </c>
      <c r="B218" s="1">
        <v>40553</v>
      </c>
      <c r="C218">
        <v>1</v>
      </c>
      <c r="D218">
        <v>0</v>
      </c>
      <c r="E218">
        <v>1</v>
      </c>
      <c r="F218">
        <v>7</v>
      </c>
      <c r="G218" t="b">
        <v>0</v>
      </c>
      <c r="H218">
        <v>1</v>
      </c>
      <c r="I218">
        <v>1</v>
      </c>
      <c r="J218">
        <v>0.12</v>
      </c>
    </row>
    <row r="219" spans="1:10">
      <c r="A219">
        <v>218</v>
      </c>
      <c r="B219" s="1">
        <v>40553</v>
      </c>
      <c r="C219">
        <v>1</v>
      </c>
      <c r="D219">
        <v>0</v>
      </c>
      <c r="E219">
        <v>1</v>
      </c>
      <c r="F219">
        <v>8</v>
      </c>
      <c r="G219" t="b">
        <v>0</v>
      </c>
      <c r="H219">
        <v>1</v>
      </c>
      <c r="I219">
        <v>2</v>
      </c>
      <c r="J219">
        <v>0.12</v>
      </c>
    </row>
    <row r="220" spans="1:10">
      <c r="A220">
        <v>219</v>
      </c>
      <c r="B220" s="1">
        <v>40553</v>
      </c>
      <c r="C220">
        <v>1</v>
      </c>
      <c r="D220">
        <v>0</v>
      </c>
      <c r="E220">
        <v>1</v>
      </c>
      <c r="F220">
        <v>9</v>
      </c>
      <c r="G220" t="b">
        <v>0</v>
      </c>
      <c r="H220">
        <v>1</v>
      </c>
      <c r="I220">
        <v>2</v>
      </c>
      <c r="J220">
        <v>0.14000000000000001</v>
      </c>
    </row>
    <row r="221" spans="1:10">
      <c r="A221">
        <v>220</v>
      </c>
      <c r="B221" s="1">
        <v>40553</v>
      </c>
      <c r="C221">
        <v>1</v>
      </c>
      <c r="D221">
        <v>0</v>
      </c>
      <c r="E221">
        <v>1</v>
      </c>
      <c r="F221">
        <v>10</v>
      </c>
      <c r="G221" t="b">
        <v>0</v>
      </c>
      <c r="H221">
        <v>1</v>
      </c>
      <c r="I221">
        <v>2</v>
      </c>
      <c r="J221">
        <v>0.14000000000000001</v>
      </c>
    </row>
    <row r="222" spans="1:10">
      <c r="A222">
        <v>221</v>
      </c>
      <c r="B222" s="1">
        <v>40553</v>
      </c>
      <c r="C222">
        <v>1</v>
      </c>
      <c r="D222">
        <v>0</v>
      </c>
      <c r="E222">
        <v>1</v>
      </c>
      <c r="F222">
        <v>11</v>
      </c>
      <c r="G222" t="b">
        <v>0</v>
      </c>
      <c r="H222">
        <v>1</v>
      </c>
      <c r="I222">
        <v>2</v>
      </c>
      <c r="J222">
        <v>0.16</v>
      </c>
    </row>
    <row r="223" spans="1:10">
      <c r="A223">
        <v>222</v>
      </c>
      <c r="B223" s="1">
        <v>40553</v>
      </c>
      <c r="C223">
        <v>1</v>
      </c>
      <c r="D223">
        <v>0</v>
      </c>
      <c r="E223">
        <v>1</v>
      </c>
      <c r="F223">
        <v>12</v>
      </c>
      <c r="G223" t="b">
        <v>0</v>
      </c>
      <c r="H223">
        <v>1</v>
      </c>
      <c r="I223">
        <v>2</v>
      </c>
      <c r="J223">
        <v>0.2</v>
      </c>
    </row>
    <row r="224" spans="1:10">
      <c r="A224">
        <v>223</v>
      </c>
      <c r="B224" s="1">
        <v>40553</v>
      </c>
      <c r="C224">
        <v>1</v>
      </c>
      <c r="D224">
        <v>0</v>
      </c>
      <c r="E224">
        <v>1</v>
      </c>
      <c r="F224">
        <v>13</v>
      </c>
      <c r="G224" t="b">
        <v>0</v>
      </c>
      <c r="H224">
        <v>1</v>
      </c>
      <c r="I224">
        <v>2</v>
      </c>
      <c r="J224">
        <v>0.2</v>
      </c>
    </row>
    <row r="225" spans="1:10">
      <c r="A225">
        <v>224</v>
      </c>
      <c r="B225" s="1">
        <v>40553</v>
      </c>
      <c r="C225">
        <v>1</v>
      </c>
      <c r="D225">
        <v>0</v>
      </c>
      <c r="E225">
        <v>1</v>
      </c>
      <c r="F225">
        <v>14</v>
      </c>
      <c r="G225" t="b">
        <v>0</v>
      </c>
      <c r="H225">
        <v>1</v>
      </c>
      <c r="I225">
        <v>2</v>
      </c>
      <c r="J225">
        <v>0.2</v>
      </c>
    </row>
    <row r="226" spans="1:10">
      <c r="A226">
        <v>225</v>
      </c>
      <c r="B226" s="1">
        <v>40553</v>
      </c>
      <c r="C226">
        <v>1</v>
      </c>
      <c r="D226">
        <v>0</v>
      </c>
      <c r="E226">
        <v>1</v>
      </c>
      <c r="F226">
        <v>15</v>
      </c>
      <c r="G226" t="b">
        <v>0</v>
      </c>
      <c r="H226">
        <v>1</v>
      </c>
      <c r="I226">
        <v>2</v>
      </c>
      <c r="J226">
        <v>0.2</v>
      </c>
    </row>
    <row r="227" spans="1:10">
      <c r="A227">
        <v>226</v>
      </c>
      <c r="B227" s="1">
        <v>40553</v>
      </c>
      <c r="C227">
        <v>1</v>
      </c>
      <c r="D227">
        <v>0</v>
      </c>
      <c r="E227">
        <v>1</v>
      </c>
      <c r="F227">
        <v>16</v>
      </c>
      <c r="G227" t="b">
        <v>0</v>
      </c>
      <c r="H227">
        <v>1</v>
      </c>
      <c r="I227">
        <v>1</v>
      </c>
      <c r="J227">
        <v>0.2</v>
      </c>
    </row>
    <row r="228" spans="1:10">
      <c r="A228">
        <v>227</v>
      </c>
      <c r="B228" s="1">
        <v>40553</v>
      </c>
      <c r="C228">
        <v>1</v>
      </c>
      <c r="D228">
        <v>0</v>
      </c>
      <c r="E228">
        <v>1</v>
      </c>
      <c r="F228">
        <v>17</v>
      </c>
      <c r="G228" t="b">
        <v>0</v>
      </c>
      <c r="H228">
        <v>1</v>
      </c>
      <c r="I228">
        <v>1</v>
      </c>
      <c r="J228">
        <v>0.2</v>
      </c>
    </row>
    <row r="229" spans="1:10">
      <c r="A229">
        <v>228</v>
      </c>
      <c r="B229" s="1">
        <v>40553</v>
      </c>
      <c r="C229">
        <v>1</v>
      </c>
      <c r="D229">
        <v>0</v>
      </c>
      <c r="E229">
        <v>1</v>
      </c>
      <c r="F229">
        <v>18</v>
      </c>
      <c r="G229" t="b">
        <v>0</v>
      </c>
      <c r="H229">
        <v>1</v>
      </c>
      <c r="I229">
        <v>1</v>
      </c>
      <c r="J229">
        <v>0.2</v>
      </c>
    </row>
    <row r="230" spans="1:10">
      <c r="A230">
        <v>229</v>
      </c>
      <c r="B230" s="1">
        <v>40553</v>
      </c>
      <c r="C230">
        <v>1</v>
      </c>
      <c r="D230">
        <v>0</v>
      </c>
      <c r="E230">
        <v>1</v>
      </c>
      <c r="F230">
        <v>19</v>
      </c>
      <c r="G230" t="b">
        <v>0</v>
      </c>
      <c r="H230">
        <v>1</v>
      </c>
      <c r="I230">
        <v>1</v>
      </c>
      <c r="J230">
        <v>0.16</v>
      </c>
    </row>
    <row r="231" spans="1:10">
      <c r="A231">
        <v>230</v>
      </c>
      <c r="B231" s="1">
        <v>40553</v>
      </c>
      <c r="C231">
        <v>1</v>
      </c>
      <c r="D231">
        <v>0</v>
      </c>
      <c r="E231">
        <v>1</v>
      </c>
      <c r="F231">
        <v>20</v>
      </c>
      <c r="G231" t="b">
        <v>0</v>
      </c>
      <c r="H231">
        <v>1</v>
      </c>
      <c r="I231">
        <v>1</v>
      </c>
      <c r="J231">
        <v>0.16</v>
      </c>
    </row>
    <row r="232" spans="1:10">
      <c r="A232">
        <v>231</v>
      </c>
      <c r="B232" s="1">
        <v>40553</v>
      </c>
      <c r="C232">
        <v>1</v>
      </c>
      <c r="D232">
        <v>0</v>
      </c>
      <c r="E232">
        <v>1</v>
      </c>
      <c r="F232">
        <v>21</v>
      </c>
      <c r="G232" t="b">
        <v>0</v>
      </c>
      <c r="H232">
        <v>1</v>
      </c>
      <c r="I232">
        <v>1</v>
      </c>
      <c r="J232">
        <v>0.14000000000000001</v>
      </c>
    </row>
    <row r="233" spans="1:10">
      <c r="A233">
        <v>232</v>
      </c>
      <c r="B233" s="1">
        <v>40553</v>
      </c>
      <c r="C233">
        <v>1</v>
      </c>
      <c r="D233">
        <v>0</v>
      </c>
      <c r="E233">
        <v>1</v>
      </c>
      <c r="F233">
        <v>22</v>
      </c>
      <c r="G233" t="b">
        <v>0</v>
      </c>
      <c r="H233">
        <v>1</v>
      </c>
      <c r="I233">
        <v>1</v>
      </c>
      <c r="J233">
        <v>0.14000000000000001</v>
      </c>
    </row>
    <row r="234" spans="1:10">
      <c r="A234">
        <v>233</v>
      </c>
      <c r="B234" s="1">
        <v>40553</v>
      </c>
      <c r="C234">
        <v>1</v>
      </c>
      <c r="D234">
        <v>0</v>
      </c>
      <c r="E234">
        <v>1</v>
      </c>
      <c r="F234">
        <v>23</v>
      </c>
      <c r="G234" t="b">
        <v>0</v>
      </c>
      <c r="H234">
        <v>1</v>
      </c>
      <c r="I234">
        <v>1</v>
      </c>
      <c r="J234">
        <v>0.14000000000000001</v>
      </c>
    </row>
    <row r="235" spans="1:10">
      <c r="A235">
        <v>234</v>
      </c>
      <c r="B235" s="1">
        <v>40554</v>
      </c>
      <c r="C235">
        <v>1</v>
      </c>
      <c r="D235">
        <v>0</v>
      </c>
      <c r="E235">
        <v>1</v>
      </c>
      <c r="F235">
        <v>0</v>
      </c>
      <c r="G235" t="b">
        <v>0</v>
      </c>
      <c r="H235">
        <v>2</v>
      </c>
      <c r="I235">
        <v>1</v>
      </c>
      <c r="J235">
        <v>0.14000000000000001</v>
      </c>
    </row>
    <row r="236" spans="1:10">
      <c r="A236">
        <v>235</v>
      </c>
      <c r="B236" s="1">
        <v>40554</v>
      </c>
      <c r="C236">
        <v>1</v>
      </c>
      <c r="D236">
        <v>0</v>
      </c>
      <c r="E236">
        <v>1</v>
      </c>
      <c r="F236">
        <v>1</v>
      </c>
      <c r="G236" t="b">
        <v>0</v>
      </c>
      <c r="H236">
        <v>2</v>
      </c>
      <c r="I236">
        <v>1</v>
      </c>
      <c r="J236">
        <v>0.14000000000000001</v>
      </c>
    </row>
    <row r="237" spans="1:10">
      <c r="A237">
        <v>236</v>
      </c>
      <c r="B237" s="1">
        <v>40554</v>
      </c>
      <c r="C237">
        <v>1</v>
      </c>
      <c r="D237">
        <v>0</v>
      </c>
      <c r="E237">
        <v>1</v>
      </c>
      <c r="F237">
        <v>2</v>
      </c>
      <c r="G237" t="b">
        <v>0</v>
      </c>
      <c r="H237">
        <v>2</v>
      </c>
      <c r="I237">
        <v>2</v>
      </c>
      <c r="J237">
        <v>0.16</v>
      </c>
    </row>
    <row r="238" spans="1:10">
      <c r="A238">
        <v>237</v>
      </c>
      <c r="B238" s="1">
        <v>40554</v>
      </c>
      <c r="C238">
        <v>1</v>
      </c>
      <c r="D238">
        <v>0</v>
      </c>
      <c r="E238">
        <v>1</v>
      </c>
      <c r="F238">
        <v>5</v>
      </c>
      <c r="G238" t="b">
        <v>0</v>
      </c>
      <c r="H238">
        <v>2</v>
      </c>
      <c r="I238">
        <v>2</v>
      </c>
      <c r="J238">
        <v>0.16</v>
      </c>
    </row>
    <row r="239" spans="1:10">
      <c r="A239">
        <v>238</v>
      </c>
      <c r="B239" s="1">
        <v>40554</v>
      </c>
      <c r="C239">
        <v>1</v>
      </c>
      <c r="D239">
        <v>0</v>
      </c>
      <c r="E239">
        <v>1</v>
      </c>
      <c r="F239">
        <v>6</v>
      </c>
      <c r="G239" t="b">
        <v>0</v>
      </c>
      <c r="H239">
        <v>2</v>
      </c>
      <c r="I239">
        <v>2</v>
      </c>
      <c r="J239">
        <v>0.16</v>
      </c>
    </row>
    <row r="240" spans="1:10">
      <c r="A240">
        <v>239</v>
      </c>
      <c r="B240" s="1">
        <v>40554</v>
      </c>
      <c r="C240">
        <v>1</v>
      </c>
      <c r="D240">
        <v>0</v>
      </c>
      <c r="E240">
        <v>1</v>
      </c>
      <c r="F240">
        <v>7</v>
      </c>
      <c r="G240" t="b">
        <v>0</v>
      </c>
      <c r="H240">
        <v>2</v>
      </c>
      <c r="I240">
        <v>2</v>
      </c>
      <c r="J240">
        <v>0.16</v>
      </c>
    </row>
    <row r="241" spans="1:10">
      <c r="A241">
        <v>240</v>
      </c>
      <c r="B241" s="1">
        <v>40554</v>
      </c>
      <c r="C241">
        <v>1</v>
      </c>
      <c r="D241">
        <v>0</v>
      </c>
      <c r="E241">
        <v>1</v>
      </c>
      <c r="F241">
        <v>8</v>
      </c>
      <c r="G241" t="b">
        <v>0</v>
      </c>
      <c r="H241">
        <v>2</v>
      </c>
      <c r="I241">
        <v>2</v>
      </c>
      <c r="J241">
        <v>0.18</v>
      </c>
    </row>
    <row r="242" spans="1:10">
      <c r="A242">
        <v>241</v>
      </c>
      <c r="B242" s="1">
        <v>40554</v>
      </c>
      <c r="C242">
        <v>1</v>
      </c>
      <c r="D242">
        <v>0</v>
      </c>
      <c r="E242">
        <v>1</v>
      </c>
      <c r="F242">
        <v>9</v>
      </c>
      <c r="G242" t="b">
        <v>0</v>
      </c>
      <c r="H242">
        <v>2</v>
      </c>
      <c r="I242">
        <v>2</v>
      </c>
      <c r="J242">
        <v>0.18</v>
      </c>
    </row>
    <row r="243" spans="1:10">
      <c r="A243">
        <v>242</v>
      </c>
      <c r="B243" s="1">
        <v>40554</v>
      </c>
      <c r="C243">
        <v>1</v>
      </c>
      <c r="D243">
        <v>0</v>
      </c>
      <c r="E243">
        <v>1</v>
      </c>
      <c r="F243">
        <v>10</v>
      </c>
      <c r="G243" t="b">
        <v>0</v>
      </c>
      <c r="H243">
        <v>2</v>
      </c>
      <c r="I243">
        <v>2</v>
      </c>
      <c r="J243">
        <v>0.2</v>
      </c>
    </row>
    <row r="244" spans="1:10">
      <c r="A244">
        <v>243</v>
      </c>
      <c r="B244" s="1">
        <v>40554</v>
      </c>
      <c r="C244">
        <v>1</v>
      </c>
      <c r="D244">
        <v>0</v>
      </c>
      <c r="E244">
        <v>1</v>
      </c>
      <c r="F244">
        <v>11</v>
      </c>
      <c r="G244" t="b">
        <v>0</v>
      </c>
      <c r="H244">
        <v>2</v>
      </c>
      <c r="I244">
        <v>2</v>
      </c>
      <c r="J244">
        <v>0.2</v>
      </c>
    </row>
    <row r="245" spans="1:10">
      <c r="A245">
        <v>244</v>
      </c>
      <c r="B245" s="1">
        <v>40554</v>
      </c>
      <c r="C245">
        <v>1</v>
      </c>
      <c r="D245">
        <v>0</v>
      </c>
      <c r="E245">
        <v>1</v>
      </c>
      <c r="F245">
        <v>12</v>
      </c>
      <c r="G245" t="b">
        <v>0</v>
      </c>
      <c r="H245">
        <v>2</v>
      </c>
      <c r="I245">
        <v>2</v>
      </c>
      <c r="J245">
        <v>0.2</v>
      </c>
    </row>
    <row r="246" spans="1:10">
      <c r="A246">
        <v>245</v>
      </c>
      <c r="B246" s="1">
        <v>40554</v>
      </c>
      <c r="C246">
        <v>1</v>
      </c>
      <c r="D246">
        <v>0</v>
      </c>
      <c r="E246">
        <v>1</v>
      </c>
      <c r="F246">
        <v>13</v>
      </c>
      <c r="G246" t="b">
        <v>0</v>
      </c>
      <c r="H246">
        <v>2</v>
      </c>
      <c r="I246">
        <v>2</v>
      </c>
      <c r="J246">
        <v>0.2</v>
      </c>
    </row>
    <row r="247" spans="1:10">
      <c r="A247">
        <v>246</v>
      </c>
      <c r="B247" s="1">
        <v>40554</v>
      </c>
      <c r="C247">
        <v>1</v>
      </c>
      <c r="D247">
        <v>0</v>
      </c>
      <c r="E247">
        <v>1</v>
      </c>
      <c r="F247">
        <v>14</v>
      </c>
      <c r="G247" t="b">
        <v>0</v>
      </c>
      <c r="H247">
        <v>2</v>
      </c>
      <c r="I247">
        <v>2</v>
      </c>
      <c r="J247">
        <v>0.2</v>
      </c>
    </row>
    <row r="248" spans="1:10">
      <c r="A248">
        <v>247</v>
      </c>
      <c r="B248" s="1">
        <v>40554</v>
      </c>
      <c r="C248">
        <v>1</v>
      </c>
      <c r="D248">
        <v>0</v>
      </c>
      <c r="E248">
        <v>1</v>
      </c>
      <c r="F248">
        <v>15</v>
      </c>
      <c r="G248" t="b">
        <v>0</v>
      </c>
      <c r="H248">
        <v>2</v>
      </c>
      <c r="I248">
        <v>2</v>
      </c>
      <c r="J248">
        <v>0.16</v>
      </c>
    </row>
    <row r="249" spans="1:10">
      <c r="A249">
        <v>248</v>
      </c>
      <c r="B249" s="1">
        <v>40554</v>
      </c>
      <c r="C249">
        <v>1</v>
      </c>
      <c r="D249">
        <v>0</v>
      </c>
      <c r="E249">
        <v>1</v>
      </c>
      <c r="F249">
        <v>16</v>
      </c>
      <c r="G249" t="b">
        <v>0</v>
      </c>
      <c r="H249">
        <v>2</v>
      </c>
      <c r="I249">
        <v>2</v>
      </c>
      <c r="J249">
        <v>0.16</v>
      </c>
    </row>
    <row r="250" spans="1:10">
      <c r="A250">
        <v>249</v>
      </c>
      <c r="B250" s="1">
        <v>40554</v>
      </c>
      <c r="C250">
        <v>1</v>
      </c>
      <c r="D250">
        <v>0</v>
      </c>
      <c r="E250">
        <v>1</v>
      </c>
      <c r="F250">
        <v>17</v>
      </c>
      <c r="G250" t="b">
        <v>0</v>
      </c>
      <c r="H250">
        <v>2</v>
      </c>
      <c r="I250">
        <v>2</v>
      </c>
      <c r="J250">
        <v>0.16</v>
      </c>
    </row>
    <row r="251" spans="1:10">
      <c r="A251">
        <v>250</v>
      </c>
      <c r="B251" s="1">
        <v>40554</v>
      </c>
      <c r="C251">
        <v>1</v>
      </c>
      <c r="D251">
        <v>0</v>
      </c>
      <c r="E251">
        <v>1</v>
      </c>
      <c r="F251">
        <v>18</v>
      </c>
      <c r="G251" t="b">
        <v>0</v>
      </c>
      <c r="H251">
        <v>2</v>
      </c>
      <c r="I251">
        <v>3</v>
      </c>
      <c r="J251">
        <v>0.16</v>
      </c>
    </row>
    <row r="252" spans="1:10">
      <c r="A252">
        <v>251</v>
      </c>
      <c r="B252" s="1">
        <v>40554</v>
      </c>
      <c r="C252">
        <v>1</v>
      </c>
      <c r="D252">
        <v>0</v>
      </c>
      <c r="E252">
        <v>1</v>
      </c>
      <c r="F252">
        <v>19</v>
      </c>
      <c r="G252" t="b">
        <v>0</v>
      </c>
      <c r="H252">
        <v>2</v>
      </c>
      <c r="I252">
        <v>3</v>
      </c>
      <c r="J252">
        <v>0.16</v>
      </c>
    </row>
    <row r="253" spans="1:10">
      <c r="A253">
        <v>252</v>
      </c>
      <c r="B253" s="1">
        <v>40554</v>
      </c>
      <c r="C253">
        <v>1</v>
      </c>
      <c r="D253">
        <v>0</v>
      </c>
      <c r="E253">
        <v>1</v>
      </c>
      <c r="F253">
        <v>20</v>
      </c>
      <c r="G253" t="b">
        <v>0</v>
      </c>
      <c r="H253">
        <v>2</v>
      </c>
      <c r="I253">
        <v>3</v>
      </c>
      <c r="J253">
        <v>0.16</v>
      </c>
    </row>
    <row r="254" spans="1:10">
      <c r="A254">
        <v>253</v>
      </c>
      <c r="B254" s="1">
        <v>40554</v>
      </c>
      <c r="C254">
        <v>1</v>
      </c>
      <c r="D254">
        <v>0</v>
      </c>
      <c r="E254">
        <v>1</v>
      </c>
      <c r="F254">
        <v>21</v>
      </c>
      <c r="G254" t="b">
        <v>0</v>
      </c>
      <c r="H254">
        <v>2</v>
      </c>
      <c r="I254">
        <v>3</v>
      </c>
      <c r="J254">
        <v>0.16</v>
      </c>
    </row>
    <row r="255" spans="1:10">
      <c r="A255">
        <v>254</v>
      </c>
      <c r="B255" s="1">
        <v>40554</v>
      </c>
      <c r="C255">
        <v>1</v>
      </c>
      <c r="D255">
        <v>0</v>
      </c>
      <c r="E255">
        <v>1</v>
      </c>
      <c r="F255">
        <v>22</v>
      </c>
      <c r="G255" t="b">
        <v>0</v>
      </c>
      <c r="H255">
        <v>2</v>
      </c>
      <c r="I255">
        <v>3</v>
      </c>
      <c r="J255">
        <v>0.16</v>
      </c>
    </row>
    <row r="256" spans="1:10">
      <c r="A256">
        <v>255</v>
      </c>
      <c r="B256" s="1">
        <v>40554</v>
      </c>
      <c r="C256">
        <v>1</v>
      </c>
      <c r="D256">
        <v>0</v>
      </c>
      <c r="E256">
        <v>1</v>
      </c>
      <c r="F256">
        <v>23</v>
      </c>
      <c r="G256" t="b">
        <v>0</v>
      </c>
      <c r="H256">
        <v>2</v>
      </c>
      <c r="I256">
        <v>3</v>
      </c>
      <c r="J256">
        <v>0.16</v>
      </c>
    </row>
    <row r="257" spans="1:10">
      <c r="A257">
        <v>256</v>
      </c>
      <c r="B257" s="1">
        <v>40555</v>
      </c>
      <c r="C257">
        <v>1</v>
      </c>
      <c r="D257">
        <v>0</v>
      </c>
      <c r="E257">
        <v>1</v>
      </c>
      <c r="F257">
        <v>0</v>
      </c>
      <c r="G257" t="b">
        <v>0</v>
      </c>
      <c r="H257">
        <v>3</v>
      </c>
      <c r="I257">
        <v>2</v>
      </c>
      <c r="J257">
        <v>0.16</v>
      </c>
    </row>
    <row r="258" spans="1:10">
      <c r="A258">
        <v>257</v>
      </c>
      <c r="B258" s="1">
        <v>40555</v>
      </c>
      <c r="C258">
        <v>1</v>
      </c>
      <c r="D258">
        <v>0</v>
      </c>
      <c r="E258">
        <v>1</v>
      </c>
      <c r="F258">
        <v>1</v>
      </c>
      <c r="G258" t="b">
        <v>0</v>
      </c>
      <c r="H258">
        <v>3</v>
      </c>
      <c r="I258">
        <v>2</v>
      </c>
      <c r="J258">
        <v>0.16</v>
      </c>
    </row>
    <row r="259" spans="1:10">
      <c r="A259">
        <v>258</v>
      </c>
      <c r="B259" s="1">
        <v>40555</v>
      </c>
      <c r="C259">
        <v>1</v>
      </c>
      <c r="D259">
        <v>0</v>
      </c>
      <c r="E259">
        <v>1</v>
      </c>
      <c r="F259">
        <v>2</v>
      </c>
      <c r="G259" t="b">
        <v>0</v>
      </c>
      <c r="H259">
        <v>3</v>
      </c>
      <c r="I259">
        <v>1</v>
      </c>
      <c r="J259">
        <v>0.14000000000000001</v>
      </c>
    </row>
    <row r="260" spans="1:10">
      <c r="A260">
        <v>259</v>
      </c>
      <c r="B260" s="1">
        <v>40555</v>
      </c>
      <c r="C260">
        <v>1</v>
      </c>
      <c r="D260">
        <v>0</v>
      </c>
      <c r="E260">
        <v>1</v>
      </c>
      <c r="F260">
        <v>5</v>
      </c>
      <c r="G260" t="b">
        <v>0</v>
      </c>
      <c r="H260">
        <v>3</v>
      </c>
      <c r="I260">
        <v>1</v>
      </c>
      <c r="J260">
        <v>0.14000000000000001</v>
      </c>
    </row>
    <row r="261" spans="1:10">
      <c r="A261">
        <v>260</v>
      </c>
      <c r="B261" s="1">
        <v>40555</v>
      </c>
      <c r="C261">
        <v>1</v>
      </c>
      <c r="D261">
        <v>0</v>
      </c>
      <c r="E261">
        <v>1</v>
      </c>
      <c r="F261">
        <v>6</v>
      </c>
      <c r="G261" t="b">
        <v>0</v>
      </c>
      <c r="H261">
        <v>3</v>
      </c>
      <c r="I261">
        <v>1</v>
      </c>
      <c r="J261">
        <v>0.12</v>
      </c>
    </row>
    <row r="262" spans="1:10">
      <c r="A262">
        <v>261</v>
      </c>
      <c r="B262" s="1">
        <v>40555</v>
      </c>
      <c r="C262">
        <v>1</v>
      </c>
      <c r="D262">
        <v>0</v>
      </c>
      <c r="E262">
        <v>1</v>
      </c>
      <c r="F262">
        <v>7</v>
      </c>
      <c r="G262" t="b">
        <v>0</v>
      </c>
      <c r="H262">
        <v>3</v>
      </c>
      <c r="I262">
        <v>1</v>
      </c>
      <c r="J262">
        <v>0.14000000000000001</v>
      </c>
    </row>
    <row r="263" spans="1:10">
      <c r="A263">
        <v>262</v>
      </c>
      <c r="B263" s="1">
        <v>40555</v>
      </c>
      <c r="C263">
        <v>1</v>
      </c>
      <c r="D263">
        <v>0</v>
      </c>
      <c r="E263">
        <v>1</v>
      </c>
      <c r="F263">
        <v>8</v>
      </c>
      <c r="G263" t="b">
        <v>0</v>
      </c>
      <c r="H263">
        <v>3</v>
      </c>
      <c r="I263">
        <v>1</v>
      </c>
      <c r="J263">
        <v>0.16</v>
      </c>
    </row>
    <row r="264" spans="1:10">
      <c r="A264">
        <v>263</v>
      </c>
      <c r="B264" s="1">
        <v>40555</v>
      </c>
      <c r="C264">
        <v>1</v>
      </c>
      <c r="D264">
        <v>0</v>
      </c>
      <c r="E264">
        <v>1</v>
      </c>
      <c r="F264">
        <v>9</v>
      </c>
      <c r="G264" t="b">
        <v>0</v>
      </c>
      <c r="H264">
        <v>3</v>
      </c>
      <c r="I264">
        <v>1</v>
      </c>
      <c r="J264">
        <v>0.16</v>
      </c>
    </row>
    <row r="265" spans="1:10">
      <c r="A265">
        <v>264</v>
      </c>
      <c r="B265" s="1">
        <v>40555</v>
      </c>
      <c r="C265">
        <v>1</v>
      </c>
      <c r="D265">
        <v>0</v>
      </c>
      <c r="E265">
        <v>1</v>
      </c>
      <c r="F265">
        <v>10</v>
      </c>
      <c r="G265" t="b">
        <v>0</v>
      </c>
      <c r="H265">
        <v>3</v>
      </c>
      <c r="I265">
        <v>1</v>
      </c>
      <c r="J265">
        <v>0.18</v>
      </c>
    </row>
    <row r="266" spans="1:10">
      <c r="A266">
        <v>265</v>
      </c>
      <c r="B266" s="1">
        <v>40555</v>
      </c>
      <c r="C266">
        <v>1</v>
      </c>
      <c r="D266">
        <v>0</v>
      </c>
      <c r="E266">
        <v>1</v>
      </c>
      <c r="F266">
        <v>11</v>
      </c>
      <c r="G266" t="b">
        <v>0</v>
      </c>
      <c r="H266">
        <v>3</v>
      </c>
      <c r="I266">
        <v>1</v>
      </c>
      <c r="J266">
        <v>0.2</v>
      </c>
    </row>
    <row r="267" spans="1:10">
      <c r="A267">
        <v>266</v>
      </c>
      <c r="B267" s="1">
        <v>40555</v>
      </c>
      <c r="C267">
        <v>1</v>
      </c>
      <c r="D267">
        <v>0</v>
      </c>
      <c r="E267">
        <v>1</v>
      </c>
      <c r="F267">
        <v>12</v>
      </c>
      <c r="G267" t="b">
        <v>0</v>
      </c>
      <c r="H267">
        <v>3</v>
      </c>
      <c r="I267">
        <v>1</v>
      </c>
      <c r="J267">
        <v>0.2</v>
      </c>
    </row>
    <row r="268" spans="1:10">
      <c r="A268">
        <v>267</v>
      </c>
      <c r="B268" s="1">
        <v>40555</v>
      </c>
      <c r="C268">
        <v>1</v>
      </c>
      <c r="D268">
        <v>0</v>
      </c>
      <c r="E268">
        <v>1</v>
      </c>
      <c r="F268">
        <v>13</v>
      </c>
      <c r="G268" t="b">
        <v>0</v>
      </c>
      <c r="H268">
        <v>3</v>
      </c>
      <c r="I268">
        <v>1</v>
      </c>
      <c r="J268">
        <v>0.22</v>
      </c>
    </row>
    <row r="269" spans="1:10">
      <c r="A269">
        <v>268</v>
      </c>
      <c r="B269" s="1">
        <v>40555</v>
      </c>
      <c r="C269">
        <v>1</v>
      </c>
      <c r="D269">
        <v>0</v>
      </c>
      <c r="E269">
        <v>1</v>
      </c>
      <c r="F269">
        <v>14</v>
      </c>
      <c r="G269" t="b">
        <v>0</v>
      </c>
      <c r="H269">
        <v>3</v>
      </c>
      <c r="I269">
        <v>1</v>
      </c>
      <c r="J269">
        <v>0.2</v>
      </c>
    </row>
    <row r="270" spans="1:10">
      <c r="A270">
        <v>269</v>
      </c>
      <c r="B270" s="1">
        <v>40555</v>
      </c>
      <c r="C270">
        <v>1</v>
      </c>
      <c r="D270">
        <v>0</v>
      </c>
      <c r="E270">
        <v>1</v>
      </c>
      <c r="F270">
        <v>15</v>
      </c>
      <c r="G270" t="b">
        <v>0</v>
      </c>
      <c r="H270">
        <v>3</v>
      </c>
      <c r="I270">
        <v>1</v>
      </c>
      <c r="J270">
        <v>0.2</v>
      </c>
    </row>
    <row r="271" spans="1:10">
      <c r="A271">
        <v>270</v>
      </c>
      <c r="B271" s="1">
        <v>40555</v>
      </c>
      <c r="C271">
        <v>1</v>
      </c>
      <c r="D271">
        <v>0</v>
      </c>
      <c r="E271">
        <v>1</v>
      </c>
      <c r="F271">
        <v>16</v>
      </c>
      <c r="G271" t="b">
        <v>0</v>
      </c>
      <c r="H271">
        <v>3</v>
      </c>
      <c r="I271">
        <v>1</v>
      </c>
      <c r="J271">
        <v>0.22</v>
      </c>
    </row>
    <row r="272" spans="1:10">
      <c r="A272">
        <v>271</v>
      </c>
      <c r="B272" s="1">
        <v>40555</v>
      </c>
      <c r="C272">
        <v>1</v>
      </c>
      <c r="D272">
        <v>0</v>
      </c>
      <c r="E272">
        <v>1</v>
      </c>
      <c r="F272">
        <v>17</v>
      </c>
      <c r="G272" t="b">
        <v>0</v>
      </c>
      <c r="H272">
        <v>3</v>
      </c>
      <c r="I272">
        <v>1</v>
      </c>
      <c r="J272">
        <v>0.2</v>
      </c>
    </row>
    <row r="273" spans="1:10">
      <c r="A273">
        <v>272</v>
      </c>
      <c r="B273" s="1">
        <v>40555</v>
      </c>
      <c r="C273">
        <v>1</v>
      </c>
      <c r="D273">
        <v>0</v>
      </c>
      <c r="E273">
        <v>1</v>
      </c>
      <c r="F273">
        <v>18</v>
      </c>
      <c r="G273" t="b">
        <v>0</v>
      </c>
      <c r="H273">
        <v>3</v>
      </c>
      <c r="I273">
        <v>1</v>
      </c>
      <c r="J273">
        <v>0.2</v>
      </c>
    </row>
    <row r="274" spans="1:10">
      <c r="A274">
        <v>273</v>
      </c>
      <c r="B274" s="1">
        <v>40555</v>
      </c>
      <c r="C274">
        <v>1</v>
      </c>
      <c r="D274">
        <v>0</v>
      </c>
      <c r="E274">
        <v>1</v>
      </c>
      <c r="F274">
        <v>19</v>
      </c>
      <c r="G274" t="b">
        <v>0</v>
      </c>
      <c r="H274">
        <v>3</v>
      </c>
      <c r="I274">
        <v>1</v>
      </c>
      <c r="J274">
        <v>0.18</v>
      </c>
    </row>
    <row r="275" spans="1:10">
      <c r="A275">
        <v>274</v>
      </c>
      <c r="B275" s="1">
        <v>40555</v>
      </c>
      <c r="C275">
        <v>1</v>
      </c>
      <c r="D275">
        <v>0</v>
      </c>
      <c r="E275">
        <v>1</v>
      </c>
      <c r="F275">
        <v>20</v>
      </c>
      <c r="G275" t="b">
        <v>0</v>
      </c>
      <c r="H275">
        <v>3</v>
      </c>
      <c r="I275">
        <v>1</v>
      </c>
      <c r="J275">
        <v>0.16</v>
      </c>
    </row>
    <row r="276" spans="1:10">
      <c r="A276">
        <v>275</v>
      </c>
      <c r="B276" s="1">
        <v>40555</v>
      </c>
      <c r="C276">
        <v>1</v>
      </c>
      <c r="D276">
        <v>0</v>
      </c>
      <c r="E276">
        <v>1</v>
      </c>
      <c r="F276">
        <v>21</v>
      </c>
      <c r="G276" t="b">
        <v>0</v>
      </c>
      <c r="H276">
        <v>3</v>
      </c>
      <c r="I276">
        <v>1</v>
      </c>
      <c r="J276">
        <v>0.16</v>
      </c>
    </row>
    <row r="277" spans="1:10">
      <c r="A277">
        <v>276</v>
      </c>
      <c r="B277" s="1">
        <v>40555</v>
      </c>
      <c r="C277">
        <v>1</v>
      </c>
      <c r="D277">
        <v>0</v>
      </c>
      <c r="E277">
        <v>1</v>
      </c>
      <c r="F277">
        <v>22</v>
      </c>
      <c r="G277" t="b">
        <v>0</v>
      </c>
      <c r="H277">
        <v>3</v>
      </c>
      <c r="I277">
        <v>1</v>
      </c>
      <c r="J277">
        <v>0.16</v>
      </c>
    </row>
    <row r="278" spans="1:10">
      <c r="A278">
        <v>277</v>
      </c>
      <c r="B278" s="1">
        <v>40555</v>
      </c>
      <c r="C278">
        <v>1</v>
      </c>
      <c r="D278">
        <v>0</v>
      </c>
      <c r="E278">
        <v>1</v>
      </c>
      <c r="F278">
        <v>23</v>
      </c>
      <c r="G278" t="b">
        <v>0</v>
      </c>
      <c r="H278">
        <v>3</v>
      </c>
      <c r="I278">
        <v>1</v>
      </c>
      <c r="J278">
        <v>0.14000000000000001</v>
      </c>
    </row>
    <row r="279" spans="1:10">
      <c r="A279">
        <v>278</v>
      </c>
      <c r="B279" s="1">
        <v>40556</v>
      </c>
      <c r="C279">
        <v>1</v>
      </c>
      <c r="D279">
        <v>0</v>
      </c>
      <c r="E279">
        <v>1</v>
      </c>
      <c r="F279">
        <v>0</v>
      </c>
      <c r="G279" t="b">
        <v>0</v>
      </c>
      <c r="H279">
        <v>4</v>
      </c>
      <c r="I279">
        <v>1</v>
      </c>
      <c r="J279">
        <v>0.14000000000000001</v>
      </c>
    </row>
    <row r="280" spans="1:10">
      <c r="A280">
        <v>279</v>
      </c>
      <c r="B280" s="1">
        <v>40556</v>
      </c>
      <c r="C280">
        <v>1</v>
      </c>
      <c r="D280">
        <v>0</v>
      </c>
      <c r="E280">
        <v>1</v>
      </c>
      <c r="F280">
        <v>1</v>
      </c>
      <c r="G280" t="b">
        <v>0</v>
      </c>
      <c r="H280">
        <v>4</v>
      </c>
      <c r="I280">
        <v>1</v>
      </c>
      <c r="J280">
        <v>0.14000000000000001</v>
      </c>
    </row>
    <row r="281" spans="1:10">
      <c r="A281">
        <v>280</v>
      </c>
      <c r="B281" s="1">
        <v>40556</v>
      </c>
      <c r="C281">
        <v>1</v>
      </c>
      <c r="D281">
        <v>0</v>
      </c>
      <c r="E281">
        <v>1</v>
      </c>
      <c r="F281">
        <v>2</v>
      </c>
      <c r="G281" t="b">
        <v>0</v>
      </c>
      <c r="H281">
        <v>4</v>
      </c>
      <c r="I281">
        <v>1</v>
      </c>
      <c r="J281">
        <v>0.14000000000000001</v>
      </c>
    </row>
    <row r="282" spans="1:10">
      <c r="A282">
        <v>281</v>
      </c>
      <c r="B282" s="1">
        <v>40556</v>
      </c>
      <c r="C282">
        <v>1</v>
      </c>
      <c r="D282">
        <v>0</v>
      </c>
      <c r="E282">
        <v>1</v>
      </c>
      <c r="F282">
        <v>3</v>
      </c>
      <c r="G282" t="b">
        <v>0</v>
      </c>
      <c r="H282">
        <v>4</v>
      </c>
      <c r="I282">
        <v>1</v>
      </c>
      <c r="J282">
        <v>0.14000000000000001</v>
      </c>
    </row>
    <row r="283" spans="1:10">
      <c r="A283">
        <v>282</v>
      </c>
      <c r="B283" s="1">
        <v>40556</v>
      </c>
      <c r="C283">
        <v>1</v>
      </c>
      <c r="D283">
        <v>0</v>
      </c>
      <c r="E283">
        <v>1</v>
      </c>
      <c r="F283">
        <v>4</v>
      </c>
      <c r="G283" t="b">
        <v>0</v>
      </c>
      <c r="H283">
        <v>4</v>
      </c>
      <c r="I283">
        <v>1</v>
      </c>
      <c r="J283">
        <v>0.14000000000000001</v>
      </c>
    </row>
    <row r="284" spans="1:10">
      <c r="A284">
        <v>283</v>
      </c>
      <c r="B284" s="1">
        <v>40556</v>
      </c>
      <c r="C284">
        <v>1</v>
      </c>
      <c r="D284">
        <v>0</v>
      </c>
      <c r="E284">
        <v>1</v>
      </c>
      <c r="F284">
        <v>5</v>
      </c>
      <c r="G284" t="b">
        <v>0</v>
      </c>
      <c r="H284">
        <v>4</v>
      </c>
      <c r="I284">
        <v>1</v>
      </c>
      <c r="J284">
        <v>0.14000000000000001</v>
      </c>
    </row>
    <row r="285" spans="1:10">
      <c r="A285">
        <v>284</v>
      </c>
      <c r="B285" s="1">
        <v>40556</v>
      </c>
      <c r="C285">
        <v>1</v>
      </c>
      <c r="D285">
        <v>0</v>
      </c>
      <c r="E285">
        <v>1</v>
      </c>
      <c r="F285">
        <v>6</v>
      </c>
      <c r="G285" t="b">
        <v>0</v>
      </c>
      <c r="H285">
        <v>4</v>
      </c>
      <c r="I285">
        <v>1</v>
      </c>
      <c r="J285">
        <v>0.12</v>
      </c>
    </row>
    <row r="286" spans="1:10">
      <c r="A286">
        <v>285</v>
      </c>
      <c r="B286" s="1">
        <v>40556</v>
      </c>
      <c r="C286">
        <v>1</v>
      </c>
      <c r="D286">
        <v>0</v>
      </c>
      <c r="E286">
        <v>1</v>
      </c>
      <c r="F286">
        <v>7</v>
      </c>
      <c r="G286" t="b">
        <v>0</v>
      </c>
      <c r="H286">
        <v>4</v>
      </c>
      <c r="I286">
        <v>1</v>
      </c>
      <c r="J286">
        <v>0.12</v>
      </c>
    </row>
    <row r="287" spans="1:10">
      <c r="A287">
        <v>286</v>
      </c>
      <c r="B287" s="1">
        <v>40556</v>
      </c>
      <c r="C287">
        <v>1</v>
      </c>
      <c r="D287">
        <v>0</v>
      </c>
      <c r="E287">
        <v>1</v>
      </c>
      <c r="F287">
        <v>8</v>
      </c>
      <c r="G287" t="b">
        <v>0</v>
      </c>
      <c r="H287">
        <v>4</v>
      </c>
      <c r="I287">
        <v>1</v>
      </c>
      <c r="J287">
        <v>0.14000000000000001</v>
      </c>
    </row>
    <row r="288" spans="1:10">
      <c r="A288">
        <v>287</v>
      </c>
      <c r="B288" s="1">
        <v>40556</v>
      </c>
      <c r="C288">
        <v>1</v>
      </c>
      <c r="D288">
        <v>0</v>
      </c>
      <c r="E288">
        <v>1</v>
      </c>
      <c r="F288">
        <v>9</v>
      </c>
      <c r="G288" t="b">
        <v>0</v>
      </c>
      <c r="H288">
        <v>4</v>
      </c>
      <c r="I288">
        <v>1</v>
      </c>
      <c r="J288">
        <v>0.14000000000000001</v>
      </c>
    </row>
    <row r="289" spans="1:10">
      <c r="A289">
        <v>288</v>
      </c>
      <c r="B289" s="1">
        <v>40556</v>
      </c>
      <c r="C289">
        <v>1</v>
      </c>
      <c r="D289">
        <v>0</v>
      </c>
      <c r="E289">
        <v>1</v>
      </c>
      <c r="F289">
        <v>10</v>
      </c>
      <c r="G289" t="b">
        <v>0</v>
      </c>
      <c r="H289">
        <v>4</v>
      </c>
      <c r="I289">
        <v>2</v>
      </c>
      <c r="J289">
        <v>0.16</v>
      </c>
    </row>
    <row r="290" spans="1:10">
      <c r="A290">
        <v>289</v>
      </c>
      <c r="B290" s="1">
        <v>40556</v>
      </c>
      <c r="C290">
        <v>1</v>
      </c>
      <c r="D290">
        <v>0</v>
      </c>
      <c r="E290">
        <v>1</v>
      </c>
      <c r="F290">
        <v>11</v>
      </c>
      <c r="G290" t="b">
        <v>0</v>
      </c>
      <c r="H290">
        <v>4</v>
      </c>
      <c r="I290">
        <v>2</v>
      </c>
      <c r="J290">
        <v>0.2</v>
      </c>
    </row>
    <row r="291" spans="1:10">
      <c r="A291">
        <v>290</v>
      </c>
      <c r="B291" s="1">
        <v>40556</v>
      </c>
      <c r="C291">
        <v>1</v>
      </c>
      <c r="D291">
        <v>0</v>
      </c>
      <c r="E291">
        <v>1</v>
      </c>
      <c r="F291">
        <v>12</v>
      </c>
      <c r="G291" t="b">
        <v>0</v>
      </c>
      <c r="H291">
        <v>4</v>
      </c>
      <c r="I291">
        <v>1</v>
      </c>
      <c r="J291">
        <v>0.2</v>
      </c>
    </row>
    <row r="292" spans="1:10">
      <c r="A292">
        <v>291</v>
      </c>
      <c r="B292" s="1">
        <v>40556</v>
      </c>
      <c r="C292">
        <v>1</v>
      </c>
      <c r="D292">
        <v>0</v>
      </c>
      <c r="E292">
        <v>1</v>
      </c>
      <c r="F292">
        <v>13</v>
      </c>
      <c r="G292" t="b">
        <v>0</v>
      </c>
      <c r="H292">
        <v>4</v>
      </c>
      <c r="I292">
        <v>1</v>
      </c>
      <c r="J292">
        <v>0.22</v>
      </c>
    </row>
    <row r="293" spans="1:10">
      <c r="A293">
        <v>292</v>
      </c>
      <c r="B293" s="1">
        <v>40556</v>
      </c>
      <c r="C293">
        <v>1</v>
      </c>
      <c r="D293">
        <v>0</v>
      </c>
      <c r="E293">
        <v>1</v>
      </c>
      <c r="F293">
        <v>14</v>
      </c>
      <c r="G293" t="b">
        <v>0</v>
      </c>
      <c r="H293">
        <v>4</v>
      </c>
      <c r="I293">
        <v>1</v>
      </c>
      <c r="J293">
        <v>0.22</v>
      </c>
    </row>
    <row r="294" spans="1:10">
      <c r="A294">
        <v>293</v>
      </c>
      <c r="B294" s="1">
        <v>40556</v>
      </c>
      <c r="C294">
        <v>1</v>
      </c>
      <c r="D294">
        <v>0</v>
      </c>
      <c r="E294">
        <v>1</v>
      </c>
      <c r="F294">
        <v>15</v>
      </c>
      <c r="G294" t="b">
        <v>0</v>
      </c>
      <c r="H294">
        <v>4</v>
      </c>
      <c r="I294">
        <v>1</v>
      </c>
      <c r="J294">
        <v>0.24</v>
      </c>
    </row>
    <row r="295" spans="1:10">
      <c r="A295">
        <v>294</v>
      </c>
      <c r="B295" s="1">
        <v>40556</v>
      </c>
      <c r="C295">
        <v>1</v>
      </c>
      <c r="D295">
        <v>0</v>
      </c>
      <c r="E295">
        <v>1</v>
      </c>
      <c r="F295">
        <v>16</v>
      </c>
      <c r="G295" t="b">
        <v>0</v>
      </c>
      <c r="H295">
        <v>4</v>
      </c>
      <c r="I295">
        <v>1</v>
      </c>
      <c r="J295">
        <v>0.24</v>
      </c>
    </row>
    <row r="296" spans="1:10">
      <c r="A296">
        <v>295</v>
      </c>
      <c r="B296" s="1">
        <v>40556</v>
      </c>
      <c r="C296">
        <v>1</v>
      </c>
      <c r="D296">
        <v>0</v>
      </c>
      <c r="E296">
        <v>1</v>
      </c>
      <c r="F296">
        <v>17</v>
      </c>
      <c r="G296" t="b">
        <v>0</v>
      </c>
      <c r="H296">
        <v>4</v>
      </c>
      <c r="I296">
        <v>1</v>
      </c>
      <c r="J296">
        <v>0.2</v>
      </c>
    </row>
    <row r="297" spans="1:10">
      <c r="A297">
        <v>296</v>
      </c>
      <c r="B297" s="1">
        <v>40556</v>
      </c>
      <c r="C297">
        <v>1</v>
      </c>
      <c r="D297">
        <v>0</v>
      </c>
      <c r="E297">
        <v>1</v>
      </c>
      <c r="F297">
        <v>18</v>
      </c>
      <c r="G297" t="b">
        <v>0</v>
      </c>
      <c r="H297">
        <v>4</v>
      </c>
      <c r="I297">
        <v>1</v>
      </c>
      <c r="J297">
        <v>0.2</v>
      </c>
    </row>
    <row r="298" spans="1:10">
      <c r="A298">
        <v>297</v>
      </c>
      <c r="B298" s="1">
        <v>40556</v>
      </c>
      <c r="C298">
        <v>1</v>
      </c>
      <c r="D298">
        <v>0</v>
      </c>
      <c r="E298">
        <v>1</v>
      </c>
      <c r="F298">
        <v>19</v>
      </c>
      <c r="G298" t="b">
        <v>0</v>
      </c>
      <c r="H298">
        <v>4</v>
      </c>
      <c r="I298">
        <v>1</v>
      </c>
      <c r="J298">
        <v>0.16</v>
      </c>
    </row>
    <row r="299" spans="1:10">
      <c r="A299">
        <v>298</v>
      </c>
      <c r="B299" s="1">
        <v>40556</v>
      </c>
      <c r="C299">
        <v>1</v>
      </c>
      <c r="D299">
        <v>0</v>
      </c>
      <c r="E299">
        <v>1</v>
      </c>
      <c r="F299">
        <v>20</v>
      </c>
      <c r="G299" t="b">
        <v>0</v>
      </c>
      <c r="H299">
        <v>4</v>
      </c>
      <c r="I299">
        <v>1</v>
      </c>
      <c r="J299">
        <v>0.16</v>
      </c>
    </row>
    <row r="300" spans="1:10">
      <c r="A300">
        <v>299</v>
      </c>
      <c r="B300" s="1">
        <v>40556</v>
      </c>
      <c r="C300">
        <v>1</v>
      </c>
      <c r="D300">
        <v>0</v>
      </c>
      <c r="E300">
        <v>1</v>
      </c>
      <c r="F300">
        <v>21</v>
      </c>
      <c r="G300" t="b">
        <v>0</v>
      </c>
      <c r="H300">
        <v>4</v>
      </c>
      <c r="I300">
        <v>1</v>
      </c>
      <c r="J300">
        <v>0.14000000000000001</v>
      </c>
    </row>
    <row r="301" spans="1:10">
      <c r="A301">
        <v>300</v>
      </c>
      <c r="B301" s="1">
        <v>40556</v>
      </c>
      <c r="C301">
        <v>1</v>
      </c>
      <c r="D301">
        <v>0</v>
      </c>
      <c r="E301">
        <v>1</v>
      </c>
      <c r="F301">
        <v>22</v>
      </c>
      <c r="G301" t="b">
        <v>0</v>
      </c>
      <c r="H301">
        <v>4</v>
      </c>
      <c r="I301">
        <v>1</v>
      </c>
      <c r="J301">
        <v>0.14000000000000001</v>
      </c>
    </row>
    <row r="302" spans="1:10">
      <c r="A302">
        <v>301</v>
      </c>
      <c r="B302" s="1">
        <v>40556</v>
      </c>
      <c r="C302">
        <v>1</v>
      </c>
      <c r="D302">
        <v>0</v>
      </c>
      <c r="E302">
        <v>1</v>
      </c>
      <c r="F302">
        <v>23</v>
      </c>
      <c r="G302" t="b">
        <v>0</v>
      </c>
      <c r="H302">
        <v>4</v>
      </c>
      <c r="I302">
        <v>1</v>
      </c>
      <c r="J302">
        <v>0.12</v>
      </c>
    </row>
    <row r="303" spans="1:10">
      <c r="A303">
        <v>302</v>
      </c>
      <c r="B303" s="1">
        <v>40557</v>
      </c>
      <c r="C303">
        <v>1</v>
      </c>
      <c r="D303">
        <v>0</v>
      </c>
      <c r="E303">
        <v>1</v>
      </c>
      <c r="F303">
        <v>0</v>
      </c>
      <c r="G303" t="b">
        <v>0</v>
      </c>
      <c r="H303">
        <v>5</v>
      </c>
      <c r="I303">
        <v>1</v>
      </c>
      <c r="J303">
        <v>0.12</v>
      </c>
    </row>
    <row r="304" spans="1:10">
      <c r="A304">
        <v>303</v>
      </c>
      <c r="B304" s="1">
        <v>40557</v>
      </c>
      <c r="C304">
        <v>1</v>
      </c>
      <c r="D304">
        <v>0</v>
      </c>
      <c r="E304">
        <v>1</v>
      </c>
      <c r="F304">
        <v>1</v>
      </c>
      <c r="G304" t="b">
        <v>0</v>
      </c>
      <c r="H304">
        <v>5</v>
      </c>
      <c r="I304">
        <v>1</v>
      </c>
      <c r="J304">
        <v>0.1</v>
      </c>
    </row>
    <row r="305" spans="1:10">
      <c r="A305">
        <v>304</v>
      </c>
      <c r="B305" s="1">
        <v>40557</v>
      </c>
      <c r="C305">
        <v>1</v>
      </c>
      <c r="D305">
        <v>0</v>
      </c>
      <c r="E305">
        <v>1</v>
      </c>
      <c r="F305">
        <v>2</v>
      </c>
      <c r="G305" t="b">
        <v>0</v>
      </c>
      <c r="H305">
        <v>5</v>
      </c>
      <c r="I305">
        <v>1</v>
      </c>
      <c r="J305">
        <v>0.1</v>
      </c>
    </row>
    <row r="306" spans="1:10">
      <c r="A306">
        <v>305</v>
      </c>
      <c r="B306" s="1">
        <v>40557</v>
      </c>
      <c r="C306">
        <v>1</v>
      </c>
      <c r="D306">
        <v>0</v>
      </c>
      <c r="E306">
        <v>1</v>
      </c>
      <c r="F306">
        <v>3</v>
      </c>
      <c r="G306" t="b">
        <v>0</v>
      </c>
      <c r="H306">
        <v>5</v>
      </c>
      <c r="I306">
        <v>1</v>
      </c>
      <c r="J306">
        <v>0.1</v>
      </c>
    </row>
    <row r="307" spans="1:10">
      <c r="A307">
        <v>306</v>
      </c>
      <c r="B307" s="1">
        <v>40557</v>
      </c>
      <c r="C307">
        <v>1</v>
      </c>
      <c r="D307">
        <v>0</v>
      </c>
      <c r="E307">
        <v>1</v>
      </c>
      <c r="F307">
        <v>5</v>
      </c>
      <c r="G307" t="b">
        <v>0</v>
      </c>
      <c r="H307">
        <v>5</v>
      </c>
      <c r="I307">
        <v>1</v>
      </c>
      <c r="J307">
        <v>0.1</v>
      </c>
    </row>
    <row r="308" spans="1:10">
      <c r="A308">
        <v>307</v>
      </c>
      <c r="B308" s="1">
        <v>40557</v>
      </c>
      <c r="C308">
        <v>1</v>
      </c>
      <c r="D308">
        <v>0</v>
      </c>
      <c r="E308">
        <v>1</v>
      </c>
      <c r="F308">
        <v>6</v>
      </c>
      <c r="G308" t="b">
        <v>0</v>
      </c>
      <c r="H308">
        <v>5</v>
      </c>
      <c r="I308">
        <v>1</v>
      </c>
      <c r="J308">
        <v>0.1</v>
      </c>
    </row>
    <row r="309" spans="1:10">
      <c r="A309">
        <v>308</v>
      </c>
      <c r="B309" s="1">
        <v>40557</v>
      </c>
      <c r="C309">
        <v>1</v>
      </c>
      <c r="D309">
        <v>0</v>
      </c>
      <c r="E309">
        <v>1</v>
      </c>
      <c r="F309">
        <v>7</v>
      </c>
      <c r="G309" t="b">
        <v>0</v>
      </c>
      <c r="H309">
        <v>5</v>
      </c>
      <c r="I309">
        <v>1</v>
      </c>
      <c r="J309">
        <v>0.1</v>
      </c>
    </row>
    <row r="310" spans="1:10">
      <c r="A310">
        <v>309</v>
      </c>
      <c r="B310" s="1">
        <v>40557</v>
      </c>
      <c r="C310">
        <v>1</v>
      </c>
      <c r="D310">
        <v>0</v>
      </c>
      <c r="E310">
        <v>1</v>
      </c>
      <c r="F310">
        <v>8</v>
      </c>
      <c r="G310" t="b">
        <v>0</v>
      </c>
      <c r="H310">
        <v>5</v>
      </c>
      <c r="I310">
        <v>1</v>
      </c>
      <c r="J310">
        <v>0.12</v>
      </c>
    </row>
    <row r="311" spans="1:10">
      <c r="A311">
        <v>310</v>
      </c>
      <c r="B311" s="1">
        <v>40557</v>
      </c>
      <c r="C311">
        <v>1</v>
      </c>
      <c r="D311">
        <v>0</v>
      </c>
      <c r="E311">
        <v>1</v>
      </c>
      <c r="F311">
        <v>9</v>
      </c>
      <c r="G311" t="b">
        <v>0</v>
      </c>
      <c r="H311">
        <v>5</v>
      </c>
      <c r="I311">
        <v>1</v>
      </c>
      <c r="J311">
        <v>0.14000000000000001</v>
      </c>
    </row>
    <row r="312" spans="1:10">
      <c r="A312">
        <v>311</v>
      </c>
      <c r="B312" s="1">
        <v>40557</v>
      </c>
      <c r="C312">
        <v>1</v>
      </c>
      <c r="D312">
        <v>0</v>
      </c>
      <c r="E312">
        <v>1</v>
      </c>
      <c r="F312">
        <v>10</v>
      </c>
      <c r="G312" t="b">
        <v>0</v>
      </c>
      <c r="H312">
        <v>5</v>
      </c>
      <c r="I312">
        <v>1</v>
      </c>
      <c r="J312">
        <v>0.18</v>
      </c>
    </row>
    <row r="313" spans="1:10">
      <c r="A313">
        <v>312</v>
      </c>
      <c r="B313" s="1">
        <v>40557</v>
      </c>
      <c r="C313">
        <v>1</v>
      </c>
      <c r="D313">
        <v>0</v>
      </c>
      <c r="E313">
        <v>1</v>
      </c>
      <c r="F313">
        <v>11</v>
      </c>
      <c r="G313" t="b">
        <v>0</v>
      </c>
      <c r="H313">
        <v>5</v>
      </c>
      <c r="I313">
        <v>1</v>
      </c>
      <c r="J313">
        <v>0.18</v>
      </c>
    </row>
    <row r="314" spans="1:10">
      <c r="A314">
        <v>313</v>
      </c>
      <c r="B314" s="1">
        <v>40557</v>
      </c>
      <c r="C314">
        <v>1</v>
      </c>
      <c r="D314">
        <v>0</v>
      </c>
      <c r="E314">
        <v>1</v>
      </c>
      <c r="F314">
        <v>12</v>
      </c>
      <c r="G314" t="b">
        <v>0</v>
      </c>
      <c r="H314">
        <v>5</v>
      </c>
      <c r="I314">
        <v>1</v>
      </c>
      <c r="J314">
        <v>0.2</v>
      </c>
    </row>
    <row r="315" spans="1:10">
      <c r="A315">
        <v>314</v>
      </c>
      <c r="B315" s="1">
        <v>40557</v>
      </c>
      <c r="C315">
        <v>1</v>
      </c>
      <c r="D315">
        <v>0</v>
      </c>
      <c r="E315">
        <v>1</v>
      </c>
      <c r="F315">
        <v>13</v>
      </c>
      <c r="G315" t="b">
        <v>0</v>
      </c>
      <c r="H315">
        <v>5</v>
      </c>
      <c r="I315">
        <v>1</v>
      </c>
      <c r="J315">
        <v>0.22</v>
      </c>
    </row>
    <row r="316" spans="1:10">
      <c r="A316">
        <v>315</v>
      </c>
      <c r="B316" s="1">
        <v>40557</v>
      </c>
      <c r="C316">
        <v>1</v>
      </c>
      <c r="D316">
        <v>0</v>
      </c>
      <c r="E316">
        <v>1</v>
      </c>
      <c r="F316">
        <v>14</v>
      </c>
      <c r="G316" t="b">
        <v>0</v>
      </c>
      <c r="H316">
        <v>5</v>
      </c>
      <c r="I316">
        <v>1</v>
      </c>
      <c r="J316">
        <v>0.22</v>
      </c>
    </row>
    <row r="317" spans="1:10">
      <c r="A317">
        <v>316</v>
      </c>
      <c r="B317" s="1">
        <v>40557</v>
      </c>
      <c r="C317">
        <v>1</v>
      </c>
      <c r="D317">
        <v>0</v>
      </c>
      <c r="E317">
        <v>1</v>
      </c>
      <c r="F317">
        <v>15</v>
      </c>
      <c r="G317" t="b">
        <v>0</v>
      </c>
      <c r="H317">
        <v>5</v>
      </c>
      <c r="I317">
        <v>1</v>
      </c>
      <c r="J317">
        <v>0.24</v>
      </c>
    </row>
    <row r="318" spans="1:10">
      <c r="A318">
        <v>317</v>
      </c>
      <c r="B318" s="1">
        <v>40557</v>
      </c>
      <c r="C318">
        <v>1</v>
      </c>
      <c r="D318">
        <v>0</v>
      </c>
      <c r="E318">
        <v>1</v>
      </c>
      <c r="F318">
        <v>16</v>
      </c>
      <c r="G318" t="b">
        <v>0</v>
      </c>
      <c r="H318">
        <v>5</v>
      </c>
      <c r="I318">
        <v>1</v>
      </c>
      <c r="J318">
        <v>0.22</v>
      </c>
    </row>
    <row r="319" spans="1:10">
      <c r="A319">
        <v>318</v>
      </c>
      <c r="B319" s="1">
        <v>40557</v>
      </c>
      <c r="C319">
        <v>1</v>
      </c>
      <c r="D319">
        <v>0</v>
      </c>
      <c r="E319">
        <v>1</v>
      </c>
      <c r="F319">
        <v>17</v>
      </c>
      <c r="G319" t="b">
        <v>0</v>
      </c>
      <c r="H319">
        <v>5</v>
      </c>
      <c r="I319">
        <v>1</v>
      </c>
      <c r="J319">
        <v>0.22</v>
      </c>
    </row>
    <row r="320" spans="1:10">
      <c r="A320">
        <v>319</v>
      </c>
      <c r="B320" s="1">
        <v>40557</v>
      </c>
      <c r="C320">
        <v>1</v>
      </c>
      <c r="D320">
        <v>0</v>
      </c>
      <c r="E320">
        <v>1</v>
      </c>
      <c r="F320">
        <v>18</v>
      </c>
      <c r="G320" t="b">
        <v>0</v>
      </c>
      <c r="H320">
        <v>5</v>
      </c>
      <c r="I320">
        <v>1</v>
      </c>
      <c r="J320">
        <v>0.2</v>
      </c>
    </row>
    <row r="321" spans="1:10">
      <c r="A321">
        <v>320</v>
      </c>
      <c r="B321" s="1">
        <v>40557</v>
      </c>
      <c r="C321">
        <v>1</v>
      </c>
      <c r="D321">
        <v>0</v>
      </c>
      <c r="E321">
        <v>1</v>
      </c>
      <c r="F321">
        <v>19</v>
      </c>
      <c r="G321" t="b">
        <v>0</v>
      </c>
      <c r="H321">
        <v>5</v>
      </c>
      <c r="I321">
        <v>1</v>
      </c>
      <c r="J321">
        <v>0.16</v>
      </c>
    </row>
    <row r="322" spans="1:10">
      <c r="A322">
        <v>321</v>
      </c>
      <c r="B322" s="1">
        <v>40557</v>
      </c>
      <c r="C322">
        <v>1</v>
      </c>
      <c r="D322">
        <v>0</v>
      </c>
      <c r="E322">
        <v>1</v>
      </c>
      <c r="F322">
        <v>20</v>
      </c>
      <c r="G322" t="b">
        <v>0</v>
      </c>
      <c r="H322">
        <v>5</v>
      </c>
      <c r="I322">
        <v>1</v>
      </c>
      <c r="J322">
        <v>0.18</v>
      </c>
    </row>
    <row r="323" spans="1:10">
      <c r="A323">
        <v>322</v>
      </c>
      <c r="B323" s="1">
        <v>40557</v>
      </c>
      <c r="C323">
        <v>1</v>
      </c>
      <c r="D323">
        <v>0</v>
      </c>
      <c r="E323">
        <v>1</v>
      </c>
      <c r="F323">
        <v>21</v>
      </c>
      <c r="G323" t="b">
        <v>0</v>
      </c>
      <c r="H323">
        <v>5</v>
      </c>
      <c r="I323">
        <v>1</v>
      </c>
      <c r="J323">
        <v>0.16</v>
      </c>
    </row>
    <row r="324" spans="1:10">
      <c r="A324">
        <v>323</v>
      </c>
      <c r="B324" s="1">
        <v>40557</v>
      </c>
      <c r="C324">
        <v>1</v>
      </c>
      <c r="D324">
        <v>0</v>
      </c>
      <c r="E324">
        <v>1</v>
      </c>
      <c r="F324">
        <v>22</v>
      </c>
      <c r="G324" t="b">
        <v>0</v>
      </c>
      <c r="H324">
        <v>5</v>
      </c>
      <c r="I324">
        <v>2</v>
      </c>
      <c r="J324">
        <v>0.16</v>
      </c>
    </row>
    <row r="325" spans="1:10">
      <c r="A325">
        <v>324</v>
      </c>
      <c r="B325" s="1">
        <v>40557</v>
      </c>
      <c r="C325">
        <v>1</v>
      </c>
      <c r="D325">
        <v>0</v>
      </c>
      <c r="E325">
        <v>1</v>
      </c>
      <c r="F325">
        <v>23</v>
      </c>
      <c r="G325" t="b">
        <v>0</v>
      </c>
      <c r="H325">
        <v>5</v>
      </c>
      <c r="I325">
        <v>2</v>
      </c>
      <c r="J325">
        <v>0.18</v>
      </c>
    </row>
    <row r="326" spans="1:10">
      <c r="A326">
        <v>325</v>
      </c>
      <c r="B326" s="1">
        <v>40558</v>
      </c>
      <c r="C326">
        <v>1</v>
      </c>
      <c r="D326">
        <v>0</v>
      </c>
      <c r="E326">
        <v>1</v>
      </c>
      <c r="F326">
        <v>0</v>
      </c>
      <c r="G326" t="b">
        <v>0</v>
      </c>
      <c r="H326">
        <v>6</v>
      </c>
      <c r="I326">
        <v>1</v>
      </c>
      <c r="J326">
        <v>0.18</v>
      </c>
    </row>
    <row r="327" spans="1:10">
      <c r="A327">
        <v>326</v>
      </c>
      <c r="B327" s="1">
        <v>40558</v>
      </c>
      <c r="C327">
        <v>1</v>
      </c>
      <c r="D327">
        <v>0</v>
      </c>
      <c r="E327">
        <v>1</v>
      </c>
      <c r="F327">
        <v>1</v>
      </c>
      <c r="G327" t="b">
        <v>0</v>
      </c>
      <c r="H327">
        <v>6</v>
      </c>
      <c r="I327">
        <v>2</v>
      </c>
      <c r="J327">
        <v>0.16</v>
      </c>
    </row>
    <row r="328" spans="1:10">
      <c r="A328">
        <v>327</v>
      </c>
      <c r="B328" s="1">
        <v>40558</v>
      </c>
      <c r="C328">
        <v>1</v>
      </c>
      <c r="D328">
        <v>0</v>
      </c>
      <c r="E328">
        <v>1</v>
      </c>
      <c r="F328">
        <v>2</v>
      </c>
      <c r="G328" t="b">
        <v>0</v>
      </c>
      <c r="H328">
        <v>6</v>
      </c>
      <c r="I328">
        <v>2</v>
      </c>
      <c r="J328">
        <v>0.16</v>
      </c>
    </row>
    <row r="329" spans="1:10">
      <c r="A329">
        <v>328</v>
      </c>
      <c r="B329" s="1">
        <v>40558</v>
      </c>
      <c r="C329">
        <v>1</v>
      </c>
      <c r="D329">
        <v>0</v>
      </c>
      <c r="E329">
        <v>1</v>
      </c>
      <c r="F329">
        <v>3</v>
      </c>
      <c r="G329" t="b">
        <v>0</v>
      </c>
      <c r="H329">
        <v>6</v>
      </c>
      <c r="I329">
        <v>2</v>
      </c>
      <c r="J329">
        <v>0.16</v>
      </c>
    </row>
    <row r="330" spans="1:10">
      <c r="A330">
        <v>329</v>
      </c>
      <c r="B330" s="1">
        <v>40558</v>
      </c>
      <c r="C330">
        <v>1</v>
      </c>
      <c r="D330">
        <v>0</v>
      </c>
      <c r="E330">
        <v>1</v>
      </c>
      <c r="F330">
        <v>4</v>
      </c>
      <c r="G330" t="b">
        <v>0</v>
      </c>
      <c r="H330">
        <v>6</v>
      </c>
      <c r="I330">
        <v>2</v>
      </c>
      <c r="J330">
        <v>0.16</v>
      </c>
    </row>
    <row r="331" spans="1:10">
      <c r="A331">
        <v>330</v>
      </c>
      <c r="B331" s="1">
        <v>40558</v>
      </c>
      <c r="C331">
        <v>1</v>
      </c>
      <c r="D331">
        <v>0</v>
      </c>
      <c r="E331">
        <v>1</v>
      </c>
      <c r="F331">
        <v>5</v>
      </c>
      <c r="G331" t="b">
        <v>0</v>
      </c>
      <c r="H331">
        <v>6</v>
      </c>
      <c r="I331">
        <v>1</v>
      </c>
      <c r="J331">
        <v>0.16</v>
      </c>
    </row>
    <row r="332" spans="1:10">
      <c r="A332">
        <v>331</v>
      </c>
      <c r="B332" s="1">
        <v>40558</v>
      </c>
      <c r="C332">
        <v>1</v>
      </c>
      <c r="D332">
        <v>0</v>
      </c>
      <c r="E332">
        <v>1</v>
      </c>
      <c r="F332">
        <v>6</v>
      </c>
      <c r="G332" t="b">
        <v>0</v>
      </c>
      <c r="H332">
        <v>6</v>
      </c>
      <c r="I332">
        <v>1</v>
      </c>
      <c r="J332">
        <v>0.14000000000000001</v>
      </c>
    </row>
    <row r="333" spans="1:10">
      <c r="A333">
        <v>332</v>
      </c>
      <c r="B333" s="1">
        <v>40558</v>
      </c>
      <c r="C333">
        <v>1</v>
      </c>
      <c r="D333">
        <v>0</v>
      </c>
      <c r="E333">
        <v>1</v>
      </c>
      <c r="F333">
        <v>7</v>
      </c>
      <c r="G333" t="b">
        <v>0</v>
      </c>
      <c r="H333">
        <v>6</v>
      </c>
      <c r="I333">
        <v>1</v>
      </c>
      <c r="J333">
        <v>0.14000000000000001</v>
      </c>
    </row>
    <row r="334" spans="1:10">
      <c r="A334">
        <v>333</v>
      </c>
      <c r="B334" s="1">
        <v>40558</v>
      </c>
      <c r="C334">
        <v>1</v>
      </c>
      <c r="D334">
        <v>0</v>
      </c>
      <c r="E334">
        <v>1</v>
      </c>
      <c r="F334">
        <v>8</v>
      </c>
      <c r="G334" t="b">
        <v>0</v>
      </c>
      <c r="H334">
        <v>6</v>
      </c>
      <c r="I334">
        <v>1</v>
      </c>
      <c r="J334">
        <v>0.14000000000000001</v>
      </c>
    </row>
    <row r="335" spans="1:10">
      <c r="A335">
        <v>334</v>
      </c>
      <c r="B335" s="1">
        <v>40558</v>
      </c>
      <c r="C335">
        <v>1</v>
      </c>
      <c r="D335">
        <v>0</v>
      </c>
      <c r="E335">
        <v>1</v>
      </c>
      <c r="F335">
        <v>9</v>
      </c>
      <c r="G335" t="b">
        <v>0</v>
      </c>
      <c r="H335">
        <v>6</v>
      </c>
      <c r="I335">
        <v>1</v>
      </c>
      <c r="J335">
        <v>0.16</v>
      </c>
    </row>
    <row r="336" spans="1:10">
      <c r="A336">
        <v>335</v>
      </c>
      <c r="B336" s="1">
        <v>40558</v>
      </c>
      <c r="C336">
        <v>1</v>
      </c>
      <c r="D336">
        <v>0</v>
      </c>
      <c r="E336">
        <v>1</v>
      </c>
      <c r="F336">
        <v>10</v>
      </c>
      <c r="G336" t="b">
        <v>0</v>
      </c>
      <c r="H336">
        <v>6</v>
      </c>
      <c r="I336">
        <v>1</v>
      </c>
      <c r="J336">
        <v>0.18</v>
      </c>
    </row>
    <row r="337" spans="1:10">
      <c r="A337">
        <v>336</v>
      </c>
      <c r="B337" s="1">
        <v>40558</v>
      </c>
      <c r="C337">
        <v>1</v>
      </c>
      <c r="D337">
        <v>0</v>
      </c>
      <c r="E337">
        <v>1</v>
      </c>
      <c r="F337">
        <v>11</v>
      </c>
      <c r="G337" t="b">
        <v>0</v>
      </c>
      <c r="H337">
        <v>6</v>
      </c>
      <c r="I337">
        <v>1</v>
      </c>
      <c r="J337">
        <v>0.2</v>
      </c>
    </row>
    <row r="338" spans="1:10">
      <c r="A338">
        <v>337</v>
      </c>
      <c r="B338" s="1">
        <v>40558</v>
      </c>
      <c r="C338">
        <v>1</v>
      </c>
      <c r="D338">
        <v>0</v>
      </c>
      <c r="E338">
        <v>1</v>
      </c>
      <c r="F338">
        <v>12</v>
      </c>
      <c r="G338" t="b">
        <v>0</v>
      </c>
      <c r="H338">
        <v>6</v>
      </c>
      <c r="I338">
        <v>1</v>
      </c>
      <c r="J338">
        <v>0.24</v>
      </c>
    </row>
    <row r="339" spans="1:10">
      <c r="A339">
        <v>338</v>
      </c>
      <c r="B339" s="1">
        <v>40558</v>
      </c>
      <c r="C339">
        <v>1</v>
      </c>
      <c r="D339">
        <v>0</v>
      </c>
      <c r="E339">
        <v>1</v>
      </c>
      <c r="F339">
        <v>13</v>
      </c>
      <c r="G339" t="b">
        <v>0</v>
      </c>
      <c r="H339">
        <v>6</v>
      </c>
      <c r="I339">
        <v>1</v>
      </c>
      <c r="J339">
        <v>0.28000000000000003</v>
      </c>
    </row>
    <row r="340" spans="1:10">
      <c r="A340">
        <v>339</v>
      </c>
      <c r="B340" s="1">
        <v>40558</v>
      </c>
      <c r="C340">
        <v>1</v>
      </c>
      <c r="D340">
        <v>0</v>
      </c>
      <c r="E340">
        <v>1</v>
      </c>
      <c r="F340">
        <v>14</v>
      </c>
      <c r="G340" t="b">
        <v>0</v>
      </c>
      <c r="H340">
        <v>6</v>
      </c>
      <c r="I340">
        <v>1</v>
      </c>
      <c r="J340">
        <v>0.3</v>
      </c>
    </row>
    <row r="341" spans="1:10">
      <c r="A341">
        <v>340</v>
      </c>
      <c r="B341" s="1">
        <v>40558</v>
      </c>
      <c r="C341">
        <v>1</v>
      </c>
      <c r="D341">
        <v>0</v>
      </c>
      <c r="E341">
        <v>1</v>
      </c>
      <c r="F341">
        <v>15</v>
      </c>
      <c r="G341" t="b">
        <v>0</v>
      </c>
      <c r="H341">
        <v>6</v>
      </c>
      <c r="I341">
        <v>2</v>
      </c>
      <c r="J341">
        <v>0.32</v>
      </c>
    </row>
    <row r="342" spans="1:10">
      <c r="A342">
        <v>341</v>
      </c>
      <c r="B342" s="1">
        <v>40558</v>
      </c>
      <c r="C342">
        <v>1</v>
      </c>
      <c r="D342">
        <v>0</v>
      </c>
      <c r="E342">
        <v>1</v>
      </c>
      <c r="F342">
        <v>16</v>
      </c>
      <c r="G342" t="b">
        <v>0</v>
      </c>
      <c r="H342">
        <v>6</v>
      </c>
      <c r="I342">
        <v>2</v>
      </c>
      <c r="J342">
        <v>0.34</v>
      </c>
    </row>
    <row r="343" spans="1:10">
      <c r="A343">
        <v>342</v>
      </c>
      <c r="B343" s="1">
        <v>40558</v>
      </c>
      <c r="C343">
        <v>1</v>
      </c>
      <c r="D343">
        <v>0</v>
      </c>
      <c r="E343">
        <v>1</v>
      </c>
      <c r="F343">
        <v>17</v>
      </c>
      <c r="G343" t="b">
        <v>0</v>
      </c>
      <c r="H343">
        <v>6</v>
      </c>
      <c r="I343">
        <v>2</v>
      </c>
      <c r="J343">
        <v>0.32</v>
      </c>
    </row>
    <row r="344" spans="1:10">
      <c r="A344">
        <v>343</v>
      </c>
      <c r="B344" s="1">
        <v>40558</v>
      </c>
      <c r="C344">
        <v>1</v>
      </c>
      <c r="D344">
        <v>0</v>
      </c>
      <c r="E344">
        <v>1</v>
      </c>
      <c r="F344">
        <v>18</v>
      </c>
      <c r="G344" t="b">
        <v>0</v>
      </c>
      <c r="H344">
        <v>6</v>
      </c>
      <c r="I344">
        <v>2</v>
      </c>
      <c r="J344">
        <v>0.3</v>
      </c>
    </row>
    <row r="345" spans="1:10">
      <c r="A345">
        <v>344</v>
      </c>
      <c r="B345" s="1">
        <v>40558</v>
      </c>
      <c r="C345">
        <v>1</v>
      </c>
      <c r="D345">
        <v>0</v>
      </c>
      <c r="E345">
        <v>1</v>
      </c>
      <c r="F345">
        <v>19</v>
      </c>
      <c r="G345" t="b">
        <v>0</v>
      </c>
      <c r="H345">
        <v>6</v>
      </c>
      <c r="I345">
        <v>2</v>
      </c>
      <c r="J345">
        <v>0.32</v>
      </c>
    </row>
    <row r="346" spans="1:10">
      <c r="A346">
        <v>345</v>
      </c>
      <c r="B346" s="1">
        <v>40558</v>
      </c>
      <c r="C346">
        <v>1</v>
      </c>
      <c r="D346">
        <v>0</v>
      </c>
      <c r="E346">
        <v>1</v>
      </c>
      <c r="F346">
        <v>20</v>
      </c>
      <c r="G346" t="b">
        <v>0</v>
      </c>
      <c r="H346">
        <v>6</v>
      </c>
      <c r="I346">
        <v>2</v>
      </c>
      <c r="J346">
        <v>0.32</v>
      </c>
    </row>
    <row r="347" spans="1:10">
      <c r="A347">
        <v>346</v>
      </c>
      <c r="B347" s="1">
        <v>40558</v>
      </c>
      <c r="C347">
        <v>1</v>
      </c>
      <c r="D347">
        <v>0</v>
      </c>
      <c r="E347">
        <v>1</v>
      </c>
      <c r="F347">
        <v>21</v>
      </c>
      <c r="G347" t="b">
        <v>0</v>
      </c>
      <c r="H347">
        <v>6</v>
      </c>
      <c r="I347">
        <v>2</v>
      </c>
      <c r="J347">
        <v>0.32</v>
      </c>
    </row>
    <row r="348" spans="1:10">
      <c r="A348">
        <v>347</v>
      </c>
      <c r="B348" s="1">
        <v>40558</v>
      </c>
      <c r="C348">
        <v>1</v>
      </c>
      <c r="D348">
        <v>0</v>
      </c>
      <c r="E348">
        <v>1</v>
      </c>
      <c r="F348">
        <v>22</v>
      </c>
      <c r="G348" t="b">
        <v>0</v>
      </c>
      <c r="H348">
        <v>6</v>
      </c>
      <c r="I348">
        <v>2</v>
      </c>
      <c r="J348">
        <v>0.3</v>
      </c>
    </row>
    <row r="349" spans="1:10">
      <c r="A349">
        <v>348</v>
      </c>
      <c r="B349" s="1">
        <v>40558</v>
      </c>
      <c r="C349">
        <v>1</v>
      </c>
      <c r="D349">
        <v>0</v>
      </c>
      <c r="E349">
        <v>1</v>
      </c>
      <c r="F349">
        <v>23</v>
      </c>
      <c r="G349" t="b">
        <v>0</v>
      </c>
      <c r="H349">
        <v>6</v>
      </c>
      <c r="I349">
        <v>1</v>
      </c>
      <c r="J349">
        <v>0.3</v>
      </c>
    </row>
    <row r="350" spans="1:10">
      <c r="A350">
        <v>349</v>
      </c>
      <c r="B350" s="1">
        <v>40559</v>
      </c>
      <c r="C350">
        <v>1</v>
      </c>
      <c r="D350">
        <v>0</v>
      </c>
      <c r="E350">
        <v>1</v>
      </c>
      <c r="F350">
        <v>0</v>
      </c>
      <c r="G350" t="b">
        <v>0</v>
      </c>
      <c r="H350">
        <v>0</v>
      </c>
      <c r="I350">
        <v>1</v>
      </c>
      <c r="J350">
        <v>0.26</v>
      </c>
    </row>
    <row r="351" spans="1:10">
      <c r="A351">
        <v>350</v>
      </c>
      <c r="B351" s="1">
        <v>40559</v>
      </c>
      <c r="C351">
        <v>1</v>
      </c>
      <c r="D351">
        <v>0</v>
      </c>
      <c r="E351">
        <v>1</v>
      </c>
      <c r="F351">
        <v>1</v>
      </c>
      <c r="G351" t="b">
        <v>0</v>
      </c>
      <c r="H351">
        <v>0</v>
      </c>
      <c r="I351">
        <v>1</v>
      </c>
      <c r="J351">
        <v>0.26</v>
      </c>
    </row>
    <row r="352" spans="1:10">
      <c r="A352">
        <v>351</v>
      </c>
      <c r="B352" s="1">
        <v>40559</v>
      </c>
      <c r="C352">
        <v>1</v>
      </c>
      <c r="D352">
        <v>0</v>
      </c>
      <c r="E352">
        <v>1</v>
      </c>
      <c r="F352">
        <v>2</v>
      </c>
      <c r="G352" t="b">
        <v>0</v>
      </c>
      <c r="H352">
        <v>0</v>
      </c>
      <c r="I352">
        <v>1</v>
      </c>
      <c r="J352">
        <v>0.26</v>
      </c>
    </row>
    <row r="353" spans="1:10">
      <c r="A353">
        <v>352</v>
      </c>
      <c r="B353" s="1">
        <v>40559</v>
      </c>
      <c r="C353">
        <v>1</v>
      </c>
      <c r="D353">
        <v>0</v>
      </c>
      <c r="E353">
        <v>1</v>
      </c>
      <c r="F353">
        <v>3</v>
      </c>
      <c r="G353" t="b">
        <v>0</v>
      </c>
      <c r="H353">
        <v>0</v>
      </c>
      <c r="I353">
        <v>1</v>
      </c>
      <c r="J353">
        <v>0.22</v>
      </c>
    </row>
    <row r="354" spans="1:10">
      <c r="A354">
        <v>353</v>
      </c>
      <c r="B354" s="1">
        <v>40559</v>
      </c>
      <c r="C354">
        <v>1</v>
      </c>
      <c r="D354">
        <v>0</v>
      </c>
      <c r="E354">
        <v>1</v>
      </c>
      <c r="F354">
        <v>4</v>
      </c>
      <c r="G354" t="b">
        <v>0</v>
      </c>
      <c r="H354">
        <v>0</v>
      </c>
      <c r="I354">
        <v>1</v>
      </c>
      <c r="J354">
        <v>0.26</v>
      </c>
    </row>
    <row r="355" spans="1:10">
      <c r="A355">
        <v>354</v>
      </c>
      <c r="B355" s="1">
        <v>40559</v>
      </c>
      <c r="C355">
        <v>1</v>
      </c>
      <c r="D355">
        <v>0</v>
      </c>
      <c r="E355">
        <v>1</v>
      </c>
      <c r="F355">
        <v>5</v>
      </c>
      <c r="G355" t="b">
        <v>0</v>
      </c>
      <c r="H355">
        <v>0</v>
      </c>
      <c r="I355">
        <v>2</v>
      </c>
      <c r="J355">
        <v>0.26</v>
      </c>
    </row>
    <row r="356" spans="1:10">
      <c r="A356">
        <v>355</v>
      </c>
      <c r="B356" s="1">
        <v>40559</v>
      </c>
      <c r="C356">
        <v>1</v>
      </c>
      <c r="D356">
        <v>0</v>
      </c>
      <c r="E356">
        <v>1</v>
      </c>
      <c r="F356">
        <v>6</v>
      </c>
      <c r="G356" t="b">
        <v>0</v>
      </c>
      <c r="H356">
        <v>0</v>
      </c>
      <c r="I356">
        <v>2</v>
      </c>
      <c r="J356">
        <v>0.26</v>
      </c>
    </row>
    <row r="357" spans="1:10">
      <c r="A357">
        <v>356</v>
      </c>
      <c r="B357" s="1">
        <v>40559</v>
      </c>
      <c r="C357">
        <v>1</v>
      </c>
      <c r="D357">
        <v>0</v>
      </c>
      <c r="E357">
        <v>1</v>
      </c>
      <c r="F357">
        <v>7</v>
      </c>
      <c r="G357" t="b">
        <v>0</v>
      </c>
      <c r="H357">
        <v>0</v>
      </c>
      <c r="I357">
        <v>2</v>
      </c>
      <c r="J357">
        <v>0.24</v>
      </c>
    </row>
    <row r="358" spans="1:10">
      <c r="A358">
        <v>357</v>
      </c>
      <c r="B358" s="1">
        <v>40559</v>
      </c>
      <c r="C358">
        <v>1</v>
      </c>
      <c r="D358">
        <v>0</v>
      </c>
      <c r="E358">
        <v>1</v>
      </c>
      <c r="F358">
        <v>8</v>
      </c>
      <c r="G358" t="b">
        <v>0</v>
      </c>
      <c r="H358">
        <v>0</v>
      </c>
      <c r="I358">
        <v>1</v>
      </c>
      <c r="J358">
        <v>0.22</v>
      </c>
    </row>
    <row r="359" spans="1:10">
      <c r="A359">
        <v>358</v>
      </c>
      <c r="B359" s="1">
        <v>40559</v>
      </c>
      <c r="C359">
        <v>1</v>
      </c>
      <c r="D359">
        <v>0</v>
      </c>
      <c r="E359">
        <v>1</v>
      </c>
      <c r="F359">
        <v>9</v>
      </c>
      <c r="G359" t="b">
        <v>0</v>
      </c>
      <c r="H359">
        <v>0</v>
      </c>
      <c r="I359">
        <v>1</v>
      </c>
      <c r="J359">
        <v>0.22</v>
      </c>
    </row>
    <row r="360" spans="1:10">
      <c r="A360">
        <v>359</v>
      </c>
      <c r="B360" s="1">
        <v>40559</v>
      </c>
      <c r="C360">
        <v>1</v>
      </c>
      <c r="D360">
        <v>0</v>
      </c>
      <c r="E360">
        <v>1</v>
      </c>
      <c r="F360">
        <v>10</v>
      </c>
      <c r="G360" t="b">
        <v>0</v>
      </c>
      <c r="H360">
        <v>0</v>
      </c>
      <c r="I360">
        <v>1</v>
      </c>
      <c r="J360">
        <v>0.22</v>
      </c>
    </row>
    <row r="361" spans="1:10">
      <c r="A361">
        <v>360</v>
      </c>
      <c r="B361" s="1">
        <v>40559</v>
      </c>
      <c r="C361">
        <v>1</v>
      </c>
      <c r="D361">
        <v>0</v>
      </c>
      <c r="E361">
        <v>1</v>
      </c>
      <c r="F361">
        <v>11</v>
      </c>
      <c r="G361" t="b">
        <v>0</v>
      </c>
      <c r="H361">
        <v>0</v>
      </c>
      <c r="I361">
        <v>1</v>
      </c>
      <c r="J361">
        <v>0.24</v>
      </c>
    </row>
    <row r="362" spans="1:10">
      <c r="A362">
        <v>361</v>
      </c>
      <c r="B362" s="1">
        <v>40559</v>
      </c>
      <c r="C362">
        <v>1</v>
      </c>
      <c r="D362">
        <v>0</v>
      </c>
      <c r="E362">
        <v>1</v>
      </c>
      <c r="F362">
        <v>12</v>
      </c>
      <c r="G362" t="b">
        <v>0</v>
      </c>
      <c r="H362">
        <v>0</v>
      </c>
      <c r="I362">
        <v>1</v>
      </c>
      <c r="J362">
        <v>0.24</v>
      </c>
    </row>
    <row r="363" spans="1:10">
      <c r="A363">
        <v>362</v>
      </c>
      <c r="B363" s="1">
        <v>40559</v>
      </c>
      <c r="C363">
        <v>1</v>
      </c>
      <c r="D363">
        <v>0</v>
      </c>
      <c r="E363">
        <v>1</v>
      </c>
      <c r="F363">
        <v>13</v>
      </c>
      <c r="G363" t="b">
        <v>0</v>
      </c>
      <c r="H363">
        <v>0</v>
      </c>
      <c r="I363">
        <v>1</v>
      </c>
      <c r="J363">
        <v>0.26</v>
      </c>
    </row>
    <row r="364" spans="1:10">
      <c r="A364">
        <v>363</v>
      </c>
      <c r="B364" s="1">
        <v>40559</v>
      </c>
      <c r="C364">
        <v>1</v>
      </c>
      <c r="D364">
        <v>0</v>
      </c>
      <c r="E364">
        <v>1</v>
      </c>
      <c r="F364">
        <v>14</v>
      </c>
      <c r="G364" t="b">
        <v>0</v>
      </c>
      <c r="H364">
        <v>0</v>
      </c>
      <c r="I364">
        <v>1</v>
      </c>
      <c r="J364">
        <v>0.28000000000000003</v>
      </c>
    </row>
    <row r="365" spans="1:10">
      <c r="A365">
        <v>364</v>
      </c>
      <c r="B365" s="1">
        <v>40559</v>
      </c>
      <c r="C365">
        <v>1</v>
      </c>
      <c r="D365">
        <v>0</v>
      </c>
      <c r="E365">
        <v>1</v>
      </c>
      <c r="F365">
        <v>15</v>
      </c>
      <c r="G365" t="b">
        <v>0</v>
      </c>
      <c r="H365">
        <v>0</v>
      </c>
      <c r="I365">
        <v>1</v>
      </c>
      <c r="J365">
        <v>0.26</v>
      </c>
    </row>
    <row r="366" spans="1:10">
      <c r="A366">
        <v>365</v>
      </c>
      <c r="B366" s="1">
        <v>40559</v>
      </c>
      <c r="C366">
        <v>1</v>
      </c>
      <c r="D366">
        <v>0</v>
      </c>
      <c r="E366">
        <v>1</v>
      </c>
      <c r="F366">
        <v>16</v>
      </c>
      <c r="G366" t="b">
        <v>0</v>
      </c>
      <c r="H366">
        <v>0</v>
      </c>
      <c r="I366">
        <v>1</v>
      </c>
      <c r="J366">
        <v>0.24</v>
      </c>
    </row>
    <row r="367" spans="1:10">
      <c r="A367">
        <v>366</v>
      </c>
      <c r="B367" s="1">
        <v>40559</v>
      </c>
      <c r="C367">
        <v>1</v>
      </c>
      <c r="D367">
        <v>0</v>
      </c>
      <c r="E367">
        <v>1</v>
      </c>
      <c r="F367">
        <v>17</v>
      </c>
      <c r="G367" t="b">
        <v>0</v>
      </c>
      <c r="H367">
        <v>0</v>
      </c>
      <c r="I367">
        <v>1</v>
      </c>
      <c r="J367">
        <v>0.22</v>
      </c>
    </row>
    <row r="368" spans="1:10">
      <c r="A368">
        <v>367</v>
      </c>
      <c r="B368" s="1">
        <v>40559</v>
      </c>
      <c r="C368">
        <v>1</v>
      </c>
      <c r="D368">
        <v>0</v>
      </c>
      <c r="E368">
        <v>1</v>
      </c>
      <c r="F368">
        <v>18</v>
      </c>
      <c r="G368" t="b">
        <v>0</v>
      </c>
      <c r="H368">
        <v>0</v>
      </c>
      <c r="I368">
        <v>1</v>
      </c>
      <c r="J368">
        <v>0.2</v>
      </c>
    </row>
    <row r="369" spans="1:10">
      <c r="A369">
        <v>368</v>
      </c>
      <c r="B369" s="1">
        <v>40559</v>
      </c>
      <c r="C369">
        <v>1</v>
      </c>
      <c r="D369">
        <v>0</v>
      </c>
      <c r="E369">
        <v>1</v>
      </c>
      <c r="F369">
        <v>19</v>
      </c>
      <c r="G369" t="b">
        <v>0</v>
      </c>
      <c r="H369">
        <v>0</v>
      </c>
      <c r="I369">
        <v>1</v>
      </c>
      <c r="J369">
        <v>0.18</v>
      </c>
    </row>
    <row r="370" spans="1:10">
      <c r="A370">
        <v>369</v>
      </c>
      <c r="B370" s="1">
        <v>40559</v>
      </c>
      <c r="C370">
        <v>1</v>
      </c>
      <c r="D370">
        <v>0</v>
      </c>
      <c r="E370">
        <v>1</v>
      </c>
      <c r="F370">
        <v>20</v>
      </c>
      <c r="G370" t="b">
        <v>0</v>
      </c>
      <c r="H370">
        <v>0</v>
      </c>
      <c r="I370">
        <v>1</v>
      </c>
      <c r="J370">
        <v>0.18</v>
      </c>
    </row>
    <row r="371" spans="1:10">
      <c r="A371">
        <v>370</v>
      </c>
      <c r="B371" s="1">
        <v>40559</v>
      </c>
      <c r="C371">
        <v>1</v>
      </c>
      <c r="D371">
        <v>0</v>
      </c>
      <c r="E371">
        <v>1</v>
      </c>
      <c r="F371">
        <v>21</v>
      </c>
      <c r="G371" t="b">
        <v>0</v>
      </c>
      <c r="H371">
        <v>0</v>
      </c>
      <c r="I371">
        <v>1</v>
      </c>
      <c r="J371">
        <v>0.18</v>
      </c>
    </row>
    <row r="372" spans="1:10">
      <c r="A372">
        <v>371</v>
      </c>
      <c r="B372" s="1">
        <v>40559</v>
      </c>
      <c r="C372">
        <v>1</v>
      </c>
      <c r="D372">
        <v>0</v>
      </c>
      <c r="E372">
        <v>1</v>
      </c>
      <c r="F372">
        <v>22</v>
      </c>
      <c r="G372" t="b">
        <v>0</v>
      </c>
      <c r="H372">
        <v>0</v>
      </c>
      <c r="I372">
        <v>2</v>
      </c>
      <c r="J372">
        <v>0.2</v>
      </c>
    </row>
    <row r="373" spans="1:10">
      <c r="A373">
        <v>372</v>
      </c>
      <c r="B373" s="1">
        <v>40559</v>
      </c>
      <c r="C373">
        <v>1</v>
      </c>
      <c r="D373">
        <v>0</v>
      </c>
      <c r="E373">
        <v>1</v>
      </c>
      <c r="F373">
        <v>23</v>
      </c>
      <c r="G373" t="b">
        <v>0</v>
      </c>
      <c r="H373">
        <v>0</v>
      </c>
      <c r="I373">
        <v>2</v>
      </c>
      <c r="J373">
        <v>0.2</v>
      </c>
    </row>
    <row r="374" spans="1:10">
      <c r="A374">
        <v>373</v>
      </c>
      <c r="B374" s="1">
        <v>40560</v>
      </c>
      <c r="C374">
        <v>1</v>
      </c>
      <c r="D374">
        <v>0</v>
      </c>
      <c r="E374">
        <v>1</v>
      </c>
      <c r="F374">
        <v>0</v>
      </c>
      <c r="G374" t="b">
        <v>1</v>
      </c>
      <c r="H374">
        <v>1</v>
      </c>
      <c r="I374">
        <v>2</v>
      </c>
      <c r="J374">
        <v>0.2</v>
      </c>
    </row>
    <row r="375" spans="1:10">
      <c r="A375">
        <v>374</v>
      </c>
      <c r="B375" s="1">
        <v>40560</v>
      </c>
      <c r="C375">
        <v>1</v>
      </c>
      <c r="D375">
        <v>0</v>
      </c>
      <c r="E375">
        <v>1</v>
      </c>
      <c r="F375">
        <v>1</v>
      </c>
      <c r="G375" t="b">
        <v>1</v>
      </c>
      <c r="H375">
        <v>1</v>
      </c>
      <c r="I375">
        <v>2</v>
      </c>
      <c r="J375">
        <v>0.2</v>
      </c>
    </row>
    <row r="376" spans="1:10">
      <c r="A376">
        <v>375</v>
      </c>
      <c r="B376" s="1">
        <v>40560</v>
      </c>
      <c r="C376">
        <v>1</v>
      </c>
      <c r="D376">
        <v>0</v>
      </c>
      <c r="E376">
        <v>1</v>
      </c>
      <c r="F376">
        <v>2</v>
      </c>
      <c r="G376" t="b">
        <v>1</v>
      </c>
      <c r="H376">
        <v>1</v>
      </c>
      <c r="I376">
        <v>2</v>
      </c>
      <c r="J376">
        <v>0.18</v>
      </c>
    </row>
    <row r="377" spans="1:10">
      <c r="A377">
        <v>376</v>
      </c>
      <c r="B377" s="1">
        <v>40560</v>
      </c>
      <c r="C377">
        <v>1</v>
      </c>
      <c r="D377">
        <v>0</v>
      </c>
      <c r="E377">
        <v>1</v>
      </c>
      <c r="F377">
        <v>3</v>
      </c>
      <c r="G377" t="b">
        <v>1</v>
      </c>
      <c r="H377">
        <v>1</v>
      </c>
      <c r="I377">
        <v>2</v>
      </c>
      <c r="J377">
        <v>0.18</v>
      </c>
    </row>
    <row r="378" spans="1:10">
      <c r="A378">
        <v>377</v>
      </c>
      <c r="B378" s="1">
        <v>40560</v>
      </c>
      <c r="C378">
        <v>1</v>
      </c>
      <c r="D378">
        <v>0</v>
      </c>
      <c r="E378">
        <v>1</v>
      </c>
      <c r="F378">
        <v>4</v>
      </c>
      <c r="G378" t="b">
        <v>1</v>
      </c>
      <c r="H378">
        <v>1</v>
      </c>
      <c r="I378">
        <v>2</v>
      </c>
      <c r="J378">
        <v>0.18</v>
      </c>
    </row>
    <row r="379" spans="1:10">
      <c r="A379">
        <v>378</v>
      </c>
      <c r="B379" s="1">
        <v>40560</v>
      </c>
      <c r="C379">
        <v>1</v>
      </c>
      <c r="D379">
        <v>0</v>
      </c>
      <c r="E379">
        <v>1</v>
      </c>
      <c r="F379">
        <v>5</v>
      </c>
      <c r="G379" t="b">
        <v>1</v>
      </c>
      <c r="H379">
        <v>1</v>
      </c>
      <c r="I379">
        <v>2</v>
      </c>
      <c r="J379">
        <v>0.18</v>
      </c>
    </row>
    <row r="380" spans="1:10">
      <c r="A380">
        <v>379</v>
      </c>
      <c r="B380" s="1">
        <v>40560</v>
      </c>
      <c r="C380">
        <v>1</v>
      </c>
      <c r="D380">
        <v>0</v>
      </c>
      <c r="E380">
        <v>1</v>
      </c>
      <c r="F380">
        <v>6</v>
      </c>
      <c r="G380" t="b">
        <v>1</v>
      </c>
      <c r="H380">
        <v>1</v>
      </c>
      <c r="I380">
        <v>2</v>
      </c>
      <c r="J380">
        <v>0.18</v>
      </c>
    </row>
    <row r="381" spans="1:10">
      <c r="A381">
        <v>380</v>
      </c>
      <c r="B381" s="1">
        <v>40560</v>
      </c>
      <c r="C381">
        <v>1</v>
      </c>
      <c r="D381">
        <v>0</v>
      </c>
      <c r="E381">
        <v>1</v>
      </c>
      <c r="F381">
        <v>7</v>
      </c>
      <c r="G381" t="b">
        <v>1</v>
      </c>
      <c r="H381">
        <v>1</v>
      </c>
      <c r="I381">
        <v>2</v>
      </c>
      <c r="J381">
        <v>0.16</v>
      </c>
    </row>
    <row r="382" spans="1:10">
      <c r="A382">
        <v>381</v>
      </c>
      <c r="B382" s="1">
        <v>40560</v>
      </c>
      <c r="C382">
        <v>1</v>
      </c>
      <c r="D382">
        <v>0</v>
      </c>
      <c r="E382">
        <v>1</v>
      </c>
      <c r="F382">
        <v>8</v>
      </c>
      <c r="G382" t="b">
        <v>1</v>
      </c>
      <c r="H382">
        <v>1</v>
      </c>
      <c r="I382">
        <v>2</v>
      </c>
      <c r="J382">
        <v>0.16</v>
      </c>
    </row>
    <row r="383" spans="1:10">
      <c r="A383">
        <v>382</v>
      </c>
      <c r="B383" s="1">
        <v>40560</v>
      </c>
      <c r="C383">
        <v>1</v>
      </c>
      <c r="D383">
        <v>0</v>
      </c>
      <c r="E383">
        <v>1</v>
      </c>
      <c r="F383">
        <v>9</v>
      </c>
      <c r="G383" t="b">
        <v>1</v>
      </c>
      <c r="H383">
        <v>1</v>
      </c>
      <c r="I383">
        <v>2</v>
      </c>
      <c r="J383">
        <v>0.16</v>
      </c>
    </row>
    <row r="384" spans="1:10">
      <c r="A384">
        <v>383</v>
      </c>
      <c r="B384" s="1">
        <v>40560</v>
      </c>
      <c r="C384">
        <v>1</v>
      </c>
      <c r="D384">
        <v>0</v>
      </c>
      <c r="E384">
        <v>1</v>
      </c>
      <c r="F384">
        <v>10</v>
      </c>
      <c r="G384" t="b">
        <v>1</v>
      </c>
      <c r="H384">
        <v>1</v>
      </c>
      <c r="I384">
        <v>2</v>
      </c>
      <c r="J384">
        <v>0.16</v>
      </c>
    </row>
    <row r="385" spans="1:10">
      <c r="A385">
        <v>384</v>
      </c>
      <c r="B385" s="1">
        <v>40560</v>
      </c>
      <c r="C385">
        <v>1</v>
      </c>
      <c r="D385">
        <v>0</v>
      </c>
      <c r="E385">
        <v>1</v>
      </c>
      <c r="F385">
        <v>11</v>
      </c>
      <c r="G385" t="b">
        <v>1</v>
      </c>
      <c r="H385">
        <v>1</v>
      </c>
      <c r="I385">
        <v>2</v>
      </c>
      <c r="J385">
        <v>0.16</v>
      </c>
    </row>
    <row r="386" spans="1:10">
      <c r="A386">
        <v>385</v>
      </c>
      <c r="B386" s="1">
        <v>40560</v>
      </c>
      <c r="C386">
        <v>1</v>
      </c>
      <c r="D386">
        <v>0</v>
      </c>
      <c r="E386">
        <v>1</v>
      </c>
      <c r="F386">
        <v>12</v>
      </c>
      <c r="G386" t="b">
        <v>1</v>
      </c>
      <c r="H386">
        <v>1</v>
      </c>
      <c r="I386">
        <v>2</v>
      </c>
      <c r="J386">
        <v>0.18</v>
      </c>
    </row>
    <row r="387" spans="1:10">
      <c r="A387">
        <v>386</v>
      </c>
      <c r="B387" s="1">
        <v>40560</v>
      </c>
      <c r="C387">
        <v>1</v>
      </c>
      <c r="D387">
        <v>0</v>
      </c>
      <c r="E387">
        <v>1</v>
      </c>
      <c r="F387">
        <v>13</v>
      </c>
      <c r="G387" t="b">
        <v>1</v>
      </c>
      <c r="H387">
        <v>1</v>
      </c>
      <c r="I387">
        <v>2</v>
      </c>
      <c r="J387">
        <v>0.18</v>
      </c>
    </row>
    <row r="388" spans="1:10">
      <c r="A388">
        <v>387</v>
      </c>
      <c r="B388" s="1">
        <v>40560</v>
      </c>
      <c r="C388">
        <v>1</v>
      </c>
      <c r="D388">
        <v>0</v>
      </c>
      <c r="E388">
        <v>1</v>
      </c>
      <c r="F388">
        <v>14</v>
      </c>
      <c r="G388" t="b">
        <v>1</v>
      </c>
      <c r="H388">
        <v>1</v>
      </c>
      <c r="I388">
        <v>2</v>
      </c>
      <c r="J388">
        <v>0.18</v>
      </c>
    </row>
    <row r="389" spans="1:10">
      <c r="A389">
        <v>388</v>
      </c>
      <c r="B389" s="1">
        <v>40560</v>
      </c>
      <c r="C389">
        <v>1</v>
      </c>
      <c r="D389">
        <v>0</v>
      </c>
      <c r="E389">
        <v>1</v>
      </c>
      <c r="F389">
        <v>15</v>
      </c>
      <c r="G389" t="b">
        <v>1</v>
      </c>
      <c r="H389">
        <v>1</v>
      </c>
      <c r="I389">
        <v>2</v>
      </c>
      <c r="J389">
        <v>0.2</v>
      </c>
    </row>
    <row r="390" spans="1:10">
      <c r="A390">
        <v>389</v>
      </c>
      <c r="B390" s="1">
        <v>40560</v>
      </c>
      <c r="C390">
        <v>1</v>
      </c>
      <c r="D390">
        <v>0</v>
      </c>
      <c r="E390">
        <v>1</v>
      </c>
      <c r="F390">
        <v>16</v>
      </c>
      <c r="G390" t="b">
        <v>1</v>
      </c>
      <c r="H390">
        <v>1</v>
      </c>
      <c r="I390">
        <v>2</v>
      </c>
      <c r="J390">
        <v>0.2</v>
      </c>
    </row>
    <row r="391" spans="1:10">
      <c r="A391">
        <v>390</v>
      </c>
      <c r="B391" s="1">
        <v>40560</v>
      </c>
      <c r="C391">
        <v>1</v>
      </c>
      <c r="D391">
        <v>0</v>
      </c>
      <c r="E391">
        <v>1</v>
      </c>
      <c r="F391">
        <v>17</v>
      </c>
      <c r="G391" t="b">
        <v>1</v>
      </c>
      <c r="H391">
        <v>1</v>
      </c>
      <c r="I391">
        <v>1</v>
      </c>
      <c r="J391">
        <v>0.2</v>
      </c>
    </row>
    <row r="392" spans="1:10">
      <c r="A392">
        <v>391</v>
      </c>
      <c r="B392" s="1">
        <v>40560</v>
      </c>
      <c r="C392">
        <v>1</v>
      </c>
      <c r="D392">
        <v>0</v>
      </c>
      <c r="E392">
        <v>1</v>
      </c>
      <c r="F392">
        <v>18</v>
      </c>
      <c r="G392" t="b">
        <v>1</v>
      </c>
      <c r="H392">
        <v>1</v>
      </c>
      <c r="I392">
        <v>2</v>
      </c>
      <c r="J392">
        <v>0.18</v>
      </c>
    </row>
    <row r="393" spans="1:10">
      <c r="A393">
        <v>392</v>
      </c>
      <c r="B393" s="1">
        <v>40560</v>
      </c>
      <c r="C393">
        <v>1</v>
      </c>
      <c r="D393">
        <v>0</v>
      </c>
      <c r="E393">
        <v>1</v>
      </c>
      <c r="F393">
        <v>19</v>
      </c>
      <c r="G393" t="b">
        <v>1</v>
      </c>
      <c r="H393">
        <v>1</v>
      </c>
      <c r="I393">
        <v>3</v>
      </c>
      <c r="J393">
        <v>0.18</v>
      </c>
    </row>
    <row r="394" spans="1:10">
      <c r="A394">
        <v>393</v>
      </c>
      <c r="B394" s="1">
        <v>40560</v>
      </c>
      <c r="C394">
        <v>1</v>
      </c>
      <c r="D394">
        <v>0</v>
      </c>
      <c r="E394">
        <v>1</v>
      </c>
      <c r="F394">
        <v>20</v>
      </c>
      <c r="G394" t="b">
        <v>1</v>
      </c>
      <c r="H394">
        <v>1</v>
      </c>
      <c r="I394">
        <v>3</v>
      </c>
      <c r="J394">
        <v>0.16</v>
      </c>
    </row>
    <row r="395" spans="1:10">
      <c r="A395">
        <v>394</v>
      </c>
      <c r="B395" s="1">
        <v>40560</v>
      </c>
      <c r="C395">
        <v>1</v>
      </c>
      <c r="D395">
        <v>0</v>
      </c>
      <c r="E395">
        <v>1</v>
      </c>
      <c r="F395">
        <v>21</v>
      </c>
      <c r="G395" t="b">
        <v>1</v>
      </c>
      <c r="H395">
        <v>1</v>
      </c>
      <c r="I395">
        <v>3</v>
      </c>
      <c r="J395">
        <v>0.16</v>
      </c>
    </row>
    <row r="396" spans="1:10">
      <c r="A396">
        <v>395</v>
      </c>
      <c r="B396" s="1">
        <v>40560</v>
      </c>
      <c r="C396">
        <v>1</v>
      </c>
      <c r="D396">
        <v>0</v>
      </c>
      <c r="E396">
        <v>1</v>
      </c>
      <c r="F396">
        <v>22</v>
      </c>
      <c r="G396" t="b">
        <v>1</v>
      </c>
      <c r="H396">
        <v>1</v>
      </c>
      <c r="I396">
        <v>3</v>
      </c>
      <c r="J396">
        <v>0.14000000000000001</v>
      </c>
    </row>
    <row r="397" spans="1:10">
      <c r="A397">
        <v>396</v>
      </c>
      <c r="B397" s="1">
        <v>40560</v>
      </c>
      <c r="C397">
        <v>1</v>
      </c>
      <c r="D397">
        <v>0</v>
      </c>
      <c r="E397">
        <v>1</v>
      </c>
      <c r="F397">
        <v>23</v>
      </c>
      <c r="G397" t="b">
        <v>1</v>
      </c>
      <c r="H397">
        <v>1</v>
      </c>
      <c r="I397">
        <v>3</v>
      </c>
      <c r="J397">
        <v>0.16</v>
      </c>
    </row>
    <row r="398" spans="1:10">
      <c r="A398">
        <v>397</v>
      </c>
      <c r="B398" s="1">
        <v>40561</v>
      </c>
      <c r="C398">
        <v>1</v>
      </c>
      <c r="D398">
        <v>0</v>
      </c>
      <c r="E398">
        <v>1</v>
      </c>
      <c r="F398">
        <v>12</v>
      </c>
      <c r="G398" t="b">
        <v>0</v>
      </c>
      <c r="H398">
        <v>2</v>
      </c>
      <c r="I398">
        <v>2</v>
      </c>
      <c r="J398">
        <v>0.2</v>
      </c>
    </row>
    <row r="399" spans="1:10">
      <c r="A399">
        <v>398</v>
      </c>
      <c r="B399" s="1">
        <v>40561</v>
      </c>
      <c r="C399">
        <v>1</v>
      </c>
      <c r="D399">
        <v>0</v>
      </c>
      <c r="E399">
        <v>1</v>
      </c>
      <c r="F399">
        <v>13</v>
      </c>
      <c r="G399" t="b">
        <v>0</v>
      </c>
      <c r="H399">
        <v>2</v>
      </c>
      <c r="I399">
        <v>2</v>
      </c>
      <c r="J399">
        <v>0.2</v>
      </c>
    </row>
    <row r="400" spans="1:10">
      <c r="A400">
        <v>399</v>
      </c>
      <c r="B400" s="1">
        <v>40561</v>
      </c>
      <c r="C400">
        <v>1</v>
      </c>
      <c r="D400">
        <v>0</v>
      </c>
      <c r="E400">
        <v>1</v>
      </c>
      <c r="F400">
        <v>14</v>
      </c>
      <c r="G400" t="b">
        <v>0</v>
      </c>
      <c r="H400">
        <v>2</v>
      </c>
      <c r="I400">
        <v>2</v>
      </c>
      <c r="J400">
        <v>0.22</v>
      </c>
    </row>
    <row r="401" spans="1:10">
      <c r="A401">
        <v>400</v>
      </c>
      <c r="B401" s="1">
        <v>40561</v>
      </c>
      <c r="C401">
        <v>1</v>
      </c>
      <c r="D401">
        <v>0</v>
      </c>
      <c r="E401">
        <v>1</v>
      </c>
      <c r="F401">
        <v>15</v>
      </c>
      <c r="G401" t="b">
        <v>0</v>
      </c>
      <c r="H401">
        <v>2</v>
      </c>
      <c r="I401">
        <v>2</v>
      </c>
      <c r="J401">
        <v>0.22</v>
      </c>
    </row>
    <row r="402" spans="1:10">
      <c r="A402">
        <v>401</v>
      </c>
      <c r="B402" s="1">
        <v>40561</v>
      </c>
      <c r="C402">
        <v>1</v>
      </c>
      <c r="D402">
        <v>0</v>
      </c>
      <c r="E402">
        <v>1</v>
      </c>
      <c r="F402">
        <v>16</v>
      </c>
      <c r="G402" t="b">
        <v>0</v>
      </c>
      <c r="H402">
        <v>2</v>
      </c>
      <c r="I402">
        <v>2</v>
      </c>
      <c r="J402">
        <v>0.22</v>
      </c>
    </row>
    <row r="403" spans="1:10">
      <c r="A403">
        <v>402</v>
      </c>
      <c r="B403" s="1">
        <v>40561</v>
      </c>
      <c r="C403">
        <v>1</v>
      </c>
      <c r="D403">
        <v>0</v>
      </c>
      <c r="E403">
        <v>1</v>
      </c>
      <c r="F403">
        <v>17</v>
      </c>
      <c r="G403" t="b">
        <v>0</v>
      </c>
      <c r="H403">
        <v>2</v>
      </c>
      <c r="I403">
        <v>2</v>
      </c>
      <c r="J403">
        <v>0.22</v>
      </c>
    </row>
    <row r="404" spans="1:10">
      <c r="A404">
        <v>403</v>
      </c>
      <c r="B404" s="1">
        <v>40561</v>
      </c>
      <c r="C404">
        <v>1</v>
      </c>
      <c r="D404">
        <v>0</v>
      </c>
      <c r="E404">
        <v>1</v>
      </c>
      <c r="F404">
        <v>18</v>
      </c>
      <c r="G404" t="b">
        <v>0</v>
      </c>
      <c r="H404">
        <v>2</v>
      </c>
      <c r="I404">
        <v>2</v>
      </c>
      <c r="J404">
        <v>0.22</v>
      </c>
    </row>
    <row r="405" spans="1:10">
      <c r="A405">
        <v>404</v>
      </c>
      <c r="B405" s="1">
        <v>40561</v>
      </c>
      <c r="C405">
        <v>1</v>
      </c>
      <c r="D405">
        <v>0</v>
      </c>
      <c r="E405">
        <v>1</v>
      </c>
      <c r="F405">
        <v>19</v>
      </c>
      <c r="G405" t="b">
        <v>0</v>
      </c>
      <c r="H405">
        <v>2</v>
      </c>
      <c r="I405">
        <v>2</v>
      </c>
      <c r="J405">
        <v>0.22</v>
      </c>
    </row>
    <row r="406" spans="1:10">
      <c r="A406">
        <v>405</v>
      </c>
      <c r="B406" s="1">
        <v>40561</v>
      </c>
      <c r="C406">
        <v>1</v>
      </c>
      <c r="D406">
        <v>0</v>
      </c>
      <c r="E406">
        <v>1</v>
      </c>
      <c r="F406">
        <v>20</v>
      </c>
      <c r="G406" t="b">
        <v>0</v>
      </c>
      <c r="H406">
        <v>2</v>
      </c>
      <c r="I406">
        <v>2</v>
      </c>
      <c r="J406">
        <v>0.22</v>
      </c>
    </row>
    <row r="407" spans="1:10">
      <c r="A407">
        <v>406</v>
      </c>
      <c r="B407" s="1">
        <v>40561</v>
      </c>
      <c r="C407">
        <v>1</v>
      </c>
      <c r="D407">
        <v>0</v>
      </c>
      <c r="E407">
        <v>1</v>
      </c>
      <c r="F407">
        <v>21</v>
      </c>
      <c r="G407" t="b">
        <v>0</v>
      </c>
      <c r="H407">
        <v>2</v>
      </c>
      <c r="I407">
        <v>2</v>
      </c>
      <c r="J407">
        <v>0.22</v>
      </c>
    </row>
    <row r="408" spans="1:10">
      <c r="A408">
        <v>407</v>
      </c>
      <c r="B408" s="1">
        <v>40561</v>
      </c>
      <c r="C408">
        <v>1</v>
      </c>
      <c r="D408">
        <v>0</v>
      </c>
      <c r="E408">
        <v>1</v>
      </c>
      <c r="F408">
        <v>22</v>
      </c>
      <c r="G408" t="b">
        <v>0</v>
      </c>
      <c r="H408">
        <v>2</v>
      </c>
      <c r="I408">
        <v>2</v>
      </c>
      <c r="J408">
        <v>0.22</v>
      </c>
    </row>
    <row r="409" spans="1:10">
      <c r="A409">
        <v>408</v>
      </c>
      <c r="B409" s="1">
        <v>40561</v>
      </c>
      <c r="C409">
        <v>1</v>
      </c>
      <c r="D409">
        <v>0</v>
      </c>
      <c r="E409">
        <v>1</v>
      </c>
      <c r="F409">
        <v>23</v>
      </c>
      <c r="G409" t="b">
        <v>0</v>
      </c>
      <c r="H409">
        <v>2</v>
      </c>
      <c r="I409">
        <v>2</v>
      </c>
      <c r="J409">
        <v>0.22</v>
      </c>
    </row>
    <row r="410" spans="1:10">
      <c r="A410">
        <v>409</v>
      </c>
      <c r="B410" s="1">
        <v>40562</v>
      </c>
      <c r="C410">
        <v>1</v>
      </c>
      <c r="D410">
        <v>0</v>
      </c>
      <c r="E410">
        <v>1</v>
      </c>
      <c r="F410">
        <v>0</v>
      </c>
      <c r="G410" t="b">
        <v>0</v>
      </c>
      <c r="H410">
        <v>3</v>
      </c>
      <c r="I410">
        <v>2</v>
      </c>
      <c r="J410">
        <v>0.22</v>
      </c>
    </row>
    <row r="411" spans="1:10">
      <c r="A411">
        <v>410</v>
      </c>
      <c r="B411" s="1">
        <v>40562</v>
      </c>
      <c r="C411">
        <v>1</v>
      </c>
      <c r="D411">
        <v>0</v>
      </c>
      <c r="E411">
        <v>1</v>
      </c>
      <c r="F411">
        <v>1</v>
      </c>
      <c r="G411" t="b">
        <v>0</v>
      </c>
      <c r="H411">
        <v>3</v>
      </c>
      <c r="I411">
        <v>3</v>
      </c>
      <c r="J411">
        <v>0.22</v>
      </c>
    </row>
    <row r="412" spans="1:10">
      <c r="A412">
        <v>411</v>
      </c>
      <c r="B412" s="1">
        <v>40562</v>
      </c>
      <c r="C412">
        <v>1</v>
      </c>
      <c r="D412">
        <v>0</v>
      </c>
      <c r="E412">
        <v>1</v>
      </c>
      <c r="F412">
        <v>2</v>
      </c>
      <c r="G412" t="b">
        <v>0</v>
      </c>
      <c r="H412">
        <v>3</v>
      </c>
      <c r="I412">
        <v>3</v>
      </c>
      <c r="J412">
        <v>0.22</v>
      </c>
    </row>
    <row r="413" spans="1:10">
      <c r="A413">
        <v>412</v>
      </c>
      <c r="B413" s="1">
        <v>40562</v>
      </c>
      <c r="C413">
        <v>1</v>
      </c>
      <c r="D413">
        <v>0</v>
      </c>
      <c r="E413">
        <v>1</v>
      </c>
      <c r="F413">
        <v>4</v>
      </c>
      <c r="G413" t="b">
        <v>0</v>
      </c>
      <c r="H413">
        <v>3</v>
      </c>
      <c r="I413">
        <v>3</v>
      </c>
      <c r="J413">
        <v>0.22</v>
      </c>
    </row>
    <row r="414" spans="1:10">
      <c r="A414">
        <v>413</v>
      </c>
      <c r="B414" s="1">
        <v>40562</v>
      </c>
      <c r="C414">
        <v>1</v>
      </c>
      <c r="D414">
        <v>0</v>
      </c>
      <c r="E414">
        <v>1</v>
      </c>
      <c r="F414">
        <v>5</v>
      </c>
      <c r="G414" t="b">
        <v>0</v>
      </c>
      <c r="H414">
        <v>3</v>
      </c>
      <c r="I414">
        <v>2</v>
      </c>
      <c r="J414">
        <v>0.22</v>
      </c>
    </row>
    <row r="415" spans="1:10">
      <c r="A415">
        <v>414</v>
      </c>
      <c r="B415" s="1">
        <v>40562</v>
      </c>
      <c r="C415">
        <v>1</v>
      </c>
      <c r="D415">
        <v>0</v>
      </c>
      <c r="E415">
        <v>1</v>
      </c>
      <c r="F415">
        <v>6</v>
      </c>
      <c r="G415" t="b">
        <v>0</v>
      </c>
      <c r="H415">
        <v>3</v>
      </c>
      <c r="I415">
        <v>2</v>
      </c>
      <c r="J415">
        <v>0.22</v>
      </c>
    </row>
    <row r="416" spans="1:10">
      <c r="A416">
        <v>415</v>
      </c>
      <c r="B416" s="1">
        <v>40562</v>
      </c>
      <c r="C416">
        <v>1</v>
      </c>
      <c r="D416">
        <v>0</v>
      </c>
      <c r="E416">
        <v>1</v>
      </c>
      <c r="F416">
        <v>7</v>
      </c>
      <c r="G416" t="b">
        <v>0</v>
      </c>
      <c r="H416">
        <v>3</v>
      </c>
      <c r="I416">
        <v>2</v>
      </c>
      <c r="J416">
        <v>0.24</v>
      </c>
    </row>
    <row r="417" spans="1:10">
      <c r="A417">
        <v>416</v>
      </c>
      <c r="B417" s="1">
        <v>40562</v>
      </c>
      <c r="C417">
        <v>1</v>
      </c>
      <c r="D417">
        <v>0</v>
      </c>
      <c r="E417">
        <v>1</v>
      </c>
      <c r="F417">
        <v>8</v>
      </c>
      <c r="G417" t="b">
        <v>0</v>
      </c>
      <c r="H417">
        <v>3</v>
      </c>
      <c r="I417">
        <v>2</v>
      </c>
      <c r="J417">
        <v>0.24</v>
      </c>
    </row>
    <row r="418" spans="1:10">
      <c r="A418">
        <v>417</v>
      </c>
      <c r="B418" s="1">
        <v>40562</v>
      </c>
      <c r="C418">
        <v>1</v>
      </c>
      <c r="D418">
        <v>0</v>
      </c>
      <c r="E418">
        <v>1</v>
      </c>
      <c r="F418">
        <v>9</v>
      </c>
      <c r="G418" t="b">
        <v>0</v>
      </c>
      <c r="H418">
        <v>3</v>
      </c>
      <c r="I418">
        <v>2</v>
      </c>
      <c r="J418">
        <v>0.24</v>
      </c>
    </row>
    <row r="419" spans="1:10">
      <c r="A419">
        <v>418</v>
      </c>
      <c r="B419" s="1">
        <v>40562</v>
      </c>
      <c r="C419">
        <v>1</v>
      </c>
      <c r="D419">
        <v>0</v>
      </c>
      <c r="E419">
        <v>1</v>
      </c>
      <c r="F419">
        <v>10</v>
      </c>
      <c r="G419" t="b">
        <v>0</v>
      </c>
      <c r="H419">
        <v>3</v>
      </c>
      <c r="I419">
        <v>2</v>
      </c>
      <c r="J419">
        <v>0.26</v>
      </c>
    </row>
    <row r="420" spans="1:10">
      <c r="A420">
        <v>419</v>
      </c>
      <c r="B420" s="1">
        <v>40562</v>
      </c>
      <c r="C420">
        <v>1</v>
      </c>
      <c r="D420">
        <v>0</v>
      </c>
      <c r="E420">
        <v>1</v>
      </c>
      <c r="F420">
        <v>11</v>
      </c>
      <c r="G420" t="b">
        <v>0</v>
      </c>
      <c r="H420">
        <v>3</v>
      </c>
      <c r="I420">
        <v>2</v>
      </c>
      <c r="J420">
        <v>0.28000000000000003</v>
      </c>
    </row>
    <row r="421" spans="1:10">
      <c r="A421">
        <v>420</v>
      </c>
      <c r="B421" s="1">
        <v>40562</v>
      </c>
      <c r="C421">
        <v>1</v>
      </c>
      <c r="D421">
        <v>0</v>
      </c>
      <c r="E421">
        <v>1</v>
      </c>
      <c r="F421">
        <v>12</v>
      </c>
      <c r="G421" t="b">
        <v>0</v>
      </c>
      <c r="H421">
        <v>3</v>
      </c>
      <c r="I421">
        <v>2</v>
      </c>
      <c r="J421">
        <v>0.3</v>
      </c>
    </row>
    <row r="422" spans="1:10">
      <c r="A422">
        <v>421</v>
      </c>
      <c r="B422" s="1">
        <v>40562</v>
      </c>
      <c r="C422">
        <v>1</v>
      </c>
      <c r="D422">
        <v>0</v>
      </c>
      <c r="E422">
        <v>1</v>
      </c>
      <c r="F422">
        <v>13</v>
      </c>
      <c r="G422" t="b">
        <v>0</v>
      </c>
      <c r="H422">
        <v>3</v>
      </c>
      <c r="I422">
        <v>1</v>
      </c>
      <c r="J422">
        <v>0.4</v>
      </c>
    </row>
    <row r="423" spans="1:10">
      <c r="A423">
        <v>422</v>
      </c>
      <c r="B423" s="1">
        <v>40562</v>
      </c>
      <c r="C423">
        <v>1</v>
      </c>
      <c r="D423">
        <v>0</v>
      </c>
      <c r="E423">
        <v>1</v>
      </c>
      <c r="F423">
        <v>14</v>
      </c>
      <c r="G423" t="b">
        <v>0</v>
      </c>
      <c r="H423">
        <v>3</v>
      </c>
      <c r="I423">
        <v>1</v>
      </c>
      <c r="J423">
        <v>0.4</v>
      </c>
    </row>
    <row r="424" spans="1:10">
      <c r="A424">
        <v>423</v>
      </c>
      <c r="B424" s="1">
        <v>40562</v>
      </c>
      <c r="C424">
        <v>1</v>
      </c>
      <c r="D424">
        <v>0</v>
      </c>
      <c r="E424">
        <v>1</v>
      </c>
      <c r="F424">
        <v>15</v>
      </c>
      <c r="G424" t="b">
        <v>0</v>
      </c>
      <c r="H424">
        <v>3</v>
      </c>
      <c r="I424">
        <v>1</v>
      </c>
      <c r="J424">
        <v>0.4</v>
      </c>
    </row>
    <row r="425" spans="1:10">
      <c r="A425">
        <v>424</v>
      </c>
      <c r="B425" s="1">
        <v>40562</v>
      </c>
      <c r="C425">
        <v>1</v>
      </c>
      <c r="D425">
        <v>0</v>
      </c>
      <c r="E425">
        <v>1</v>
      </c>
      <c r="F425">
        <v>16</v>
      </c>
      <c r="G425" t="b">
        <v>0</v>
      </c>
      <c r="H425">
        <v>3</v>
      </c>
      <c r="I425">
        <v>1</v>
      </c>
      <c r="J425">
        <v>0.38</v>
      </c>
    </row>
    <row r="426" spans="1:10">
      <c r="A426">
        <v>425</v>
      </c>
      <c r="B426" s="1">
        <v>40562</v>
      </c>
      <c r="C426">
        <v>1</v>
      </c>
      <c r="D426">
        <v>0</v>
      </c>
      <c r="E426">
        <v>1</v>
      </c>
      <c r="F426">
        <v>17</v>
      </c>
      <c r="G426" t="b">
        <v>0</v>
      </c>
      <c r="H426">
        <v>3</v>
      </c>
      <c r="I426">
        <v>1</v>
      </c>
      <c r="J426">
        <v>0.36</v>
      </c>
    </row>
    <row r="427" spans="1:10">
      <c r="A427">
        <v>426</v>
      </c>
      <c r="B427" s="1">
        <v>40562</v>
      </c>
      <c r="C427">
        <v>1</v>
      </c>
      <c r="D427">
        <v>0</v>
      </c>
      <c r="E427">
        <v>1</v>
      </c>
      <c r="F427">
        <v>18</v>
      </c>
      <c r="G427" t="b">
        <v>0</v>
      </c>
      <c r="H427">
        <v>3</v>
      </c>
      <c r="I427">
        <v>1</v>
      </c>
      <c r="J427">
        <v>0.34</v>
      </c>
    </row>
    <row r="428" spans="1:10">
      <c r="A428">
        <v>427</v>
      </c>
      <c r="B428" s="1">
        <v>40562</v>
      </c>
      <c r="C428">
        <v>1</v>
      </c>
      <c r="D428">
        <v>0</v>
      </c>
      <c r="E428">
        <v>1</v>
      </c>
      <c r="F428">
        <v>19</v>
      </c>
      <c r="G428" t="b">
        <v>0</v>
      </c>
      <c r="H428">
        <v>3</v>
      </c>
      <c r="I428">
        <v>1</v>
      </c>
      <c r="J428">
        <v>0.32</v>
      </c>
    </row>
    <row r="429" spans="1:10">
      <c r="A429">
        <v>428</v>
      </c>
      <c r="B429" s="1">
        <v>40562</v>
      </c>
      <c r="C429">
        <v>1</v>
      </c>
      <c r="D429">
        <v>0</v>
      </c>
      <c r="E429">
        <v>1</v>
      </c>
      <c r="F429">
        <v>20</v>
      </c>
      <c r="G429" t="b">
        <v>0</v>
      </c>
      <c r="H429">
        <v>3</v>
      </c>
      <c r="I429">
        <v>1</v>
      </c>
      <c r="J429">
        <v>0.32</v>
      </c>
    </row>
    <row r="430" spans="1:10">
      <c r="A430">
        <v>429</v>
      </c>
      <c r="B430" s="1">
        <v>40562</v>
      </c>
      <c r="C430">
        <v>1</v>
      </c>
      <c r="D430">
        <v>0</v>
      </c>
      <c r="E430">
        <v>1</v>
      </c>
      <c r="F430">
        <v>21</v>
      </c>
      <c r="G430" t="b">
        <v>0</v>
      </c>
      <c r="H430">
        <v>3</v>
      </c>
      <c r="I430">
        <v>1</v>
      </c>
      <c r="J430">
        <v>0.32</v>
      </c>
    </row>
    <row r="431" spans="1:10">
      <c r="A431">
        <v>430</v>
      </c>
      <c r="B431" s="1">
        <v>40562</v>
      </c>
      <c r="C431">
        <v>1</v>
      </c>
      <c r="D431">
        <v>0</v>
      </c>
      <c r="E431">
        <v>1</v>
      </c>
      <c r="F431">
        <v>22</v>
      </c>
      <c r="G431" t="b">
        <v>0</v>
      </c>
      <c r="H431">
        <v>3</v>
      </c>
      <c r="I431">
        <v>1</v>
      </c>
      <c r="J431">
        <v>0.3</v>
      </c>
    </row>
    <row r="432" spans="1:10">
      <c r="A432">
        <v>431</v>
      </c>
      <c r="B432" s="1">
        <v>40562</v>
      </c>
      <c r="C432">
        <v>1</v>
      </c>
      <c r="D432">
        <v>0</v>
      </c>
      <c r="E432">
        <v>1</v>
      </c>
      <c r="F432">
        <v>23</v>
      </c>
      <c r="G432" t="b">
        <v>0</v>
      </c>
      <c r="H432">
        <v>3</v>
      </c>
      <c r="I432">
        <v>1</v>
      </c>
      <c r="J432">
        <v>0.3</v>
      </c>
    </row>
    <row r="433" spans="1:10">
      <c r="A433">
        <v>432</v>
      </c>
      <c r="B433" s="1">
        <v>40563</v>
      </c>
      <c r="C433">
        <v>1</v>
      </c>
      <c r="D433">
        <v>0</v>
      </c>
      <c r="E433">
        <v>1</v>
      </c>
      <c r="F433">
        <v>0</v>
      </c>
      <c r="G433" t="b">
        <v>0</v>
      </c>
      <c r="H433">
        <v>4</v>
      </c>
      <c r="I433">
        <v>1</v>
      </c>
      <c r="J433">
        <v>0.26</v>
      </c>
    </row>
    <row r="434" spans="1:10">
      <c r="A434">
        <v>433</v>
      </c>
      <c r="B434" s="1">
        <v>40563</v>
      </c>
      <c r="C434">
        <v>1</v>
      </c>
      <c r="D434">
        <v>0</v>
      </c>
      <c r="E434">
        <v>1</v>
      </c>
      <c r="F434">
        <v>1</v>
      </c>
      <c r="G434" t="b">
        <v>0</v>
      </c>
      <c r="H434">
        <v>4</v>
      </c>
      <c r="I434">
        <v>1</v>
      </c>
      <c r="J434">
        <v>0.26</v>
      </c>
    </row>
    <row r="435" spans="1:10">
      <c r="A435">
        <v>434</v>
      </c>
      <c r="B435" s="1">
        <v>40563</v>
      </c>
      <c r="C435">
        <v>1</v>
      </c>
      <c r="D435">
        <v>0</v>
      </c>
      <c r="E435">
        <v>1</v>
      </c>
      <c r="F435">
        <v>2</v>
      </c>
      <c r="G435" t="b">
        <v>0</v>
      </c>
      <c r="H435">
        <v>4</v>
      </c>
      <c r="I435">
        <v>1</v>
      </c>
      <c r="J435">
        <v>0.26</v>
      </c>
    </row>
    <row r="436" spans="1:10">
      <c r="A436">
        <v>435</v>
      </c>
      <c r="B436" s="1">
        <v>40563</v>
      </c>
      <c r="C436">
        <v>1</v>
      </c>
      <c r="D436">
        <v>0</v>
      </c>
      <c r="E436">
        <v>1</v>
      </c>
      <c r="F436">
        <v>3</v>
      </c>
      <c r="G436" t="b">
        <v>0</v>
      </c>
      <c r="H436">
        <v>4</v>
      </c>
      <c r="I436">
        <v>1</v>
      </c>
      <c r="J436">
        <v>0.26</v>
      </c>
    </row>
    <row r="437" spans="1:10">
      <c r="A437">
        <v>436</v>
      </c>
      <c r="B437" s="1">
        <v>40563</v>
      </c>
      <c r="C437">
        <v>1</v>
      </c>
      <c r="D437">
        <v>0</v>
      </c>
      <c r="E437">
        <v>1</v>
      </c>
      <c r="F437">
        <v>4</v>
      </c>
      <c r="G437" t="b">
        <v>0</v>
      </c>
      <c r="H437">
        <v>4</v>
      </c>
      <c r="I437">
        <v>1</v>
      </c>
      <c r="J437">
        <v>0.26</v>
      </c>
    </row>
    <row r="438" spans="1:10">
      <c r="A438">
        <v>437</v>
      </c>
      <c r="B438" s="1">
        <v>40563</v>
      </c>
      <c r="C438">
        <v>1</v>
      </c>
      <c r="D438">
        <v>0</v>
      </c>
      <c r="E438">
        <v>1</v>
      </c>
      <c r="F438">
        <v>5</v>
      </c>
      <c r="G438" t="b">
        <v>0</v>
      </c>
      <c r="H438">
        <v>4</v>
      </c>
      <c r="I438">
        <v>1</v>
      </c>
      <c r="J438">
        <v>0.24</v>
      </c>
    </row>
    <row r="439" spans="1:10">
      <c r="A439">
        <v>438</v>
      </c>
      <c r="B439" s="1">
        <v>40563</v>
      </c>
      <c r="C439">
        <v>1</v>
      </c>
      <c r="D439">
        <v>0</v>
      </c>
      <c r="E439">
        <v>1</v>
      </c>
      <c r="F439">
        <v>6</v>
      </c>
      <c r="G439" t="b">
        <v>0</v>
      </c>
      <c r="H439">
        <v>4</v>
      </c>
      <c r="I439">
        <v>1</v>
      </c>
      <c r="J439">
        <v>0.22</v>
      </c>
    </row>
    <row r="440" spans="1:10">
      <c r="A440">
        <v>439</v>
      </c>
      <c r="B440" s="1">
        <v>40563</v>
      </c>
      <c r="C440">
        <v>1</v>
      </c>
      <c r="D440">
        <v>0</v>
      </c>
      <c r="E440">
        <v>1</v>
      </c>
      <c r="F440">
        <v>7</v>
      </c>
      <c r="G440" t="b">
        <v>0</v>
      </c>
      <c r="H440">
        <v>4</v>
      </c>
      <c r="I440">
        <v>1</v>
      </c>
      <c r="J440">
        <v>0.22</v>
      </c>
    </row>
    <row r="441" spans="1:10">
      <c r="A441">
        <v>440</v>
      </c>
      <c r="B441" s="1">
        <v>40563</v>
      </c>
      <c r="C441">
        <v>1</v>
      </c>
      <c r="D441">
        <v>0</v>
      </c>
      <c r="E441">
        <v>1</v>
      </c>
      <c r="F441">
        <v>8</v>
      </c>
      <c r="G441" t="b">
        <v>0</v>
      </c>
      <c r="H441">
        <v>4</v>
      </c>
      <c r="I441">
        <v>1</v>
      </c>
      <c r="J441">
        <v>0.22</v>
      </c>
    </row>
    <row r="442" spans="1:10">
      <c r="A442">
        <v>441</v>
      </c>
      <c r="B442" s="1">
        <v>40563</v>
      </c>
      <c r="C442">
        <v>1</v>
      </c>
      <c r="D442">
        <v>0</v>
      </c>
      <c r="E442">
        <v>1</v>
      </c>
      <c r="F442">
        <v>9</v>
      </c>
      <c r="G442" t="b">
        <v>0</v>
      </c>
      <c r="H442">
        <v>4</v>
      </c>
      <c r="I442">
        <v>2</v>
      </c>
      <c r="J442">
        <v>0.24</v>
      </c>
    </row>
    <row r="443" spans="1:10">
      <c r="A443">
        <v>442</v>
      </c>
      <c r="B443" s="1">
        <v>40563</v>
      </c>
      <c r="C443">
        <v>1</v>
      </c>
      <c r="D443">
        <v>0</v>
      </c>
      <c r="E443">
        <v>1</v>
      </c>
      <c r="F443">
        <v>10</v>
      </c>
      <c r="G443" t="b">
        <v>0</v>
      </c>
      <c r="H443">
        <v>4</v>
      </c>
      <c r="I443">
        <v>1</v>
      </c>
      <c r="J443">
        <v>0.26</v>
      </c>
    </row>
    <row r="444" spans="1:10">
      <c r="A444">
        <v>443</v>
      </c>
      <c r="B444" s="1">
        <v>40563</v>
      </c>
      <c r="C444">
        <v>1</v>
      </c>
      <c r="D444">
        <v>0</v>
      </c>
      <c r="E444">
        <v>1</v>
      </c>
      <c r="F444">
        <v>11</v>
      </c>
      <c r="G444" t="b">
        <v>0</v>
      </c>
      <c r="H444">
        <v>4</v>
      </c>
      <c r="I444">
        <v>2</v>
      </c>
      <c r="J444">
        <v>0.28000000000000003</v>
      </c>
    </row>
    <row r="445" spans="1:10">
      <c r="A445">
        <v>444</v>
      </c>
      <c r="B445" s="1">
        <v>40563</v>
      </c>
      <c r="C445">
        <v>1</v>
      </c>
      <c r="D445">
        <v>0</v>
      </c>
      <c r="E445">
        <v>1</v>
      </c>
      <c r="F445">
        <v>12</v>
      </c>
      <c r="G445" t="b">
        <v>0</v>
      </c>
      <c r="H445">
        <v>4</v>
      </c>
      <c r="I445">
        <v>2</v>
      </c>
      <c r="J445">
        <v>0.3</v>
      </c>
    </row>
    <row r="446" spans="1:10">
      <c r="A446">
        <v>445</v>
      </c>
      <c r="B446" s="1">
        <v>40563</v>
      </c>
      <c r="C446">
        <v>1</v>
      </c>
      <c r="D446">
        <v>0</v>
      </c>
      <c r="E446">
        <v>1</v>
      </c>
      <c r="F446">
        <v>13</v>
      </c>
      <c r="G446" t="b">
        <v>0</v>
      </c>
      <c r="H446">
        <v>4</v>
      </c>
      <c r="I446">
        <v>2</v>
      </c>
      <c r="J446">
        <v>0.28000000000000003</v>
      </c>
    </row>
    <row r="447" spans="1:10">
      <c r="A447">
        <v>446</v>
      </c>
      <c r="B447" s="1">
        <v>40563</v>
      </c>
      <c r="C447">
        <v>1</v>
      </c>
      <c r="D447">
        <v>0</v>
      </c>
      <c r="E447">
        <v>1</v>
      </c>
      <c r="F447">
        <v>14</v>
      </c>
      <c r="G447" t="b">
        <v>0</v>
      </c>
      <c r="H447">
        <v>4</v>
      </c>
      <c r="I447">
        <v>2</v>
      </c>
      <c r="J447">
        <v>0.3</v>
      </c>
    </row>
    <row r="448" spans="1:10">
      <c r="A448">
        <v>447</v>
      </c>
      <c r="B448" s="1">
        <v>40563</v>
      </c>
      <c r="C448">
        <v>1</v>
      </c>
      <c r="D448">
        <v>0</v>
      </c>
      <c r="E448">
        <v>1</v>
      </c>
      <c r="F448">
        <v>15</v>
      </c>
      <c r="G448" t="b">
        <v>0</v>
      </c>
      <c r="H448">
        <v>4</v>
      </c>
      <c r="I448">
        <v>2</v>
      </c>
      <c r="J448">
        <v>0.32</v>
      </c>
    </row>
    <row r="449" spans="1:10">
      <c r="A449">
        <v>448</v>
      </c>
      <c r="B449" s="1">
        <v>40563</v>
      </c>
      <c r="C449">
        <v>1</v>
      </c>
      <c r="D449">
        <v>0</v>
      </c>
      <c r="E449">
        <v>1</v>
      </c>
      <c r="F449">
        <v>16</v>
      </c>
      <c r="G449" t="b">
        <v>0</v>
      </c>
      <c r="H449">
        <v>4</v>
      </c>
      <c r="I449">
        <v>2</v>
      </c>
      <c r="J449">
        <v>0.3</v>
      </c>
    </row>
    <row r="450" spans="1:10">
      <c r="A450">
        <v>449</v>
      </c>
      <c r="B450" s="1">
        <v>40563</v>
      </c>
      <c r="C450">
        <v>1</v>
      </c>
      <c r="D450">
        <v>0</v>
      </c>
      <c r="E450">
        <v>1</v>
      </c>
      <c r="F450">
        <v>17</v>
      </c>
      <c r="G450" t="b">
        <v>0</v>
      </c>
      <c r="H450">
        <v>4</v>
      </c>
      <c r="I450">
        <v>2</v>
      </c>
      <c r="J450">
        <v>0.3</v>
      </c>
    </row>
    <row r="451" spans="1:10">
      <c r="A451">
        <v>450</v>
      </c>
      <c r="B451" s="1">
        <v>40563</v>
      </c>
      <c r="C451">
        <v>1</v>
      </c>
      <c r="D451">
        <v>0</v>
      </c>
      <c r="E451">
        <v>1</v>
      </c>
      <c r="F451">
        <v>18</v>
      </c>
      <c r="G451" t="b">
        <v>0</v>
      </c>
      <c r="H451">
        <v>4</v>
      </c>
      <c r="I451">
        <v>2</v>
      </c>
      <c r="J451">
        <v>0.26</v>
      </c>
    </row>
    <row r="452" spans="1:10">
      <c r="A452">
        <v>451</v>
      </c>
      <c r="B452" s="1">
        <v>40563</v>
      </c>
      <c r="C452">
        <v>1</v>
      </c>
      <c r="D452">
        <v>0</v>
      </c>
      <c r="E452">
        <v>1</v>
      </c>
      <c r="F452">
        <v>19</v>
      </c>
      <c r="G452" t="b">
        <v>0</v>
      </c>
      <c r="H452">
        <v>4</v>
      </c>
      <c r="I452">
        <v>1</v>
      </c>
      <c r="J452">
        <v>0.26</v>
      </c>
    </row>
    <row r="453" spans="1:10">
      <c r="A453">
        <v>452</v>
      </c>
      <c r="B453" s="1">
        <v>40563</v>
      </c>
      <c r="C453">
        <v>1</v>
      </c>
      <c r="D453">
        <v>0</v>
      </c>
      <c r="E453">
        <v>1</v>
      </c>
      <c r="F453">
        <v>20</v>
      </c>
      <c r="G453" t="b">
        <v>0</v>
      </c>
      <c r="H453">
        <v>4</v>
      </c>
      <c r="I453">
        <v>2</v>
      </c>
      <c r="J453">
        <v>0.26</v>
      </c>
    </row>
    <row r="454" spans="1:10">
      <c r="A454">
        <v>453</v>
      </c>
      <c r="B454" s="1">
        <v>40563</v>
      </c>
      <c r="C454">
        <v>1</v>
      </c>
      <c r="D454">
        <v>0</v>
      </c>
      <c r="E454">
        <v>1</v>
      </c>
      <c r="F454">
        <v>21</v>
      </c>
      <c r="G454" t="b">
        <v>0</v>
      </c>
      <c r="H454">
        <v>4</v>
      </c>
      <c r="I454">
        <v>2</v>
      </c>
      <c r="J454">
        <v>0.24</v>
      </c>
    </row>
    <row r="455" spans="1:10">
      <c r="A455">
        <v>454</v>
      </c>
      <c r="B455" s="1">
        <v>40563</v>
      </c>
      <c r="C455">
        <v>1</v>
      </c>
      <c r="D455">
        <v>0</v>
      </c>
      <c r="E455">
        <v>1</v>
      </c>
      <c r="F455">
        <v>22</v>
      </c>
      <c r="G455" t="b">
        <v>0</v>
      </c>
      <c r="H455">
        <v>4</v>
      </c>
      <c r="I455">
        <v>2</v>
      </c>
      <c r="J455">
        <v>0.24</v>
      </c>
    </row>
    <row r="456" spans="1:10">
      <c r="A456">
        <v>455</v>
      </c>
      <c r="B456" s="1">
        <v>40563</v>
      </c>
      <c r="C456">
        <v>1</v>
      </c>
      <c r="D456">
        <v>0</v>
      </c>
      <c r="E456">
        <v>1</v>
      </c>
      <c r="F456">
        <v>23</v>
      </c>
      <c r="G456" t="b">
        <v>0</v>
      </c>
      <c r="H456">
        <v>4</v>
      </c>
      <c r="I456">
        <v>2</v>
      </c>
      <c r="J456">
        <v>0.24</v>
      </c>
    </row>
    <row r="457" spans="1:10">
      <c r="A457">
        <v>456</v>
      </c>
      <c r="B457" s="1">
        <v>40564</v>
      </c>
      <c r="C457">
        <v>1</v>
      </c>
      <c r="D457">
        <v>0</v>
      </c>
      <c r="E457">
        <v>1</v>
      </c>
      <c r="F457">
        <v>0</v>
      </c>
      <c r="G457" t="b">
        <v>0</v>
      </c>
      <c r="H457">
        <v>5</v>
      </c>
      <c r="I457">
        <v>2</v>
      </c>
      <c r="J457">
        <v>0.24</v>
      </c>
    </row>
    <row r="458" spans="1:10">
      <c r="A458">
        <v>457</v>
      </c>
      <c r="B458" s="1">
        <v>40564</v>
      </c>
      <c r="C458">
        <v>1</v>
      </c>
      <c r="D458">
        <v>0</v>
      </c>
      <c r="E458">
        <v>1</v>
      </c>
      <c r="F458">
        <v>1</v>
      </c>
      <c r="G458" t="b">
        <v>0</v>
      </c>
      <c r="H458">
        <v>5</v>
      </c>
      <c r="I458">
        <v>2</v>
      </c>
      <c r="J458">
        <v>0.24</v>
      </c>
    </row>
    <row r="459" spans="1:10">
      <c r="A459">
        <v>458</v>
      </c>
      <c r="B459" s="1">
        <v>40564</v>
      </c>
      <c r="C459">
        <v>1</v>
      </c>
      <c r="D459">
        <v>0</v>
      </c>
      <c r="E459">
        <v>1</v>
      </c>
      <c r="F459">
        <v>2</v>
      </c>
      <c r="G459" t="b">
        <v>0</v>
      </c>
      <c r="H459">
        <v>5</v>
      </c>
      <c r="I459">
        <v>3</v>
      </c>
      <c r="J459">
        <v>0.24</v>
      </c>
    </row>
    <row r="460" spans="1:10">
      <c r="A460">
        <v>459</v>
      </c>
      <c r="B460" s="1">
        <v>40564</v>
      </c>
      <c r="C460">
        <v>1</v>
      </c>
      <c r="D460">
        <v>0</v>
      </c>
      <c r="E460">
        <v>1</v>
      </c>
      <c r="F460">
        <v>3</v>
      </c>
      <c r="G460" t="b">
        <v>0</v>
      </c>
      <c r="H460">
        <v>5</v>
      </c>
      <c r="I460">
        <v>3</v>
      </c>
      <c r="J460">
        <v>0.22</v>
      </c>
    </row>
    <row r="461" spans="1:10">
      <c r="A461">
        <v>460</v>
      </c>
      <c r="B461" s="1">
        <v>40564</v>
      </c>
      <c r="C461">
        <v>1</v>
      </c>
      <c r="D461">
        <v>0</v>
      </c>
      <c r="E461">
        <v>1</v>
      </c>
      <c r="F461">
        <v>4</v>
      </c>
      <c r="G461" t="b">
        <v>0</v>
      </c>
      <c r="H461">
        <v>5</v>
      </c>
      <c r="I461">
        <v>2</v>
      </c>
      <c r="J461">
        <v>0.22</v>
      </c>
    </row>
    <row r="462" spans="1:10">
      <c r="A462">
        <v>461</v>
      </c>
      <c r="B462" s="1">
        <v>40564</v>
      </c>
      <c r="C462">
        <v>1</v>
      </c>
      <c r="D462">
        <v>0</v>
      </c>
      <c r="E462">
        <v>1</v>
      </c>
      <c r="F462">
        <v>5</v>
      </c>
      <c r="G462" t="b">
        <v>0</v>
      </c>
      <c r="H462">
        <v>5</v>
      </c>
      <c r="I462">
        <v>1</v>
      </c>
      <c r="J462">
        <v>0.24</v>
      </c>
    </row>
    <row r="463" spans="1:10">
      <c r="A463">
        <v>462</v>
      </c>
      <c r="B463" s="1">
        <v>40564</v>
      </c>
      <c r="C463">
        <v>1</v>
      </c>
      <c r="D463">
        <v>0</v>
      </c>
      <c r="E463">
        <v>1</v>
      </c>
      <c r="F463">
        <v>6</v>
      </c>
      <c r="G463" t="b">
        <v>0</v>
      </c>
      <c r="H463">
        <v>5</v>
      </c>
      <c r="I463">
        <v>1</v>
      </c>
      <c r="J463">
        <v>0.22</v>
      </c>
    </row>
    <row r="464" spans="1:10">
      <c r="A464">
        <v>463</v>
      </c>
      <c r="B464" s="1">
        <v>40564</v>
      </c>
      <c r="C464">
        <v>1</v>
      </c>
      <c r="D464">
        <v>0</v>
      </c>
      <c r="E464">
        <v>1</v>
      </c>
      <c r="F464">
        <v>7</v>
      </c>
      <c r="G464" t="b">
        <v>0</v>
      </c>
      <c r="H464">
        <v>5</v>
      </c>
      <c r="I464">
        <v>1</v>
      </c>
      <c r="J464">
        <v>0.2</v>
      </c>
    </row>
    <row r="465" spans="1:10">
      <c r="A465">
        <v>464</v>
      </c>
      <c r="B465" s="1">
        <v>40564</v>
      </c>
      <c r="C465">
        <v>1</v>
      </c>
      <c r="D465">
        <v>0</v>
      </c>
      <c r="E465">
        <v>1</v>
      </c>
      <c r="F465">
        <v>8</v>
      </c>
      <c r="G465" t="b">
        <v>0</v>
      </c>
      <c r="H465">
        <v>5</v>
      </c>
      <c r="I465">
        <v>1</v>
      </c>
      <c r="J465">
        <v>0.2</v>
      </c>
    </row>
    <row r="466" spans="1:10">
      <c r="A466">
        <v>465</v>
      </c>
      <c r="B466" s="1">
        <v>40564</v>
      </c>
      <c r="C466">
        <v>1</v>
      </c>
      <c r="D466">
        <v>0</v>
      </c>
      <c r="E466">
        <v>1</v>
      </c>
      <c r="F466">
        <v>9</v>
      </c>
      <c r="G466" t="b">
        <v>0</v>
      </c>
      <c r="H466">
        <v>5</v>
      </c>
      <c r="I466">
        <v>1</v>
      </c>
      <c r="J466">
        <v>0.2</v>
      </c>
    </row>
    <row r="467" spans="1:10">
      <c r="A467">
        <v>466</v>
      </c>
      <c r="B467" s="1">
        <v>40564</v>
      </c>
      <c r="C467">
        <v>1</v>
      </c>
      <c r="D467">
        <v>0</v>
      </c>
      <c r="E467">
        <v>1</v>
      </c>
      <c r="F467">
        <v>10</v>
      </c>
      <c r="G467" t="b">
        <v>0</v>
      </c>
      <c r="H467">
        <v>5</v>
      </c>
      <c r="I467">
        <v>1</v>
      </c>
      <c r="J467">
        <v>0.2</v>
      </c>
    </row>
    <row r="468" spans="1:10">
      <c r="A468">
        <v>467</v>
      </c>
      <c r="B468" s="1">
        <v>40564</v>
      </c>
      <c r="C468">
        <v>1</v>
      </c>
      <c r="D468">
        <v>0</v>
      </c>
      <c r="E468">
        <v>1</v>
      </c>
      <c r="F468">
        <v>11</v>
      </c>
      <c r="G468" t="b">
        <v>0</v>
      </c>
      <c r="H468">
        <v>5</v>
      </c>
      <c r="I468">
        <v>1</v>
      </c>
      <c r="J468">
        <v>0.22</v>
      </c>
    </row>
    <row r="469" spans="1:10">
      <c r="A469">
        <v>468</v>
      </c>
      <c r="B469" s="1">
        <v>40564</v>
      </c>
      <c r="C469">
        <v>1</v>
      </c>
      <c r="D469">
        <v>0</v>
      </c>
      <c r="E469">
        <v>1</v>
      </c>
      <c r="F469">
        <v>12</v>
      </c>
      <c r="G469" t="b">
        <v>0</v>
      </c>
      <c r="H469">
        <v>5</v>
      </c>
      <c r="I469">
        <v>1</v>
      </c>
      <c r="J469">
        <v>0.22</v>
      </c>
    </row>
    <row r="470" spans="1:10">
      <c r="A470">
        <v>469</v>
      </c>
      <c r="B470" s="1">
        <v>40564</v>
      </c>
      <c r="C470">
        <v>1</v>
      </c>
      <c r="D470">
        <v>0</v>
      </c>
      <c r="E470">
        <v>1</v>
      </c>
      <c r="F470">
        <v>13</v>
      </c>
      <c r="G470" t="b">
        <v>0</v>
      </c>
      <c r="H470">
        <v>5</v>
      </c>
      <c r="I470">
        <v>1</v>
      </c>
      <c r="J470">
        <v>0.2</v>
      </c>
    </row>
    <row r="471" spans="1:10">
      <c r="A471">
        <v>470</v>
      </c>
      <c r="B471" s="1">
        <v>40564</v>
      </c>
      <c r="C471">
        <v>1</v>
      </c>
      <c r="D471">
        <v>0</v>
      </c>
      <c r="E471">
        <v>1</v>
      </c>
      <c r="F471">
        <v>14</v>
      </c>
      <c r="G471" t="b">
        <v>0</v>
      </c>
      <c r="H471">
        <v>5</v>
      </c>
      <c r="I471">
        <v>1</v>
      </c>
      <c r="J471">
        <v>0.2</v>
      </c>
    </row>
    <row r="472" spans="1:10">
      <c r="A472">
        <v>471</v>
      </c>
      <c r="B472" s="1">
        <v>40564</v>
      </c>
      <c r="C472">
        <v>1</v>
      </c>
      <c r="D472">
        <v>0</v>
      </c>
      <c r="E472">
        <v>1</v>
      </c>
      <c r="F472">
        <v>15</v>
      </c>
      <c r="G472" t="b">
        <v>0</v>
      </c>
      <c r="H472">
        <v>5</v>
      </c>
      <c r="I472">
        <v>1</v>
      </c>
      <c r="J472">
        <v>0.16</v>
      </c>
    </row>
    <row r="473" spans="1:10">
      <c r="A473">
        <v>472</v>
      </c>
      <c r="B473" s="1">
        <v>40564</v>
      </c>
      <c r="C473">
        <v>1</v>
      </c>
      <c r="D473">
        <v>0</v>
      </c>
      <c r="E473">
        <v>1</v>
      </c>
      <c r="F473">
        <v>16</v>
      </c>
      <c r="G473" t="b">
        <v>0</v>
      </c>
      <c r="H473">
        <v>5</v>
      </c>
      <c r="I473">
        <v>1</v>
      </c>
      <c r="J473">
        <v>0.16</v>
      </c>
    </row>
    <row r="474" spans="1:10">
      <c r="A474">
        <v>473</v>
      </c>
      <c r="B474" s="1">
        <v>40564</v>
      </c>
      <c r="C474">
        <v>1</v>
      </c>
      <c r="D474">
        <v>0</v>
      </c>
      <c r="E474">
        <v>1</v>
      </c>
      <c r="F474">
        <v>17</v>
      </c>
      <c r="G474" t="b">
        <v>0</v>
      </c>
      <c r="H474">
        <v>5</v>
      </c>
      <c r="I474">
        <v>1</v>
      </c>
      <c r="J474">
        <v>0.14000000000000001</v>
      </c>
    </row>
    <row r="475" spans="1:10">
      <c r="A475">
        <v>474</v>
      </c>
      <c r="B475" s="1">
        <v>40564</v>
      </c>
      <c r="C475">
        <v>1</v>
      </c>
      <c r="D475">
        <v>0</v>
      </c>
      <c r="E475">
        <v>1</v>
      </c>
      <c r="F475">
        <v>18</v>
      </c>
      <c r="G475" t="b">
        <v>0</v>
      </c>
      <c r="H475">
        <v>5</v>
      </c>
      <c r="I475">
        <v>1</v>
      </c>
      <c r="J475">
        <v>0.12</v>
      </c>
    </row>
    <row r="476" spans="1:10">
      <c r="A476">
        <v>475</v>
      </c>
      <c r="B476" s="1">
        <v>40564</v>
      </c>
      <c r="C476">
        <v>1</v>
      </c>
      <c r="D476">
        <v>0</v>
      </c>
      <c r="E476">
        <v>1</v>
      </c>
      <c r="F476">
        <v>19</v>
      </c>
      <c r="G476" t="b">
        <v>0</v>
      </c>
      <c r="H476">
        <v>5</v>
      </c>
      <c r="I476">
        <v>1</v>
      </c>
      <c r="J476">
        <v>0.12</v>
      </c>
    </row>
    <row r="477" spans="1:10">
      <c r="A477">
        <v>476</v>
      </c>
      <c r="B477" s="1">
        <v>40564</v>
      </c>
      <c r="C477">
        <v>1</v>
      </c>
      <c r="D477">
        <v>0</v>
      </c>
      <c r="E477">
        <v>1</v>
      </c>
      <c r="F477">
        <v>20</v>
      </c>
      <c r="G477" t="b">
        <v>0</v>
      </c>
      <c r="H477">
        <v>5</v>
      </c>
      <c r="I477">
        <v>1</v>
      </c>
      <c r="J477">
        <v>0.1</v>
      </c>
    </row>
    <row r="478" spans="1:10">
      <c r="A478">
        <v>477</v>
      </c>
      <c r="B478" s="1">
        <v>40564</v>
      </c>
      <c r="C478">
        <v>1</v>
      </c>
      <c r="D478">
        <v>0</v>
      </c>
      <c r="E478">
        <v>1</v>
      </c>
      <c r="F478">
        <v>21</v>
      </c>
      <c r="G478" t="b">
        <v>0</v>
      </c>
      <c r="H478">
        <v>5</v>
      </c>
      <c r="I478">
        <v>1</v>
      </c>
      <c r="J478">
        <v>0.08</v>
      </c>
    </row>
    <row r="479" spans="1:10">
      <c r="A479">
        <v>478</v>
      </c>
      <c r="B479" s="1">
        <v>40564</v>
      </c>
      <c r="C479">
        <v>1</v>
      </c>
      <c r="D479">
        <v>0</v>
      </c>
      <c r="E479">
        <v>1</v>
      </c>
      <c r="F479">
        <v>22</v>
      </c>
      <c r="G479" t="b">
        <v>0</v>
      </c>
      <c r="H479">
        <v>5</v>
      </c>
      <c r="I479">
        <v>1</v>
      </c>
      <c r="J479">
        <v>0.06</v>
      </c>
    </row>
    <row r="480" spans="1:10">
      <c r="A480">
        <v>479</v>
      </c>
      <c r="B480" s="1">
        <v>40564</v>
      </c>
      <c r="C480">
        <v>1</v>
      </c>
      <c r="D480">
        <v>0</v>
      </c>
      <c r="E480">
        <v>1</v>
      </c>
      <c r="F480">
        <v>23</v>
      </c>
      <c r="G480" t="b">
        <v>0</v>
      </c>
      <c r="H480">
        <v>5</v>
      </c>
      <c r="I480">
        <v>1</v>
      </c>
      <c r="J480">
        <v>0.06</v>
      </c>
    </row>
    <row r="481" spans="1:10">
      <c r="A481">
        <v>480</v>
      </c>
      <c r="B481" s="1">
        <v>40565</v>
      </c>
      <c r="C481">
        <v>1</v>
      </c>
      <c r="D481">
        <v>0</v>
      </c>
      <c r="E481">
        <v>1</v>
      </c>
      <c r="F481">
        <v>0</v>
      </c>
      <c r="G481" t="b">
        <v>0</v>
      </c>
      <c r="H481">
        <v>6</v>
      </c>
      <c r="I481">
        <v>1</v>
      </c>
      <c r="J481">
        <v>0.04</v>
      </c>
    </row>
    <row r="482" spans="1:10">
      <c r="A482">
        <v>481</v>
      </c>
      <c r="B482" s="1">
        <v>40565</v>
      </c>
      <c r="C482">
        <v>1</v>
      </c>
      <c r="D482">
        <v>0</v>
      </c>
      <c r="E482">
        <v>1</v>
      </c>
      <c r="F482">
        <v>1</v>
      </c>
      <c r="G482" t="b">
        <v>0</v>
      </c>
      <c r="H482">
        <v>6</v>
      </c>
      <c r="I482">
        <v>2</v>
      </c>
      <c r="J482">
        <v>0.04</v>
      </c>
    </row>
    <row r="483" spans="1:10">
      <c r="A483">
        <v>482</v>
      </c>
      <c r="B483" s="1">
        <v>40565</v>
      </c>
      <c r="C483">
        <v>1</v>
      </c>
      <c r="D483">
        <v>0</v>
      </c>
      <c r="E483">
        <v>1</v>
      </c>
      <c r="F483">
        <v>2</v>
      </c>
      <c r="G483" t="b">
        <v>0</v>
      </c>
      <c r="H483">
        <v>6</v>
      </c>
      <c r="I483">
        <v>2</v>
      </c>
      <c r="J483">
        <v>0.04</v>
      </c>
    </row>
    <row r="484" spans="1:10">
      <c r="A484">
        <v>483</v>
      </c>
      <c r="B484" s="1">
        <v>40565</v>
      </c>
      <c r="C484">
        <v>1</v>
      </c>
      <c r="D484">
        <v>0</v>
      </c>
      <c r="E484">
        <v>1</v>
      </c>
      <c r="F484">
        <v>3</v>
      </c>
      <c r="G484" t="b">
        <v>0</v>
      </c>
      <c r="H484">
        <v>6</v>
      </c>
      <c r="I484">
        <v>2</v>
      </c>
      <c r="J484">
        <v>0.04</v>
      </c>
    </row>
    <row r="485" spans="1:10">
      <c r="A485">
        <v>484</v>
      </c>
      <c r="B485" s="1">
        <v>40565</v>
      </c>
      <c r="C485">
        <v>1</v>
      </c>
      <c r="D485">
        <v>0</v>
      </c>
      <c r="E485">
        <v>1</v>
      </c>
      <c r="F485">
        <v>4</v>
      </c>
      <c r="G485" t="b">
        <v>0</v>
      </c>
      <c r="H485">
        <v>6</v>
      </c>
      <c r="I485">
        <v>2</v>
      </c>
      <c r="J485">
        <v>0.02</v>
      </c>
    </row>
    <row r="486" spans="1:10">
      <c r="A486">
        <v>485</v>
      </c>
      <c r="B486" s="1">
        <v>40565</v>
      </c>
      <c r="C486">
        <v>1</v>
      </c>
      <c r="D486">
        <v>0</v>
      </c>
      <c r="E486">
        <v>1</v>
      </c>
      <c r="F486">
        <v>6</v>
      </c>
      <c r="G486" t="b">
        <v>0</v>
      </c>
      <c r="H486">
        <v>6</v>
      </c>
      <c r="I486">
        <v>2</v>
      </c>
      <c r="J486">
        <v>0.02</v>
      </c>
    </row>
    <row r="487" spans="1:10">
      <c r="A487">
        <v>486</v>
      </c>
      <c r="B487" s="1">
        <v>40565</v>
      </c>
      <c r="C487">
        <v>1</v>
      </c>
      <c r="D487">
        <v>0</v>
      </c>
      <c r="E487">
        <v>1</v>
      </c>
      <c r="F487">
        <v>7</v>
      </c>
      <c r="G487" t="b">
        <v>0</v>
      </c>
      <c r="H487">
        <v>6</v>
      </c>
      <c r="I487">
        <v>1</v>
      </c>
      <c r="J487">
        <v>0.02</v>
      </c>
    </row>
    <row r="488" spans="1:10">
      <c r="A488">
        <v>487</v>
      </c>
      <c r="B488" s="1">
        <v>40565</v>
      </c>
      <c r="C488">
        <v>1</v>
      </c>
      <c r="D488">
        <v>0</v>
      </c>
      <c r="E488">
        <v>1</v>
      </c>
      <c r="F488">
        <v>8</v>
      </c>
      <c r="G488" t="b">
        <v>0</v>
      </c>
      <c r="H488">
        <v>6</v>
      </c>
      <c r="I488">
        <v>1</v>
      </c>
      <c r="J488">
        <v>0.02</v>
      </c>
    </row>
    <row r="489" spans="1:10">
      <c r="A489">
        <v>488</v>
      </c>
      <c r="B489" s="1">
        <v>40565</v>
      </c>
      <c r="C489">
        <v>1</v>
      </c>
      <c r="D489">
        <v>0</v>
      </c>
      <c r="E489">
        <v>1</v>
      </c>
      <c r="F489">
        <v>9</v>
      </c>
      <c r="G489" t="b">
        <v>0</v>
      </c>
      <c r="H489">
        <v>6</v>
      </c>
      <c r="I489">
        <v>1</v>
      </c>
      <c r="J489">
        <v>0.04</v>
      </c>
    </row>
    <row r="490" spans="1:10">
      <c r="A490">
        <v>489</v>
      </c>
      <c r="B490" s="1">
        <v>40565</v>
      </c>
      <c r="C490">
        <v>1</v>
      </c>
      <c r="D490">
        <v>0</v>
      </c>
      <c r="E490">
        <v>1</v>
      </c>
      <c r="F490">
        <v>10</v>
      </c>
      <c r="G490" t="b">
        <v>0</v>
      </c>
      <c r="H490">
        <v>6</v>
      </c>
      <c r="I490">
        <v>2</v>
      </c>
      <c r="J490">
        <v>0.04</v>
      </c>
    </row>
    <row r="491" spans="1:10">
      <c r="A491">
        <v>490</v>
      </c>
      <c r="B491" s="1">
        <v>40565</v>
      </c>
      <c r="C491">
        <v>1</v>
      </c>
      <c r="D491">
        <v>0</v>
      </c>
      <c r="E491">
        <v>1</v>
      </c>
      <c r="F491">
        <v>11</v>
      </c>
      <c r="G491" t="b">
        <v>0</v>
      </c>
      <c r="H491">
        <v>6</v>
      </c>
      <c r="I491">
        <v>2</v>
      </c>
      <c r="J491">
        <v>0.06</v>
      </c>
    </row>
    <row r="492" spans="1:10">
      <c r="A492">
        <v>491</v>
      </c>
      <c r="B492" s="1">
        <v>40565</v>
      </c>
      <c r="C492">
        <v>1</v>
      </c>
      <c r="D492">
        <v>0</v>
      </c>
      <c r="E492">
        <v>1</v>
      </c>
      <c r="F492">
        <v>12</v>
      </c>
      <c r="G492" t="b">
        <v>0</v>
      </c>
      <c r="H492">
        <v>6</v>
      </c>
      <c r="I492">
        <v>2</v>
      </c>
      <c r="J492">
        <v>0.06</v>
      </c>
    </row>
    <row r="493" spans="1:10">
      <c r="A493">
        <v>492</v>
      </c>
      <c r="B493" s="1">
        <v>40565</v>
      </c>
      <c r="C493">
        <v>1</v>
      </c>
      <c r="D493">
        <v>0</v>
      </c>
      <c r="E493">
        <v>1</v>
      </c>
      <c r="F493">
        <v>13</v>
      </c>
      <c r="G493" t="b">
        <v>0</v>
      </c>
      <c r="H493">
        <v>6</v>
      </c>
      <c r="I493">
        <v>1</v>
      </c>
      <c r="J493">
        <v>0.08</v>
      </c>
    </row>
    <row r="494" spans="1:10">
      <c r="A494">
        <v>493</v>
      </c>
      <c r="B494" s="1">
        <v>40565</v>
      </c>
      <c r="C494">
        <v>1</v>
      </c>
      <c r="D494">
        <v>0</v>
      </c>
      <c r="E494">
        <v>1</v>
      </c>
      <c r="F494">
        <v>14</v>
      </c>
      <c r="G494" t="b">
        <v>0</v>
      </c>
      <c r="H494">
        <v>6</v>
      </c>
      <c r="I494">
        <v>1</v>
      </c>
      <c r="J494">
        <v>0.1</v>
      </c>
    </row>
    <row r="495" spans="1:10">
      <c r="A495">
        <v>494</v>
      </c>
      <c r="B495" s="1">
        <v>40565</v>
      </c>
      <c r="C495">
        <v>1</v>
      </c>
      <c r="D495">
        <v>0</v>
      </c>
      <c r="E495">
        <v>1</v>
      </c>
      <c r="F495">
        <v>15</v>
      </c>
      <c r="G495" t="b">
        <v>0</v>
      </c>
      <c r="H495">
        <v>6</v>
      </c>
      <c r="I495">
        <v>1</v>
      </c>
      <c r="J495">
        <v>0.12</v>
      </c>
    </row>
    <row r="496" spans="1:10">
      <c r="A496">
        <v>495</v>
      </c>
      <c r="B496" s="1">
        <v>40565</v>
      </c>
      <c r="C496">
        <v>1</v>
      </c>
      <c r="D496">
        <v>0</v>
      </c>
      <c r="E496">
        <v>1</v>
      </c>
      <c r="F496">
        <v>16</v>
      </c>
      <c r="G496" t="b">
        <v>0</v>
      </c>
      <c r="H496">
        <v>6</v>
      </c>
      <c r="I496">
        <v>1</v>
      </c>
      <c r="J496">
        <v>0.12</v>
      </c>
    </row>
    <row r="497" spans="1:10">
      <c r="A497">
        <v>496</v>
      </c>
      <c r="B497" s="1">
        <v>40565</v>
      </c>
      <c r="C497">
        <v>1</v>
      </c>
      <c r="D497">
        <v>0</v>
      </c>
      <c r="E497">
        <v>1</v>
      </c>
      <c r="F497">
        <v>17</v>
      </c>
      <c r="G497" t="b">
        <v>0</v>
      </c>
      <c r="H497">
        <v>6</v>
      </c>
      <c r="I497">
        <v>1</v>
      </c>
      <c r="J497">
        <v>0.12</v>
      </c>
    </row>
    <row r="498" spans="1:10">
      <c r="A498">
        <v>497</v>
      </c>
      <c r="B498" s="1">
        <v>40565</v>
      </c>
      <c r="C498">
        <v>1</v>
      </c>
      <c r="D498">
        <v>0</v>
      </c>
      <c r="E498">
        <v>1</v>
      </c>
      <c r="F498">
        <v>18</v>
      </c>
      <c r="G498" t="b">
        <v>0</v>
      </c>
      <c r="H498">
        <v>6</v>
      </c>
      <c r="I498">
        <v>1</v>
      </c>
      <c r="J498">
        <v>0.08</v>
      </c>
    </row>
    <row r="499" spans="1:10">
      <c r="A499">
        <v>498</v>
      </c>
      <c r="B499" s="1">
        <v>40565</v>
      </c>
      <c r="C499">
        <v>1</v>
      </c>
      <c r="D499">
        <v>0</v>
      </c>
      <c r="E499">
        <v>1</v>
      </c>
      <c r="F499">
        <v>19</v>
      </c>
      <c r="G499" t="b">
        <v>0</v>
      </c>
      <c r="H499">
        <v>6</v>
      </c>
      <c r="I499">
        <v>1</v>
      </c>
      <c r="J499">
        <v>0.08</v>
      </c>
    </row>
    <row r="500" spans="1:10">
      <c r="A500">
        <v>499</v>
      </c>
      <c r="B500" s="1">
        <v>40565</v>
      </c>
      <c r="C500">
        <v>1</v>
      </c>
      <c r="D500">
        <v>0</v>
      </c>
      <c r="E500">
        <v>1</v>
      </c>
      <c r="F500">
        <v>20</v>
      </c>
      <c r="G500" t="b">
        <v>0</v>
      </c>
      <c r="H500">
        <v>6</v>
      </c>
      <c r="I500">
        <v>1</v>
      </c>
      <c r="J500">
        <v>0.06</v>
      </c>
    </row>
    <row r="501" spans="1:10">
      <c r="A501">
        <v>500</v>
      </c>
      <c r="B501" s="1">
        <v>40565</v>
      </c>
      <c r="C501">
        <v>1</v>
      </c>
      <c r="D501">
        <v>0</v>
      </c>
      <c r="E501">
        <v>1</v>
      </c>
      <c r="F501">
        <v>21</v>
      </c>
      <c r="G501" t="b">
        <v>0</v>
      </c>
      <c r="H501">
        <v>6</v>
      </c>
      <c r="I501">
        <v>1</v>
      </c>
      <c r="J501">
        <v>0.06</v>
      </c>
    </row>
    <row r="502" spans="1:10">
      <c r="A502">
        <v>501</v>
      </c>
      <c r="B502" s="1">
        <v>40565</v>
      </c>
      <c r="C502">
        <v>1</v>
      </c>
      <c r="D502">
        <v>0</v>
      </c>
      <c r="E502">
        <v>1</v>
      </c>
      <c r="F502">
        <v>22</v>
      </c>
      <c r="G502" t="b">
        <v>0</v>
      </c>
      <c r="H502">
        <v>6</v>
      </c>
      <c r="I502">
        <v>1</v>
      </c>
      <c r="J502">
        <v>0.06</v>
      </c>
    </row>
    <row r="503" spans="1:10">
      <c r="A503">
        <v>502</v>
      </c>
      <c r="B503" s="1">
        <v>40565</v>
      </c>
      <c r="C503">
        <v>1</v>
      </c>
      <c r="D503">
        <v>0</v>
      </c>
      <c r="E503">
        <v>1</v>
      </c>
      <c r="F503">
        <v>23</v>
      </c>
      <c r="G503" t="b">
        <v>0</v>
      </c>
      <c r="H503">
        <v>6</v>
      </c>
      <c r="I503">
        <v>1</v>
      </c>
      <c r="J503">
        <v>0.04</v>
      </c>
    </row>
    <row r="504" spans="1:10">
      <c r="A504">
        <v>503</v>
      </c>
      <c r="B504" s="1">
        <v>40566</v>
      </c>
      <c r="C504">
        <v>1</v>
      </c>
      <c r="D504">
        <v>0</v>
      </c>
      <c r="E504">
        <v>1</v>
      </c>
      <c r="F504">
        <v>0</v>
      </c>
      <c r="G504" t="b">
        <v>0</v>
      </c>
      <c r="H504">
        <v>0</v>
      </c>
      <c r="I504">
        <v>1</v>
      </c>
      <c r="J504">
        <v>0.04</v>
      </c>
    </row>
    <row r="505" spans="1:10">
      <c r="A505">
        <v>504</v>
      </c>
      <c r="B505" s="1">
        <v>40566</v>
      </c>
      <c r="C505">
        <v>1</v>
      </c>
      <c r="D505">
        <v>0</v>
      </c>
      <c r="E505">
        <v>1</v>
      </c>
      <c r="F505">
        <v>1</v>
      </c>
      <c r="G505" t="b">
        <v>0</v>
      </c>
      <c r="H505">
        <v>0</v>
      </c>
      <c r="I505">
        <v>1</v>
      </c>
      <c r="J505">
        <v>0.04</v>
      </c>
    </row>
    <row r="506" spans="1:10">
      <c r="A506">
        <v>505</v>
      </c>
      <c r="B506" s="1">
        <v>40566</v>
      </c>
      <c r="C506">
        <v>1</v>
      </c>
      <c r="D506">
        <v>0</v>
      </c>
      <c r="E506">
        <v>1</v>
      </c>
      <c r="F506">
        <v>2</v>
      </c>
      <c r="G506" t="b">
        <v>0</v>
      </c>
      <c r="H506">
        <v>0</v>
      </c>
      <c r="I506">
        <v>1</v>
      </c>
      <c r="J506">
        <v>0.02</v>
      </c>
    </row>
    <row r="507" spans="1:10">
      <c r="A507">
        <v>506</v>
      </c>
      <c r="B507" s="1">
        <v>40566</v>
      </c>
      <c r="C507">
        <v>1</v>
      </c>
      <c r="D507">
        <v>0</v>
      </c>
      <c r="E507">
        <v>1</v>
      </c>
      <c r="F507">
        <v>3</v>
      </c>
      <c r="G507" t="b">
        <v>0</v>
      </c>
      <c r="H507">
        <v>0</v>
      </c>
      <c r="I507">
        <v>1</v>
      </c>
      <c r="J507">
        <v>0.02</v>
      </c>
    </row>
    <row r="508" spans="1:10">
      <c r="A508">
        <v>507</v>
      </c>
      <c r="B508" s="1">
        <v>40566</v>
      </c>
      <c r="C508">
        <v>1</v>
      </c>
      <c r="D508">
        <v>0</v>
      </c>
      <c r="E508">
        <v>1</v>
      </c>
      <c r="F508">
        <v>5</v>
      </c>
      <c r="G508" t="b">
        <v>0</v>
      </c>
      <c r="H508">
        <v>0</v>
      </c>
      <c r="I508">
        <v>2</v>
      </c>
      <c r="J508">
        <v>0.04</v>
      </c>
    </row>
    <row r="509" spans="1:10">
      <c r="A509">
        <v>508</v>
      </c>
      <c r="B509" s="1">
        <v>40566</v>
      </c>
      <c r="C509">
        <v>1</v>
      </c>
      <c r="D509">
        <v>0</v>
      </c>
      <c r="E509">
        <v>1</v>
      </c>
      <c r="F509">
        <v>6</v>
      </c>
      <c r="G509" t="b">
        <v>0</v>
      </c>
      <c r="H509">
        <v>0</v>
      </c>
      <c r="I509">
        <v>2</v>
      </c>
      <c r="J509">
        <v>0.04</v>
      </c>
    </row>
    <row r="510" spans="1:10">
      <c r="A510">
        <v>509</v>
      </c>
      <c r="B510" s="1">
        <v>40566</v>
      </c>
      <c r="C510">
        <v>1</v>
      </c>
      <c r="D510">
        <v>0</v>
      </c>
      <c r="E510">
        <v>1</v>
      </c>
      <c r="F510">
        <v>7</v>
      </c>
      <c r="G510" t="b">
        <v>0</v>
      </c>
      <c r="H510">
        <v>0</v>
      </c>
      <c r="I510">
        <v>1</v>
      </c>
      <c r="J510">
        <v>0.08</v>
      </c>
    </row>
    <row r="511" spans="1:10">
      <c r="A511">
        <v>510</v>
      </c>
      <c r="B511" s="1">
        <v>40566</v>
      </c>
      <c r="C511">
        <v>1</v>
      </c>
      <c r="D511">
        <v>0</v>
      </c>
      <c r="E511">
        <v>1</v>
      </c>
      <c r="F511">
        <v>8</v>
      </c>
      <c r="G511" t="b">
        <v>0</v>
      </c>
      <c r="H511">
        <v>0</v>
      </c>
      <c r="I511">
        <v>1</v>
      </c>
      <c r="J511">
        <v>0.06</v>
      </c>
    </row>
    <row r="512" spans="1:10">
      <c r="A512">
        <v>511</v>
      </c>
      <c r="B512" s="1">
        <v>40566</v>
      </c>
      <c r="C512">
        <v>1</v>
      </c>
      <c r="D512">
        <v>0</v>
      </c>
      <c r="E512">
        <v>1</v>
      </c>
      <c r="F512">
        <v>9</v>
      </c>
      <c r="G512" t="b">
        <v>0</v>
      </c>
      <c r="H512">
        <v>0</v>
      </c>
      <c r="I512">
        <v>1</v>
      </c>
      <c r="J512">
        <v>0.1</v>
      </c>
    </row>
    <row r="513" spans="1:10">
      <c r="A513">
        <v>512</v>
      </c>
      <c r="B513" s="1">
        <v>40566</v>
      </c>
      <c r="C513">
        <v>1</v>
      </c>
      <c r="D513">
        <v>0</v>
      </c>
      <c r="E513">
        <v>1</v>
      </c>
      <c r="F513">
        <v>10</v>
      </c>
      <c r="G513" t="b">
        <v>0</v>
      </c>
      <c r="H513">
        <v>0</v>
      </c>
      <c r="I513">
        <v>1</v>
      </c>
      <c r="J513">
        <v>0.14000000000000001</v>
      </c>
    </row>
    <row r="514" spans="1:10">
      <c r="A514">
        <v>513</v>
      </c>
      <c r="B514" s="1">
        <v>40566</v>
      </c>
      <c r="C514">
        <v>1</v>
      </c>
      <c r="D514">
        <v>0</v>
      </c>
      <c r="E514">
        <v>1</v>
      </c>
      <c r="F514">
        <v>11</v>
      </c>
      <c r="G514" t="b">
        <v>0</v>
      </c>
      <c r="H514">
        <v>0</v>
      </c>
      <c r="I514">
        <v>1</v>
      </c>
      <c r="J514">
        <v>0.14000000000000001</v>
      </c>
    </row>
    <row r="515" spans="1:10">
      <c r="A515">
        <v>514</v>
      </c>
      <c r="B515" s="1">
        <v>40566</v>
      </c>
      <c r="C515">
        <v>1</v>
      </c>
      <c r="D515">
        <v>0</v>
      </c>
      <c r="E515">
        <v>1</v>
      </c>
      <c r="F515">
        <v>12</v>
      </c>
      <c r="G515" t="b">
        <v>0</v>
      </c>
      <c r="H515">
        <v>0</v>
      </c>
      <c r="I515">
        <v>1</v>
      </c>
      <c r="J515">
        <v>0.16</v>
      </c>
    </row>
    <row r="516" spans="1:10">
      <c r="A516">
        <v>515</v>
      </c>
      <c r="B516" s="1">
        <v>40566</v>
      </c>
      <c r="C516">
        <v>1</v>
      </c>
      <c r="D516">
        <v>0</v>
      </c>
      <c r="E516">
        <v>1</v>
      </c>
      <c r="F516">
        <v>13</v>
      </c>
      <c r="G516" t="b">
        <v>0</v>
      </c>
      <c r="H516">
        <v>0</v>
      </c>
      <c r="I516">
        <v>1</v>
      </c>
      <c r="J516">
        <v>0.14000000000000001</v>
      </c>
    </row>
    <row r="517" spans="1:10">
      <c r="A517">
        <v>516</v>
      </c>
      <c r="B517" s="1">
        <v>40566</v>
      </c>
      <c r="C517">
        <v>1</v>
      </c>
      <c r="D517">
        <v>0</v>
      </c>
      <c r="E517">
        <v>1</v>
      </c>
      <c r="F517">
        <v>14</v>
      </c>
      <c r="G517" t="b">
        <v>0</v>
      </c>
      <c r="H517">
        <v>0</v>
      </c>
      <c r="I517">
        <v>1</v>
      </c>
      <c r="J517">
        <v>0.16</v>
      </c>
    </row>
    <row r="518" spans="1:10">
      <c r="A518">
        <v>517</v>
      </c>
      <c r="B518" s="1">
        <v>40566</v>
      </c>
      <c r="C518">
        <v>1</v>
      </c>
      <c r="D518">
        <v>0</v>
      </c>
      <c r="E518">
        <v>1</v>
      </c>
      <c r="F518">
        <v>15</v>
      </c>
      <c r="G518" t="b">
        <v>0</v>
      </c>
      <c r="H518">
        <v>0</v>
      </c>
      <c r="I518">
        <v>1</v>
      </c>
      <c r="J518">
        <v>0.16</v>
      </c>
    </row>
    <row r="519" spans="1:10">
      <c r="A519">
        <v>518</v>
      </c>
      <c r="B519" s="1">
        <v>40566</v>
      </c>
      <c r="C519">
        <v>1</v>
      </c>
      <c r="D519">
        <v>0</v>
      </c>
      <c r="E519">
        <v>1</v>
      </c>
      <c r="F519">
        <v>16</v>
      </c>
      <c r="G519" t="b">
        <v>0</v>
      </c>
      <c r="H519">
        <v>0</v>
      </c>
      <c r="I519">
        <v>1</v>
      </c>
      <c r="J519">
        <v>0.16</v>
      </c>
    </row>
    <row r="520" spans="1:10">
      <c r="A520">
        <v>519</v>
      </c>
      <c r="B520" s="1">
        <v>40566</v>
      </c>
      <c r="C520">
        <v>1</v>
      </c>
      <c r="D520">
        <v>0</v>
      </c>
      <c r="E520">
        <v>1</v>
      </c>
      <c r="F520">
        <v>17</v>
      </c>
      <c r="G520" t="b">
        <v>0</v>
      </c>
      <c r="H520">
        <v>0</v>
      </c>
      <c r="I520">
        <v>1</v>
      </c>
      <c r="J520">
        <v>0.14000000000000001</v>
      </c>
    </row>
    <row r="521" spans="1:10">
      <c r="A521">
        <v>520</v>
      </c>
      <c r="B521" s="1">
        <v>40566</v>
      </c>
      <c r="C521">
        <v>1</v>
      </c>
      <c r="D521">
        <v>0</v>
      </c>
      <c r="E521">
        <v>1</v>
      </c>
      <c r="F521">
        <v>18</v>
      </c>
      <c r="G521" t="b">
        <v>0</v>
      </c>
      <c r="H521">
        <v>0</v>
      </c>
      <c r="I521">
        <v>1</v>
      </c>
      <c r="J521">
        <v>0.12</v>
      </c>
    </row>
    <row r="522" spans="1:10">
      <c r="A522">
        <v>521</v>
      </c>
      <c r="B522" s="1">
        <v>40566</v>
      </c>
      <c r="C522">
        <v>1</v>
      </c>
      <c r="D522">
        <v>0</v>
      </c>
      <c r="E522">
        <v>1</v>
      </c>
      <c r="F522">
        <v>19</v>
      </c>
      <c r="G522" t="b">
        <v>0</v>
      </c>
      <c r="H522">
        <v>0</v>
      </c>
      <c r="I522">
        <v>1</v>
      </c>
      <c r="J522">
        <v>0.12</v>
      </c>
    </row>
    <row r="523" spans="1:10">
      <c r="A523">
        <v>522</v>
      </c>
      <c r="B523" s="1">
        <v>40566</v>
      </c>
      <c r="C523">
        <v>1</v>
      </c>
      <c r="D523">
        <v>0</v>
      </c>
      <c r="E523">
        <v>1</v>
      </c>
      <c r="F523">
        <v>20</v>
      </c>
      <c r="G523" t="b">
        <v>0</v>
      </c>
      <c r="H523">
        <v>0</v>
      </c>
      <c r="I523">
        <v>1</v>
      </c>
      <c r="J523">
        <v>0.1</v>
      </c>
    </row>
    <row r="524" spans="1:10">
      <c r="A524">
        <v>523</v>
      </c>
      <c r="B524" s="1">
        <v>40566</v>
      </c>
      <c r="C524">
        <v>1</v>
      </c>
      <c r="D524">
        <v>0</v>
      </c>
      <c r="E524">
        <v>1</v>
      </c>
      <c r="F524">
        <v>21</v>
      </c>
      <c r="G524" t="b">
        <v>0</v>
      </c>
      <c r="H524">
        <v>0</v>
      </c>
      <c r="I524">
        <v>1</v>
      </c>
      <c r="J524">
        <v>0.1</v>
      </c>
    </row>
    <row r="525" spans="1:10">
      <c r="A525">
        <v>524</v>
      </c>
      <c r="B525" s="1">
        <v>40566</v>
      </c>
      <c r="C525">
        <v>1</v>
      </c>
      <c r="D525">
        <v>0</v>
      </c>
      <c r="E525">
        <v>1</v>
      </c>
      <c r="F525">
        <v>22</v>
      </c>
      <c r="G525" t="b">
        <v>0</v>
      </c>
      <c r="H525">
        <v>0</v>
      </c>
      <c r="I525">
        <v>1</v>
      </c>
      <c r="J525">
        <v>0.08</v>
      </c>
    </row>
    <row r="526" spans="1:10">
      <c r="A526">
        <v>525</v>
      </c>
      <c r="B526" s="1">
        <v>40566</v>
      </c>
      <c r="C526">
        <v>1</v>
      </c>
      <c r="D526">
        <v>0</v>
      </c>
      <c r="E526">
        <v>1</v>
      </c>
      <c r="F526">
        <v>23</v>
      </c>
      <c r="G526" t="b">
        <v>0</v>
      </c>
      <c r="H526">
        <v>0</v>
      </c>
      <c r="I526">
        <v>1</v>
      </c>
      <c r="J526">
        <v>0.06</v>
      </c>
    </row>
    <row r="527" spans="1:10">
      <c r="A527">
        <v>526</v>
      </c>
      <c r="B527" s="1">
        <v>40567</v>
      </c>
      <c r="C527">
        <v>1</v>
      </c>
      <c r="D527">
        <v>0</v>
      </c>
      <c r="E527">
        <v>1</v>
      </c>
      <c r="F527">
        <v>0</v>
      </c>
      <c r="G527" t="b">
        <v>0</v>
      </c>
      <c r="H527">
        <v>1</v>
      </c>
      <c r="I527">
        <v>1</v>
      </c>
      <c r="J527">
        <v>0.06</v>
      </c>
    </row>
    <row r="528" spans="1:10">
      <c r="A528">
        <v>527</v>
      </c>
      <c r="B528" s="1">
        <v>40567</v>
      </c>
      <c r="C528">
        <v>1</v>
      </c>
      <c r="D528">
        <v>0</v>
      </c>
      <c r="E528">
        <v>1</v>
      </c>
      <c r="F528">
        <v>1</v>
      </c>
      <c r="G528" t="b">
        <v>0</v>
      </c>
      <c r="H528">
        <v>1</v>
      </c>
      <c r="I528">
        <v>1</v>
      </c>
      <c r="J528">
        <v>0.04</v>
      </c>
    </row>
    <row r="529" spans="1:10">
      <c r="A529">
        <v>528</v>
      </c>
      <c r="B529" s="1">
        <v>40567</v>
      </c>
      <c r="C529">
        <v>1</v>
      </c>
      <c r="D529">
        <v>0</v>
      </c>
      <c r="E529">
        <v>1</v>
      </c>
      <c r="F529">
        <v>3</v>
      </c>
      <c r="G529" t="b">
        <v>0</v>
      </c>
      <c r="H529">
        <v>1</v>
      </c>
      <c r="I529">
        <v>1</v>
      </c>
      <c r="J529">
        <v>0.04</v>
      </c>
    </row>
    <row r="530" spans="1:10">
      <c r="A530">
        <v>529</v>
      </c>
      <c r="B530" s="1">
        <v>40567</v>
      </c>
      <c r="C530">
        <v>1</v>
      </c>
      <c r="D530">
        <v>0</v>
      </c>
      <c r="E530">
        <v>1</v>
      </c>
      <c r="F530">
        <v>4</v>
      </c>
      <c r="G530" t="b">
        <v>0</v>
      </c>
      <c r="H530">
        <v>1</v>
      </c>
      <c r="I530">
        <v>1</v>
      </c>
      <c r="J530">
        <v>0.02</v>
      </c>
    </row>
    <row r="531" spans="1:10">
      <c r="A531">
        <v>530</v>
      </c>
      <c r="B531" s="1">
        <v>40567</v>
      </c>
      <c r="C531">
        <v>1</v>
      </c>
      <c r="D531">
        <v>0</v>
      </c>
      <c r="E531">
        <v>1</v>
      </c>
      <c r="F531">
        <v>5</v>
      </c>
      <c r="G531" t="b">
        <v>0</v>
      </c>
      <c r="H531">
        <v>1</v>
      </c>
      <c r="I531">
        <v>1</v>
      </c>
      <c r="J531">
        <v>0.02</v>
      </c>
    </row>
    <row r="532" spans="1:10">
      <c r="A532">
        <v>531</v>
      </c>
      <c r="B532" s="1">
        <v>40567</v>
      </c>
      <c r="C532">
        <v>1</v>
      </c>
      <c r="D532">
        <v>0</v>
      </c>
      <c r="E532">
        <v>1</v>
      </c>
      <c r="F532">
        <v>6</v>
      </c>
      <c r="G532" t="b">
        <v>0</v>
      </c>
      <c r="H532">
        <v>1</v>
      </c>
      <c r="I532">
        <v>1</v>
      </c>
      <c r="J532">
        <v>0.02</v>
      </c>
    </row>
    <row r="533" spans="1:10">
      <c r="A533">
        <v>532</v>
      </c>
      <c r="B533" s="1">
        <v>40567</v>
      </c>
      <c r="C533">
        <v>1</v>
      </c>
      <c r="D533">
        <v>0</v>
      </c>
      <c r="E533">
        <v>1</v>
      </c>
      <c r="F533">
        <v>7</v>
      </c>
      <c r="G533" t="b">
        <v>0</v>
      </c>
      <c r="H533">
        <v>1</v>
      </c>
      <c r="I533">
        <v>1</v>
      </c>
      <c r="J533">
        <v>0.02</v>
      </c>
    </row>
    <row r="534" spans="1:10">
      <c r="A534">
        <v>533</v>
      </c>
      <c r="B534" s="1">
        <v>40567</v>
      </c>
      <c r="C534">
        <v>1</v>
      </c>
      <c r="D534">
        <v>0</v>
      </c>
      <c r="E534">
        <v>1</v>
      </c>
      <c r="F534">
        <v>8</v>
      </c>
      <c r="G534" t="b">
        <v>0</v>
      </c>
      <c r="H534">
        <v>1</v>
      </c>
      <c r="I534">
        <v>1</v>
      </c>
      <c r="J534">
        <v>0.04</v>
      </c>
    </row>
    <row r="535" spans="1:10">
      <c r="A535">
        <v>534</v>
      </c>
      <c r="B535" s="1">
        <v>40567</v>
      </c>
      <c r="C535">
        <v>1</v>
      </c>
      <c r="D535">
        <v>0</v>
      </c>
      <c r="E535">
        <v>1</v>
      </c>
      <c r="F535">
        <v>9</v>
      </c>
      <c r="G535" t="b">
        <v>0</v>
      </c>
      <c r="H535">
        <v>1</v>
      </c>
      <c r="I535">
        <v>1</v>
      </c>
      <c r="J535">
        <v>0.06</v>
      </c>
    </row>
    <row r="536" spans="1:10">
      <c r="A536">
        <v>535</v>
      </c>
      <c r="B536" s="1">
        <v>40567</v>
      </c>
      <c r="C536">
        <v>1</v>
      </c>
      <c r="D536">
        <v>0</v>
      </c>
      <c r="E536">
        <v>1</v>
      </c>
      <c r="F536">
        <v>10</v>
      </c>
      <c r="G536" t="b">
        <v>0</v>
      </c>
      <c r="H536">
        <v>1</v>
      </c>
      <c r="I536">
        <v>1</v>
      </c>
      <c r="J536">
        <v>0.1</v>
      </c>
    </row>
    <row r="537" spans="1:10">
      <c r="A537">
        <v>536</v>
      </c>
      <c r="B537" s="1">
        <v>40567</v>
      </c>
      <c r="C537">
        <v>1</v>
      </c>
      <c r="D537">
        <v>0</v>
      </c>
      <c r="E537">
        <v>1</v>
      </c>
      <c r="F537">
        <v>11</v>
      </c>
      <c r="G537" t="b">
        <v>0</v>
      </c>
      <c r="H537">
        <v>1</v>
      </c>
      <c r="I537">
        <v>1</v>
      </c>
      <c r="J537">
        <v>0.1</v>
      </c>
    </row>
    <row r="538" spans="1:10">
      <c r="A538">
        <v>537</v>
      </c>
      <c r="B538" s="1">
        <v>40567</v>
      </c>
      <c r="C538">
        <v>1</v>
      </c>
      <c r="D538">
        <v>0</v>
      </c>
      <c r="E538">
        <v>1</v>
      </c>
      <c r="F538">
        <v>12</v>
      </c>
      <c r="G538" t="b">
        <v>0</v>
      </c>
      <c r="H538">
        <v>1</v>
      </c>
      <c r="I538">
        <v>2</v>
      </c>
      <c r="J538">
        <v>0.12</v>
      </c>
    </row>
    <row r="539" spans="1:10">
      <c r="A539">
        <v>538</v>
      </c>
      <c r="B539" s="1">
        <v>40567</v>
      </c>
      <c r="C539">
        <v>1</v>
      </c>
      <c r="D539">
        <v>0</v>
      </c>
      <c r="E539">
        <v>1</v>
      </c>
      <c r="F539">
        <v>13</v>
      </c>
      <c r="G539" t="b">
        <v>0</v>
      </c>
      <c r="H539">
        <v>1</v>
      </c>
      <c r="I539">
        <v>2</v>
      </c>
      <c r="J539">
        <v>0.14000000000000001</v>
      </c>
    </row>
    <row r="540" spans="1:10">
      <c r="A540">
        <v>539</v>
      </c>
      <c r="B540" s="1">
        <v>40567</v>
      </c>
      <c r="C540">
        <v>1</v>
      </c>
      <c r="D540">
        <v>0</v>
      </c>
      <c r="E540">
        <v>1</v>
      </c>
      <c r="F540">
        <v>14</v>
      </c>
      <c r="G540" t="b">
        <v>0</v>
      </c>
      <c r="H540">
        <v>1</v>
      </c>
      <c r="I540">
        <v>2</v>
      </c>
      <c r="J540">
        <v>0.14000000000000001</v>
      </c>
    </row>
    <row r="541" spans="1:10">
      <c r="A541">
        <v>540</v>
      </c>
      <c r="B541" s="1">
        <v>40567</v>
      </c>
      <c r="C541">
        <v>1</v>
      </c>
      <c r="D541">
        <v>0</v>
      </c>
      <c r="E541">
        <v>1</v>
      </c>
      <c r="F541">
        <v>15</v>
      </c>
      <c r="G541" t="b">
        <v>0</v>
      </c>
      <c r="H541">
        <v>1</v>
      </c>
      <c r="I541">
        <v>1</v>
      </c>
      <c r="J541">
        <v>0.16</v>
      </c>
    </row>
    <row r="542" spans="1:10">
      <c r="A542">
        <v>541</v>
      </c>
      <c r="B542" s="1">
        <v>40567</v>
      </c>
      <c r="C542">
        <v>1</v>
      </c>
      <c r="D542">
        <v>0</v>
      </c>
      <c r="E542">
        <v>1</v>
      </c>
      <c r="F542">
        <v>16</v>
      </c>
      <c r="G542" t="b">
        <v>0</v>
      </c>
      <c r="H542">
        <v>1</v>
      </c>
      <c r="I542">
        <v>1</v>
      </c>
      <c r="J542">
        <v>0.16</v>
      </c>
    </row>
    <row r="543" spans="1:10">
      <c r="A543">
        <v>542</v>
      </c>
      <c r="B543" s="1">
        <v>40567</v>
      </c>
      <c r="C543">
        <v>1</v>
      </c>
      <c r="D543">
        <v>0</v>
      </c>
      <c r="E543">
        <v>1</v>
      </c>
      <c r="F543">
        <v>17</v>
      </c>
      <c r="G543" t="b">
        <v>0</v>
      </c>
      <c r="H543">
        <v>1</v>
      </c>
      <c r="I543">
        <v>1</v>
      </c>
      <c r="J543">
        <v>0.14000000000000001</v>
      </c>
    </row>
    <row r="544" spans="1:10">
      <c r="A544">
        <v>543</v>
      </c>
      <c r="B544" s="1">
        <v>40567</v>
      </c>
      <c r="C544">
        <v>1</v>
      </c>
      <c r="D544">
        <v>0</v>
      </c>
      <c r="E544">
        <v>1</v>
      </c>
      <c r="F544">
        <v>18</v>
      </c>
      <c r="G544" t="b">
        <v>0</v>
      </c>
      <c r="H544">
        <v>1</v>
      </c>
      <c r="I544">
        <v>1</v>
      </c>
      <c r="J544">
        <v>0.14000000000000001</v>
      </c>
    </row>
    <row r="545" spans="1:10">
      <c r="A545">
        <v>544</v>
      </c>
      <c r="B545" s="1">
        <v>40567</v>
      </c>
      <c r="C545">
        <v>1</v>
      </c>
      <c r="D545">
        <v>0</v>
      </c>
      <c r="E545">
        <v>1</v>
      </c>
      <c r="F545">
        <v>19</v>
      </c>
      <c r="G545" t="b">
        <v>0</v>
      </c>
      <c r="H545">
        <v>1</v>
      </c>
      <c r="I545">
        <v>1</v>
      </c>
      <c r="J545">
        <v>0.14000000000000001</v>
      </c>
    </row>
    <row r="546" spans="1:10">
      <c r="A546">
        <v>545</v>
      </c>
      <c r="B546" s="1">
        <v>40567</v>
      </c>
      <c r="C546">
        <v>1</v>
      </c>
      <c r="D546">
        <v>0</v>
      </c>
      <c r="E546">
        <v>1</v>
      </c>
      <c r="F546">
        <v>20</v>
      </c>
      <c r="G546" t="b">
        <v>0</v>
      </c>
      <c r="H546">
        <v>1</v>
      </c>
      <c r="I546">
        <v>1</v>
      </c>
      <c r="J546">
        <v>0.14000000000000001</v>
      </c>
    </row>
    <row r="547" spans="1:10">
      <c r="A547">
        <v>546</v>
      </c>
      <c r="B547" s="1">
        <v>40567</v>
      </c>
      <c r="C547">
        <v>1</v>
      </c>
      <c r="D547">
        <v>0</v>
      </c>
      <c r="E547">
        <v>1</v>
      </c>
      <c r="F547">
        <v>21</v>
      </c>
      <c r="G547" t="b">
        <v>0</v>
      </c>
      <c r="H547">
        <v>1</v>
      </c>
      <c r="I547">
        <v>1</v>
      </c>
      <c r="J547">
        <v>0.14000000000000001</v>
      </c>
    </row>
    <row r="548" spans="1:10">
      <c r="A548">
        <v>547</v>
      </c>
      <c r="B548" s="1">
        <v>40567</v>
      </c>
      <c r="C548">
        <v>1</v>
      </c>
      <c r="D548">
        <v>0</v>
      </c>
      <c r="E548">
        <v>1</v>
      </c>
      <c r="F548">
        <v>22</v>
      </c>
      <c r="G548" t="b">
        <v>0</v>
      </c>
      <c r="H548">
        <v>1</v>
      </c>
      <c r="I548">
        <v>2</v>
      </c>
      <c r="J548">
        <v>0.14000000000000001</v>
      </c>
    </row>
    <row r="549" spans="1:10">
      <c r="A549">
        <v>548</v>
      </c>
      <c r="B549" s="1">
        <v>40567</v>
      </c>
      <c r="C549">
        <v>1</v>
      </c>
      <c r="D549">
        <v>0</v>
      </c>
      <c r="E549">
        <v>1</v>
      </c>
      <c r="F549">
        <v>23</v>
      </c>
      <c r="G549" t="b">
        <v>0</v>
      </c>
      <c r="H549">
        <v>1</v>
      </c>
      <c r="I549">
        <v>2</v>
      </c>
      <c r="J549">
        <v>0.16</v>
      </c>
    </row>
    <row r="550" spans="1:10">
      <c r="A550">
        <v>549</v>
      </c>
      <c r="B550" s="1">
        <v>40568</v>
      </c>
      <c r="C550">
        <v>1</v>
      </c>
      <c r="D550">
        <v>0</v>
      </c>
      <c r="E550">
        <v>1</v>
      </c>
      <c r="F550">
        <v>0</v>
      </c>
      <c r="G550" t="b">
        <v>0</v>
      </c>
      <c r="H550">
        <v>2</v>
      </c>
      <c r="I550">
        <v>2</v>
      </c>
      <c r="J550">
        <v>0.16</v>
      </c>
    </row>
    <row r="551" spans="1:10">
      <c r="A551">
        <v>550</v>
      </c>
      <c r="B551" s="1">
        <v>40568</v>
      </c>
      <c r="C551">
        <v>1</v>
      </c>
      <c r="D551">
        <v>0</v>
      </c>
      <c r="E551">
        <v>1</v>
      </c>
      <c r="F551">
        <v>1</v>
      </c>
      <c r="G551" t="b">
        <v>0</v>
      </c>
      <c r="H551">
        <v>2</v>
      </c>
      <c r="I551">
        <v>2</v>
      </c>
      <c r="J551">
        <v>0.16</v>
      </c>
    </row>
    <row r="552" spans="1:10">
      <c r="A552">
        <v>551</v>
      </c>
      <c r="B552" s="1">
        <v>40568</v>
      </c>
      <c r="C552">
        <v>1</v>
      </c>
      <c r="D552">
        <v>0</v>
      </c>
      <c r="E552">
        <v>1</v>
      </c>
      <c r="F552">
        <v>2</v>
      </c>
      <c r="G552" t="b">
        <v>0</v>
      </c>
      <c r="H552">
        <v>2</v>
      </c>
      <c r="I552">
        <v>1</v>
      </c>
      <c r="J552">
        <v>0.16</v>
      </c>
    </row>
    <row r="553" spans="1:10">
      <c r="A553">
        <v>552</v>
      </c>
      <c r="B553" s="1">
        <v>40568</v>
      </c>
      <c r="C553">
        <v>1</v>
      </c>
      <c r="D553">
        <v>0</v>
      </c>
      <c r="E553">
        <v>1</v>
      </c>
      <c r="F553">
        <v>4</v>
      </c>
      <c r="G553" t="b">
        <v>0</v>
      </c>
      <c r="H553">
        <v>2</v>
      </c>
      <c r="I553">
        <v>1</v>
      </c>
      <c r="J553">
        <v>0.14000000000000001</v>
      </c>
    </row>
    <row r="554" spans="1:10">
      <c r="A554">
        <v>553</v>
      </c>
      <c r="B554" s="1">
        <v>40568</v>
      </c>
      <c r="C554">
        <v>1</v>
      </c>
      <c r="D554">
        <v>0</v>
      </c>
      <c r="E554">
        <v>1</v>
      </c>
      <c r="F554">
        <v>5</v>
      </c>
      <c r="G554" t="b">
        <v>0</v>
      </c>
      <c r="H554">
        <v>2</v>
      </c>
      <c r="I554">
        <v>1</v>
      </c>
      <c r="J554">
        <v>0.14000000000000001</v>
      </c>
    </row>
    <row r="555" spans="1:10">
      <c r="A555">
        <v>554</v>
      </c>
      <c r="B555" s="1">
        <v>40568</v>
      </c>
      <c r="C555">
        <v>1</v>
      </c>
      <c r="D555">
        <v>0</v>
      </c>
      <c r="E555">
        <v>1</v>
      </c>
      <c r="F555">
        <v>6</v>
      </c>
      <c r="G555" t="b">
        <v>0</v>
      </c>
      <c r="H555">
        <v>2</v>
      </c>
      <c r="I555">
        <v>1</v>
      </c>
      <c r="J555">
        <v>0.16</v>
      </c>
    </row>
    <row r="556" spans="1:10">
      <c r="A556">
        <v>555</v>
      </c>
      <c r="B556" s="1">
        <v>40568</v>
      </c>
      <c r="C556">
        <v>1</v>
      </c>
      <c r="D556">
        <v>0</v>
      </c>
      <c r="E556">
        <v>1</v>
      </c>
      <c r="F556">
        <v>7</v>
      </c>
      <c r="G556" t="b">
        <v>0</v>
      </c>
      <c r="H556">
        <v>2</v>
      </c>
      <c r="I556">
        <v>1</v>
      </c>
      <c r="J556">
        <v>0.16</v>
      </c>
    </row>
    <row r="557" spans="1:10">
      <c r="A557">
        <v>556</v>
      </c>
      <c r="B557" s="1">
        <v>40568</v>
      </c>
      <c r="C557">
        <v>1</v>
      </c>
      <c r="D557">
        <v>0</v>
      </c>
      <c r="E557">
        <v>1</v>
      </c>
      <c r="F557">
        <v>8</v>
      </c>
      <c r="G557" t="b">
        <v>0</v>
      </c>
      <c r="H557">
        <v>2</v>
      </c>
      <c r="I557">
        <v>2</v>
      </c>
      <c r="J557">
        <v>0.16</v>
      </c>
    </row>
    <row r="558" spans="1:10">
      <c r="A558">
        <v>557</v>
      </c>
      <c r="B558" s="1">
        <v>40568</v>
      </c>
      <c r="C558">
        <v>1</v>
      </c>
      <c r="D558">
        <v>0</v>
      </c>
      <c r="E558">
        <v>1</v>
      </c>
      <c r="F558">
        <v>9</v>
      </c>
      <c r="G558" t="b">
        <v>0</v>
      </c>
      <c r="H558">
        <v>2</v>
      </c>
      <c r="I558">
        <v>2</v>
      </c>
      <c r="J558">
        <v>0.2</v>
      </c>
    </row>
    <row r="559" spans="1:10">
      <c r="A559">
        <v>558</v>
      </c>
      <c r="B559" s="1">
        <v>40568</v>
      </c>
      <c r="C559">
        <v>1</v>
      </c>
      <c r="D559">
        <v>0</v>
      </c>
      <c r="E559">
        <v>1</v>
      </c>
      <c r="F559">
        <v>10</v>
      </c>
      <c r="G559" t="b">
        <v>0</v>
      </c>
      <c r="H559">
        <v>2</v>
      </c>
      <c r="I559">
        <v>2</v>
      </c>
      <c r="J559">
        <v>0.22</v>
      </c>
    </row>
    <row r="560" spans="1:10">
      <c r="A560">
        <v>559</v>
      </c>
      <c r="B560" s="1">
        <v>40568</v>
      </c>
      <c r="C560">
        <v>1</v>
      </c>
      <c r="D560">
        <v>0</v>
      </c>
      <c r="E560">
        <v>1</v>
      </c>
      <c r="F560">
        <v>11</v>
      </c>
      <c r="G560" t="b">
        <v>0</v>
      </c>
      <c r="H560">
        <v>2</v>
      </c>
      <c r="I560">
        <v>2</v>
      </c>
      <c r="J560">
        <v>0.24</v>
      </c>
    </row>
    <row r="561" spans="1:10">
      <c r="A561">
        <v>560</v>
      </c>
      <c r="B561" s="1">
        <v>40568</v>
      </c>
      <c r="C561">
        <v>1</v>
      </c>
      <c r="D561">
        <v>0</v>
      </c>
      <c r="E561">
        <v>1</v>
      </c>
      <c r="F561">
        <v>12</v>
      </c>
      <c r="G561" t="b">
        <v>0</v>
      </c>
      <c r="H561">
        <v>2</v>
      </c>
      <c r="I561">
        <v>2</v>
      </c>
      <c r="J561">
        <v>0.26</v>
      </c>
    </row>
    <row r="562" spans="1:10">
      <c r="A562">
        <v>561</v>
      </c>
      <c r="B562" s="1">
        <v>40568</v>
      </c>
      <c r="C562">
        <v>1</v>
      </c>
      <c r="D562">
        <v>0</v>
      </c>
      <c r="E562">
        <v>1</v>
      </c>
      <c r="F562">
        <v>13</v>
      </c>
      <c r="G562" t="b">
        <v>0</v>
      </c>
      <c r="H562">
        <v>2</v>
      </c>
      <c r="I562">
        <v>2</v>
      </c>
      <c r="J562">
        <v>0.26</v>
      </c>
    </row>
    <row r="563" spans="1:10">
      <c r="A563">
        <v>562</v>
      </c>
      <c r="B563" s="1">
        <v>40568</v>
      </c>
      <c r="C563">
        <v>1</v>
      </c>
      <c r="D563">
        <v>0</v>
      </c>
      <c r="E563">
        <v>1</v>
      </c>
      <c r="F563">
        <v>14</v>
      </c>
      <c r="G563" t="b">
        <v>0</v>
      </c>
      <c r="H563">
        <v>2</v>
      </c>
      <c r="I563">
        <v>2</v>
      </c>
      <c r="J563">
        <v>0.3</v>
      </c>
    </row>
    <row r="564" spans="1:10">
      <c r="A564">
        <v>563</v>
      </c>
      <c r="B564" s="1">
        <v>40568</v>
      </c>
      <c r="C564">
        <v>1</v>
      </c>
      <c r="D564">
        <v>0</v>
      </c>
      <c r="E564">
        <v>1</v>
      </c>
      <c r="F564">
        <v>15</v>
      </c>
      <c r="G564" t="b">
        <v>0</v>
      </c>
      <c r="H564">
        <v>2</v>
      </c>
      <c r="I564">
        <v>2</v>
      </c>
      <c r="J564">
        <v>0.32</v>
      </c>
    </row>
    <row r="565" spans="1:10">
      <c r="A565">
        <v>564</v>
      </c>
      <c r="B565" s="1">
        <v>40568</v>
      </c>
      <c r="C565">
        <v>1</v>
      </c>
      <c r="D565">
        <v>0</v>
      </c>
      <c r="E565">
        <v>1</v>
      </c>
      <c r="F565">
        <v>16</v>
      </c>
      <c r="G565" t="b">
        <v>0</v>
      </c>
      <c r="H565">
        <v>2</v>
      </c>
      <c r="I565">
        <v>2</v>
      </c>
      <c r="J565">
        <v>0.32</v>
      </c>
    </row>
    <row r="566" spans="1:10">
      <c r="A566">
        <v>565</v>
      </c>
      <c r="B566" s="1">
        <v>40568</v>
      </c>
      <c r="C566">
        <v>1</v>
      </c>
      <c r="D566">
        <v>0</v>
      </c>
      <c r="E566">
        <v>1</v>
      </c>
      <c r="F566">
        <v>17</v>
      </c>
      <c r="G566" t="b">
        <v>0</v>
      </c>
      <c r="H566">
        <v>2</v>
      </c>
      <c r="I566">
        <v>1</v>
      </c>
      <c r="J566">
        <v>0.3</v>
      </c>
    </row>
    <row r="567" spans="1:10">
      <c r="A567">
        <v>566</v>
      </c>
      <c r="B567" s="1">
        <v>40568</v>
      </c>
      <c r="C567">
        <v>1</v>
      </c>
      <c r="D567">
        <v>0</v>
      </c>
      <c r="E567">
        <v>1</v>
      </c>
      <c r="F567">
        <v>18</v>
      </c>
      <c r="G567" t="b">
        <v>0</v>
      </c>
      <c r="H567">
        <v>2</v>
      </c>
      <c r="I567">
        <v>2</v>
      </c>
      <c r="J567">
        <v>0.3</v>
      </c>
    </row>
    <row r="568" spans="1:10">
      <c r="A568">
        <v>567</v>
      </c>
      <c r="B568" s="1">
        <v>40568</v>
      </c>
      <c r="C568">
        <v>1</v>
      </c>
      <c r="D568">
        <v>0</v>
      </c>
      <c r="E568">
        <v>1</v>
      </c>
      <c r="F568">
        <v>19</v>
      </c>
      <c r="G568" t="b">
        <v>0</v>
      </c>
      <c r="H568">
        <v>2</v>
      </c>
      <c r="I568">
        <v>2</v>
      </c>
      <c r="J568">
        <v>0.26</v>
      </c>
    </row>
    <row r="569" spans="1:10">
      <c r="A569">
        <v>568</v>
      </c>
      <c r="B569" s="1">
        <v>40568</v>
      </c>
      <c r="C569">
        <v>1</v>
      </c>
      <c r="D569">
        <v>0</v>
      </c>
      <c r="E569">
        <v>1</v>
      </c>
      <c r="F569">
        <v>20</v>
      </c>
      <c r="G569" t="b">
        <v>0</v>
      </c>
      <c r="H569">
        <v>2</v>
      </c>
      <c r="I569">
        <v>1</v>
      </c>
      <c r="J569">
        <v>0.24</v>
      </c>
    </row>
    <row r="570" spans="1:10">
      <c r="A570">
        <v>569</v>
      </c>
      <c r="B570" s="1">
        <v>40568</v>
      </c>
      <c r="C570">
        <v>1</v>
      </c>
      <c r="D570">
        <v>0</v>
      </c>
      <c r="E570">
        <v>1</v>
      </c>
      <c r="F570">
        <v>21</v>
      </c>
      <c r="G570" t="b">
        <v>0</v>
      </c>
      <c r="H570">
        <v>2</v>
      </c>
      <c r="I570">
        <v>1</v>
      </c>
      <c r="J570">
        <v>0.24</v>
      </c>
    </row>
    <row r="571" spans="1:10">
      <c r="A571">
        <v>570</v>
      </c>
      <c r="B571" s="1">
        <v>40568</v>
      </c>
      <c r="C571">
        <v>1</v>
      </c>
      <c r="D571">
        <v>0</v>
      </c>
      <c r="E571">
        <v>1</v>
      </c>
      <c r="F571">
        <v>22</v>
      </c>
      <c r="G571" t="b">
        <v>0</v>
      </c>
      <c r="H571">
        <v>2</v>
      </c>
      <c r="I571">
        <v>1</v>
      </c>
      <c r="J571">
        <v>0.22</v>
      </c>
    </row>
    <row r="572" spans="1:10">
      <c r="A572">
        <v>571</v>
      </c>
      <c r="B572" s="1">
        <v>40568</v>
      </c>
      <c r="C572">
        <v>1</v>
      </c>
      <c r="D572">
        <v>0</v>
      </c>
      <c r="E572">
        <v>1</v>
      </c>
      <c r="F572">
        <v>23</v>
      </c>
      <c r="G572" t="b">
        <v>0</v>
      </c>
      <c r="H572">
        <v>2</v>
      </c>
      <c r="I572">
        <v>2</v>
      </c>
      <c r="J572">
        <v>0.22</v>
      </c>
    </row>
    <row r="573" spans="1:10">
      <c r="A573">
        <v>572</v>
      </c>
      <c r="B573" s="1">
        <v>40569</v>
      </c>
      <c r="C573">
        <v>1</v>
      </c>
      <c r="D573">
        <v>0</v>
      </c>
      <c r="E573">
        <v>1</v>
      </c>
      <c r="F573">
        <v>0</v>
      </c>
      <c r="G573" t="b">
        <v>0</v>
      </c>
      <c r="H573">
        <v>3</v>
      </c>
      <c r="I573">
        <v>2</v>
      </c>
      <c r="J573">
        <v>0.22</v>
      </c>
    </row>
    <row r="574" spans="1:10">
      <c r="A574">
        <v>573</v>
      </c>
      <c r="B574" s="1">
        <v>40569</v>
      </c>
      <c r="C574">
        <v>1</v>
      </c>
      <c r="D574">
        <v>0</v>
      </c>
      <c r="E574">
        <v>1</v>
      </c>
      <c r="F574">
        <v>1</v>
      </c>
      <c r="G574" t="b">
        <v>0</v>
      </c>
      <c r="H574">
        <v>3</v>
      </c>
      <c r="I574">
        <v>2</v>
      </c>
      <c r="J574">
        <v>0.24</v>
      </c>
    </row>
    <row r="575" spans="1:10">
      <c r="A575">
        <v>574</v>
      </c>
      <c r="B575" s="1">
        <v>40569</v>
      </c>
      <c r="C575">
        <v>1</v>
      </c>
      <c r="D575">
        <v>0</v>
      </c>
      <c r="E575">
        <v>1</v>
      </c>
      <c r="F575">
        <v>2</v>
      </c>
      <c r="G575" t="b">
        <v>0</v>
      </c>
      <c r="H575">
        <v>3</v>
      </c>
      <c r="I575">
        <v>3</v>
      </c>
      <c r="J575">
        <v>0.22</v>
      </c>
    </row>
    <row r="576" spans="1:10">
      <c r="A576">
        <v>575</v>
      </c>
      <c r="B576" s="1">
        <v>40569</v>
      </c>
      <c r="C576">
        <v>1</v>
      </c>
      <c r="D576">
        <v>0</v>
      </c>
      <c r="E576">
        <v>1</v>
      </c>
      <c r="F576">
        <v>5</v>
      </c>
      <c r="G576" t="b">
        <v>0</v>
      </c>
      <c r="H576">
        <v>3</v>
      </c>
      <c r="I576">
        <v>3</v>
      </c>
      <c r="J576">
        <v>0.2</v>
      </c>
    </row>
    <row r="577" spans="1:10">
      <c r="A577">
        <v>576</v>
      </c>
      <c r="B577" s="1">
        <v>40569</v>
      </c>
      <c r="C577">
        <v>1</v>
      </c>
      <c r="D577">
        <v>0</v>
      </c>
      <c r="E577">
        <v>1</v>
      </c>
      <c r="F577">
        <v>6</v>
      </c>
      <c r="G577" t="b">
        <v>0</v>
      </c>
      <c r="H577">
        <v>3</v>
      </c>
      <c r="I577">
        <v>3</v>
      </c>
      <c r="J577">
        <v>0.2</v>
      </c>
    </row>
    <row r="578" spans="1:10">
      <c r="A578">
        <v>577</v>
      </c>
      <c r="B578" s="1">
        <v>40569</v>
      </c>
      <c r="C578">
        <v>1</v>
      </c>
      <c r="D578">
        <v>0</v>
      </c>
      <c r="E578">
        <v>1</v>
      </c>
      <c r="F578">
        <v>7</v>
      </c>
      <c r="G578" t="b">
        <v>0</v>
      </c>
      <c r="H578">
        <v>3</v>
      </c>
      <c r="I578">
        <v>3</v>
      </c>
      <c r="J578">
        <v>0.22</v>
      </c>
    </row>
    <row r="579" spans="1:10">
      <c r="A579">
        <v>578</v>
      </c>
      <c r="B579" s="1">
        <v>40569</v>
      </c>
      <c r="C579">
        <v>1</v>
      </c>
      <c r="D579">
        <v>0</v>
      </c>
      <c r="E579">
        <v>1</v>
      </c>
      <c r="F579">
        <v>8</v>
      </c>
      <c r="G579" t="b">
        <v>0</v>
      </c>
      <c r="H579">
        <v>3</v>
      </c>
      <c r="I579">
        <v>3</v>
      </c>
      <c r="J579">
        <v>0.22</v>
      </c>
    </row>
    <row r="580" spans="1:10">
      <c r="A580">
        <v>579</v>
      </c>
      <c r="B580" s="1">
        <v>40569</v>
      </c>
      <c r="C580">
        <v>1</v>
      </c>
      <c r="D580">
        <v>0</v>
      </c>
      <c r="E580">
        <v>1</v>
      </c>
      <c r="F580">
        <v>9</v>
      </c>
      <c r="G580" t="b">
        <v>0</v>
      </c>
      <c r="H580">
        <v>3</v>
      </c>
      <c r="I580">
        <v>3</v>
      </c>
      <c r="J580">
        <v>0.22</v>
      </c>
    </row>
    <row r="581" spans="1:10">
      <c r="A581">
        <v>580</v>
      </c>
      <c r="B581" s="1">
        <v>40569</v>
      </c>
      <c r="C581">
        <v>1</v>
      </c>
      <c r="D581">
        <v>0</v>
      </c>
      <c r="E581">
        <v>1</v>
      </c>
      <c r="F581">
        <v>10</v>
      </c>
      <c r="G581" t="b">
        <v>0</v>
      </c>
      <c r="H581">
        <v>3</v>
      </c>
      <c r="I581">
        <v>3</v>
      </c>
      <c r="J581">
        <v>0.22</v>
      </c>
    </row>
    <row r="582" spans="1:10">
      <c r="A582">
        <v>581</v>
      </c>
      <c r="B582" s="1">
        <v>40569</v>
      </c>
      <c r="C582">
        <v>1</v>
      </c>
      <c r="D582">
        <v>0</v>
      </c>
      <c r="E582">
        <v>1</v>
      </c>
      <c r="F582">
        <v>11</v>
      </c>
      <c r="G582" t="b">
        <v>0</v>
      </c>
      <c r="H582">
        <v>3</v>
      </c>
      <c r="I582">
        <v>3</v>
      </c>
      <c r="J582">
        <v>0.22</v>
      </c>
    </row>
    <row r="583" spans="1:10">
      <c r="A583">
        <v>582</v>
      </c>
      <c r="B583" s="1">
        <v>40569</v>
      </c>
      <c r="C583">
        <v>1</v>
      </c>
      <c r="D583">
        <v>0</v>
      </c>
      <c r="E583">
        <v>1</v>
      </c>
      <c r="F583">
        <v>12</v>
      </c>
      <c r="G583" t="b">
        <v>0</v>
      </c>
      <c r="H583">
        <v>3</v>
      </c>
      <c r="I583">
        <v>3</v>
      </c>
      <c r="J583">
        <v>0.22</v>
      </c>
    </row>
    <row r="584" spans="1:10">
      <c r="A584">
        <v>583</v>
      </c>
      <c r="B584" s="1">
        <v>40569</v>
      </c>
      <c r="C584">
        <v>1</v>
      </c>
      <c r="D584">
        <v>0</v>
      </c>
      <c r="E584">
        <v>1</v>
      </c>
      <c r="F584">
        <v>13</v>
      </c>
      <c r="G584" t="b">
        <v>0</v>
      </c>
      <c r="H584">
        <v>3</v>
      </c>
      <c r="I584">
        <v>3</v>
      </c>
      <c r="J584">
        <v>0.22</v>
      </c>
    </row>
    <row r="585" spans="1:10">
      <c r="A585">
        <v>584</v>
      </c>
      <c r="B585" s="1">
        <v>40569</v>
      </c>
      <c r="C585">
        <v>1</v>
      </c>
      <c r="D585">
        <v>0</v>
      </c>
      <c r="E585">
        <v>1</v>
      </c>
      <c r="F585">
        <v>14</v>
      </c>
      <c r="G585" t="b">
        <v>0</v>
      </c>
      <c r="H585">
        <v>3</v>
      </c>
      <c r="I585">
        <v>3</v>
      </c>
      <c r="J585">
        <v>0.22</v>
      </c>
    </row>
    <row r="586" spans="1:10">
      <c r="A586">
        <v>585</v>
      </c>
      <c r="B586" s="1">
        <v>40569</v>
      </c>
      <c r="C586">
        <v>1</v>
      </c>
      <c r="D586">
        <v>0</v>
      </c>
      <c r="E586">
        <v>1</v>
      </c>
      <c r="F586">
        <v>15</v>
      </c>
      <c r="G586" t="b">
        <v>0</v>
      </c>
      <c r="H586">
        <v>3</v>
      </c>
      <c r="I586">
        <v>3</v>
      </c>
      <c r="J586">
        <v>0.22</v>
      </c>
    </row>
    <row r="587" spans="1:10">
      <c r="A587">
        <v>586</v>
      </c>
      <c r="B587" s="1">
        <v>40569</v>
      </c>
      <c r="C587">
        <v>1</v>
      </c>
      <c r="D587">
        <v>0</v>
      </c>
      <c r="E587">
        <v>1</v>
      </c>
      <c r="F587">
        <v>16</v>
      </c>
      <c r="G587" t="b">
        <v>0</v>
      </c>
      <c r="H587">
        <v>3</v>
      </c>
      <c r="I587">
        <v>4</v>
      </c>
      <c r="J587">
        <v>0.22</v>
      </c>
    </row>
    <row r="588" spans="1:10">
      <c r="A588">
        <v>587</v>
      </c>
      <c r="B588" s="1">
        <v>40569</v>
      </c>
      <c r="C588">
        <v>1</v>
      </c>
      <c r="D588">
        <v>0</v>
      </c>
      <c r="E588">
        <v>1</v>
      </c>
      <c r="F588">
        <v>17</v>
      </c>
      <c r="G588" t="b">
        <v>0</v>
      </c>
      <c r="H588">
        <v>3</v>
      </c>
      <c r="I588">
        <v>3</v>
      </c>
      <c r="J588">
        <v>0.2</v>
      </c>
    </row>
    <row r="589" spans="1:10">
      <c r="A589">
        <v>588</v>
      </c>
      <c r="B589" s="1">
        <v>40570</v>
      </c>
      <c r="C589">
        <v>1</v>
      </c>
      <c r="D589">
        <v>0</v>
      </c>
      <c r="E589">
        <v>1</v>
      </c>
      <c r="F589">
        <v>16</v>
      </c>
      <c r="G589" t="b">
        <v>0</v>
      </c>
      <c r="H589">
        <v>4</v>
      </c>
      <c r="I589">
        <v>1</v>
      </c>
      <c r="J589">
        <v>0.22</v>
      </c>
    </row>
    <row r="590" spans="1:10">
      <c r="A590">
        <v>589</v>
      </c>
      <c r="B590" s="1">
        <v>40570</v>
      </c>
      <c r="C590">
        <v>1</v>
      </c>
      <c r="D590">
        <v>0</v>
      </c>
      <c r="E590">
        <v>1</v>
      </c>
      <c r="F590">
        <v>17</v>
      </c>
      <c r="G590" t="b">
        <v>0</v>
      </c>
      <c r="H590">
        <v>4</v>
      </c>
      <c r="I590">
        <v>1</v>
      </c>
      <c r="J590">
        <v>0.22</v>
      </c>
    </row>
    <row r="591" spans="1:10">
      <c r="A591">
        <v>590</v>
      </c>
      <c r="B591" s="1">
        <v>40570</v>
      </c>
      <c r="C591">
        <v>1</v>
      </c>
      <c r="D591">
        <v>0</v>
      </c>
      <c r="E591">
        <v>1</v>
      </c>
      <c r="F591">
        <v>18</v>
      </c>
      <c r="G591" t="b">
        <v>0</v>
      </c>
      <c r="H591">
        <v>4</v>
      </c>
      <c r="I591">
        <v>1</v>
      </c>
      <c r="J591">
        <v>0.2</v>
      </c>
    </row>
    <row r="592" spans="1:10">
      <c r="A592">
        <v>591</v>
      </c>
      <c r="B592" s="1">
        <v>40570</v>
      </c>
      <c r="C592">
        <v>1</v>
      </c>
      <c r="D592">
        <v>0</v>
      </c>
      <c r="E592">
        <v>1</v>
      </c>
      <c r="F592">
        <v>19</v>
      </c>
      <c r="G592" t="b">
        <v>0</v>
      </c>
      <c r="H592">
        <v>4</v>
      </c>
      <c r="I592">
        <v>1</v>
      </c>
      <c r="J592">
        <v>0.2</v>
      </c>
    </row>
    <row r="593" spans="1:10">
      <c r="A593">
        <v>592</v>
      </c>
      <c r="B593" s="1">
        <v>40570</v>
      </c>
      <c r="C593">
        <v>1</v>
      </c>
      <c r="D593">
        <v>0</v>
      </c>
      <c r="E593">
        <v>1</v>
      </c>
      <c r="F593">
        <v>20</v>
      </c>
      <c r="G593" t="b">
        <v>0</v>
      </c>
      <c r="H593">
        <v>4</v>
      </c>
      <c r="I593">
        <v>1</v>
      </c>
      <c r="J593">
        <v>0.18</v>
      </c>
    </row>
    <row r="594" spans="1:10">
      <c r="A594">
        <v>593</v>
      </c>
      <c r="B594" s="1">
        <v>40570</v>
      </c>
      <c r="C594">
        <v>1</v>
      </c>
      <c r="D594">
        <v>0</v>
      </c>
      <c r="E594">
        <v>1</v>
      </c>
      <c r="F594">
        <v>21</v>
      </c>
      <c r="G594" t="b">
        <v>0</v>
      </c>
      <c r="H594">
        <v>4</v>
      </c>
      <c r="I594">
        <v>1</v>
      </c>
      <c r="J594">
        <v>0.18</v>
      </c>
    </row>
    <row r="595" spans="1:10">
      <c r="A595">
        <v>594</v>
      </c>
      <c r="B595" s="1">
        <v>40570</v>
      </c>
      <c r="C595">
        <v>1</v>
      </c>
      <c r="D595">
        <v>0</v>
      </c>
      <c r="E595">
        <v>1</v>
      </c>
      <c r="F595">
        <v>22</v>
      </c>
      <c r="G595" t="b">
        <v>0</v>
      </c>
      <c r="H595">
        <v>4</v>
      </c>
      <c r="I595">
        <v>1</v>
      </c>
      <c r="J595">
        <v>0.18</v>
      </c>
    </row>
    <row r="596" spans="1:10">
      <c r="A596">
        <v>595</v>
      </c>
      <c r="B596" s="1">
        <v>40570</v>
      </c>
      <c r="C596">
        <v>1</v>
      </c>
      <c r="D596">
        <v>0</v>
      </c>
      <c r="E596">
        <v>1</v>
      </c>
      <c r="F596">
        <v>23</v>
      </c>
      <c r="G596" t="b">
        <v>0</v>
      </c>
      <c r="H596">
        <v>4</v>
      </c>
      <c r="I596">
        <v>1</v>
      </c>
      <c r="J596">
        <v>0.18</v>
      </c>
    </row>
    <row r="597" spans="1:10">
      <c r="A597">
        <v>596</v>
      </c>
      <c r="B597" s="1">
        <v>40571</v>
      </c>
      <c r="C597">
        <v>1</v>
      </c>
      <c r="D597">
        <v>0</v>
      </c>
      <c r="E597">
        <v>1</v>
      </c>
      <c r="F597">
        <v>0</v>
      </c>
      <c r="G597" t="b">
        <v>0</v>
      </c>
      <c r="H597">
        <v>5</v>
      </c>
      <c r="I597">
        <v>2</v>
      </c>
      <c r="J597">
        <v>0.2</v>
      </c>
    </row>
    <row r="598" spans="1:10">
      <c r="A598">
        <v>597</v>
      </c>
      <c r="B598" s="1">
        <v>40571</v>
      </c>
      <c r="C598">
        <v>1</v>
      </c>
      <c r="D598">
        <v>0</v>
      </c>
      <c r="E598">
        <v>1</v>
      </c>
      <c r="F598">
        <v>1</v>
      </c>
      <c r="G598" t="b">
        <v>0</v>
      </c>
      <c r="H598">
        <v>5</v>
      </c>
      <c r="I598">
        <v>2</v>
      </c>
      <c r="J598">
        <v>0.2</v>
      </c>
    </row>
    <row r="599" spans="1:10">
      <c r="A599">
        <v>598</v>
      </c>
      <c r="B599" s="1">
        <v>40571</v>
      </c>
      <c r="C599">
        <v>1</v>
      </c>
      <c r="D599">
        <v>0</v>
      </c>
      <c r="E599">
        <v>1</v>
      </c>
      <c r="F599">
        <v>2</v>
      </c>
      <c r="G599" t="b">
        <v>0</v>
      </c>
      <c r="H599">
        <v>5</v>
      </c>
      <c r="I599">
        <v>2</v>
      </c>
      <c r="J599">
        <v>0.2</v>
      </c>
    </row>
    <row r="600" spans="1:10">
      <c r="A600">
        <v>599</v>
      </c>
      <c r="B600" s="1">
        <v>40571</v>
      </c>
      <c r="C600">
        <v>1</v>
      </c>
      <c r="D600">
        <v>0</v>
      </c>
      <c r="E600">
        <v>1</v>
      </c>
      <c r="F600">
        <v>3</v>
      </c>
      <c r="G600" t="b">
        <v>0</v>
      </c>
      <c r="H600">
        <v>5</v>
      </c>
      <c r="I600">
        <v>2</v>
      </c>
      <c r="J600">
        <v>0.2</v>
      </c>
    </row>
    <row r="601" spans="1:10">
      <c r="A601">
        <v>600</v>
      </c>
      <c r="B601" s="1">
        <v>40571</v>
      </c>
      <c r="C601">
        <v>1</v>
      </c>
      <c r="D601">
        <v>0</v>
      </c>
      <c r="E601">
        <v>1</v>
      </c>
      <c r="F601">
        <v>5</v>
      </c>
      <c r="G601" t="b">
        <v>0</v>
      </c>
      <c r="H601">
        <v>5</v>
      </c>
      <c r="I601">
        <v>2</v>
      </c>
      <c r="J601">
        <v>0.18</v>
      </c>
    </row>
    <row r="602" spans="1:10">
      <c r="A602">
        <v>601</v>
      </c>
      <c r="B602" s="1">
        <v>40571</v>
      </c>
      <c r="C602">
        <v>1</v>
      </c>
      <c r="D602">
        <v>0</v>
      </c>
      <c r="E602">
        <v>1</v>
      </c>
      <c r="F602">
        <v>6</v>
      </c>
      <c r="G602" t="b">
        <v>0</v>
      </c>
      <c r="H602">
        <v>5</v>
      </c>
      <c r="I602">
        <v>2</v>
      </c>
      <c r="J602">
        <v>0.18</v>
      </c>
    </row>
    <row r="603" spans="1:10">
      <c r="A603">
        <v>602</v>
      </c>
      <c r="B603" s="1">
        <v>40571</v>
      </c>
      <c r="C603">
        <v>1</v>
      </c>
      <c r="D603">
        <v>0</v>
      </c>
      <c r="E603">
        <v>1</v>
      </c>
      <c r="F603">
        <v>7</v>
      </c>
      <c r="G603" t="b">
        <v>0</v>
      </c>
      <c r="H603">
        <v>5</v>
      </c>
      <c r="I603">
        <v>2</v>
      </c>
      <c r="J603">
        <v>0.16</v>
      </c>
    </row>
    <row r="604" spans="1:10">
      <c r="A604">
        <v>603</v>
      </c>
      <c r="B604" s="1">
        <v>40571</v>
      </c>
      <c r="C604">
        <v>1</v>
      </c>
      <c r="D604">
        <v>0</v>
      </c>
      <c r="E604">
        <v>1</v>
      </c>
      <c r="F604">
        <v>8</v>
      </c>
      <c r="G604" t="b">
        <v>0</v>
      </c>
      <c r="H604">
        <v>5</v>
      </c>
      <c r="I604">
        <v>2</v>
      </c>
      <c r="J604">
        <v>0.16</v>
      </c>
    </row>
    <row r="605" spans="1:10">
      <c r="A605">
        <v>604</v>
      </c>
      <c r="B605" s="1">
        <v>40571</v>
      </c>
      <c r="C605">
        <v>1</v>
      </c>
      <c r="D605">
        <v>0</v>
      </c>
      <c r="E605">
        <v>1</v>
      </c>
      <c r="F605">
        <v>9</v>
      </c>
      <c r="G605" t="b">
        <v>0</v>
      </c>
      <c r="H605">
        <v>5</v>
      </c>
      <c r="I605">
        <v>3</v>
      </c>
      <c r="J605">
        <v>0.18</v>
      </c>
    </row>
    <row r="606" spans="1:10">
      <c r="A606">
        <v>605</v>
      </c>
      <c r="B606" s="1">
        <v>40571</v>
      </c>
      <c r="C606">
        <v>1</v>
      </c>
      <c r="D606">
        <v>0</v>
      </c>
      <c r="E606">
        <v>1</v>
      </c>
      <c r="F606">
        <v>10</v>
      </c>
      <c r="G606" t="b">
        <v>0</v>
      </c>
      <c r="H606">
        <v>5</v>
      </c>
      <c r="I606">
        <v>3</v>
      </c>
      <c r="J606">
        <v>0.18</v>
      </c>
    </row>
    <row r="607" spans="1:10">
      <c r="A607">
        <v>606</v>
      </c>
      <c r="B607" s="1">
        <v>40571</v>
      </c>
      <c r="C607">
        <v>1</v>
      </c>
      <c r="D607">
        <v>0</v>
      </c>
      <c r="E607">
        <v>1</v>
      </c>
      <c r="F607">
        <v>11</v>
      </c>
      <c r="G607" t="b">
        <v>0</v>
      </c>
      <c r="H607">
        <v>5</v>
      </c>
      <c r="I607">
        <v>3</v>
      </c>
      <c r="J607">
        <v>0.18</v>
      </c>
    </row>
    <row r="608" spans="1:10">
      <c r="A608">
        <v>607</v>
      </c>
      <c r="B608" s="1">
        <v>40571</v>
      </c>
      <c r="C608">
        <v>1</v>
      </c>
      <c r="D608">
        <v>0</v>
      </c>
      <c r="E608">
        <v>1</v>
      </c>
      <c r="F608">
        <v>12</v>
      </c>
      <c r="G608" t="b">
        <v>0</v>
      </c>
      <c r="H608">
        <v>5</v>
      </c>
      <c r="I608">
        <v>3</v>
      </c>
      <c r="J608">
        <v>0.18</v>
      </c>
    </row>
    <row r="609" spans="1:10">
      <c r="A609">
        <v>608</v>
      </c>
      <c r="B609" s="1">
        <v>40571</v>
      </c>
      <c r="C609">
        <v>1</v>
      </c>
      <c r="D609">
        <v>0</v>
      </c>
      <c r="E609">
        <v>1</v>
      </c>
      <c r="F609">
        <v>13</v>
      </c>
      <c r="G609" t="b">
        <v>0</v>
      </c>
      <c r="H609">
        <v>5</v>
      </c>
      <c r="I609">
        <v>3</v>
      </c>
      <c r="J609">
        <v>0.18</v>
      </c>
    </row>
    <row r="610" spans="1:10">
      <c r="A610">
        <v>609</v>
      </c>
      <c r="B610" s="1">
        <v>40571</v>
      </c>
      <c r="C610">
        <v>1</v>
      </c>
      <c r="D610">
        <v>0</v>
      </c>
      <c r="E610">
        <v>1</v>
      </c>
      <c r="F610">
        <v>14</v>
      </c>
      <c r="G610" t="b">
        <v>0</v>
      </c>
      <c r="H610">
        <v>5</v>
      </c>
      <c r="I610">
        <v>3</v>
      </c>
      <c r="J610">
        <v>0.22</v>
      </c>
    </row>
    <row r="611" spans="1:10">
      <c r="A611">
        <v>610</v>
      </c>
      <c r="B611" s="1">
        <v>40571</v>
      </c>
      <c r="C611">
        <v>1</v>
      </c>
      <c r="D611">
        <v>0</v>
      </c>
      <c r="E611">
        <v>1</v>
      </c>
      <c r="F611">
        <v>15</v>
      </c>
      <c r="G611" t="b">
        <v>0</v>
      </c>
      <c r="H611">
        <v>5</v>
      </c>
      <c r="I611">
        <v>2</v>
      </c>
      <c r="J611">
        <v>0.2</v>
      </c>
    </row>
    <row r="612" spans="1:10">
      <c r="B61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807D3-06EC-469C-B5F7-C7D1FAD0BAE6}">
  <dimension ref="A1:H611"/>
  <sheetViews>
    <sheetView topLeftCell="A584" workbookViewId="0">
      <selection activeCell="E604" sqref="E604"/>
    </sheetView>
  </sheetViews>
  <sheetFormatPr defaultRowHeight="14.4"/>
  <cols>
    <col min="1" max="1" width="13.5546875" bestFit="1" customWidth="1"/>
    <col min="2" max="2" width="9" bestFit="1" customWidth="1"/>
    <col min="3" max="3" width="8.6640625" bestFit="1" customWidth="1"/>
    <col min="4" max="4" width="7.109375" bestFit="1" customWidth="1"/>
    <col min="5" max="5" width="12.33203125" bestFit="1" customWidth="1"/>
    <col min="6" max="6" width="8.44140625" bestFit="1" customWidth="1"/>
    <col min="7" max="7" width="11.5546875" bestFit="1" customWidth="1"/>
    <col min="8" max="8" width="5.88671875" bestFit="1" customWidth="1"/>
  </cols>
  <sheetData>
    <row r="1" spans="1:8">
      <c r="A1" t="s">
        <v>10</v>
      </c>
      <c r="B1" t="s">
        <v>0</v>
      </c>
      <c r="C1" t="s">
        <v>11</v>
      </c>
      <c r="D1" t="s">
        <v>12</v>
      </c>
      <c r="E1" t="s">
        <v>13</v>
      </c>
      <c r="F1" t="s">
        <v>14</v>
      </c>
      <c r="G1" t="s">
        <v>15</v>
      </c>
      <c r="H1" t="s">
        <v>16</v>
      </c>
    </row>
    <row r="2" spans="1:8">
      <c r="A2">
        <v>0</v>
      </c>
      <c r="B2">
        <v>1</v>
      </c>
      <c r="C2">
        <v>0.28789999999999999</v>
      </c>
      <c r="D2">
        <v>0.81</v>
      </c>
      <c r="E2">
        <v>0</v>
      </c>
      <c r="F2">
        <v>3</v>
      </c>
      <c r="G2">
        <v>13</v>
      </c>
      <c r="H2">
        <v>16</v>
      </c>
    </row>
    <row r="3" spans="1:8">
      <c r="A3">
        <v>1</v>
      </c>
      <c r="B3">
        <v>2</v>
      </c>
      <c r="C3">
        <v>0.2727</v>
      </c>
      <c r="D3">
        <v>0.8</v>
      </c>
      <c r="E3">
        <v>0</v>
      </c>
      <c r="F3">
        <v>8</v>
      </c>
      <c r="G3">
        <v>32</v>
      </c>
      <c r="H3">
        <v>40</v>
      </c>
    </row>
    <row r="4" spans="1:8">
      <c r="A4">
        <v>2</v>
      </c>
      <c r="B4">
        <v>3</v>
      </c>
      <c r="C4">
        <v>0.2727</v>
      </c>
      <c r="D4">
        <v>0.8</v>
      </c>
      <c r="E4">
        <v>0</v>
      </c>
      <c r="F4">
        <v>5</v>
      </c>
      <c r="G4">
        <v>27</v>
      </c>
      <c r="H4">
        <v>32</v>
      </c>
    </row>
    <row r="5" spans="1:8">
      <c r="A5">
        <v>3</v>
      </c>
      <c r="B5">
        <v>4</v>
      </c>
      <c r="C5">
        <v>0.28789999999999999</v>
      </c>
      <c r="D5">
        <v>0.75</v>
      </c>
      <c r="E5">
        <v>0</v>
      </c>
      <c r="F5">
        <v>3</v>
      </c>
      <c r="G5">
        <v>10</v>
      </c>
      <c r="H5">
        <v>13</v>
      </c>
    </row>
    <row r="6" spans="1:8">
      <c r="A6">
        <v>4</v>
      </c>
      <c r="B6">
        <v>5</v>
      </c>
      <c r="C6">
        <v>0.28789999999999999</v>
      </c>
      <c r="D6">
        <v>0.75</v>
      </c>
      <c r="E6">
        <v>0</v>
      </c>
      <c r="F6">
        <v>0</v>
      </c>
      <c r="G6">
        <v>1</v>
      </c>
      <c r="H6">
        <v>1</v>
      </c>
    </row>
    <row r="7" spans="1:8">
      <c r="A7">
        <v>5</v>
      </c>
      <c r="B7">
        <v>6</v>
      </c>
      <c r="C7">
        <v>0.2576</v>
      </c>
      <c r="D7">
        <v>0.75</v>
      </c>
      <c r="E7">
        <v>8.9599999999999999E-2</v>
      </c>
      <c r="F7">
        <v>0</v>
      </c>
      <c r="G7">
        <v>1</v>
      </c>
      <c r="H7">
        <v>1</v>
      </c>
    </row>
    <row r="8" spans="1:8">
      <c r="A8">
        <v>6</v>
      </c>
      <c r="B8">
        <v>7</v>
      </c>
      <c r="C8">
        <v>0.2727</v>
      </c>
      <c r="D8">
        <v>0.8</v>
      </c>
      <c r="E8">
        <v>0</v>
      </c>
      <c r="F8">
        <v>2</v>
      </c>
      <c r="G8">
        <v>0</v>
      </c>
      <c r="H8">
        <v>2</v>
      </c>
    </row>
    <row r="9" spans="1:8">
      <c r="A9">
        <v>7</v>
      </c>
      <c r="B9">
        <v>8</v>
      </c>
      <c r="C9">
        <v>0.2576</v>
      </c>
      <c r="D9">
        <v>0.86</v>
      </c>
      <c r="E9">
        <v>0</v>
      </c>
      <c r="F9">
        <v>1</v>
      </c>
      <c r="G9">
        <v>2</v>
      </c>
      <c r="H9">
        <v>3</v>
      </c>
    </row>
    <row r="10" spans="1:8">
      <c r="A10">
        <v>8</v>
      </c>
      <c r="B10">
        <v>9</v>
      </c>
      <c r="D10">
        <v>0.75</v>
      </c>
      <c r="E10">
        <v>0</v>
      </c>
      <c r="F10">
        <v>1</v>
      </c>
      <c r="G10">
        <v>7</v>
      </c>
      <c r="H10">
        <v>8</v>
      </c>
    </row>
    <row r="11" spans="1:8">
      <c r="A11">
        <v>9</v>
      </c>
      <c r="B11">
        <v>10</v>
      </c>
      <c r="C11">
        <v>0.34849999999999998</v>
      </c>
      <c r="D11">
        <v>0.76</v>
      </c>
      <c r="E11">
        <v>0</v>
      </c>
      <c r="F11">
        <v>8</v>
      </c>
      <c r="G11">
        <v>6</v>
      </c>
      <c r="H11">
        <v>14</v>
      </c>
    </row>
    <row r="12" spans="1:8">
      <c r="A12">
        <v>10</v>
      </c>
      <c r="B12">
        <v>11</v>
      </c>
      <c r="C12">
        <v>0.39389999999999997</v>
      </c>
      <c r="D12">
        <v>0.76</v>
      </c>
      <c r="E12">
        <v>0.25369999999999998</v>
      </c>
      <c r="F12">
        <v>12</v>
      </c>
      <c r="G12">
        <v>24</v>
      </c>
      <c r="H12">
        <v>36</v>
      </c>
    </row>
    <row r="13" spans="1:8">
      <c r="A13">
        <v>11</v>
      </c>
      <c r="B13">
        <v>12</v>
      </c>
      <c r="C13">
        <v>0.33329999999999999</v>
      </c>
      <c r="D13">
        <v>0.81</v>
      </c>
      <c r="E13">
        <v>0.28360000000000002</v>
      </c>
      <c r="F13">
        <v>26</v>
      </c>
      <c r="G13">
        <v>30</v>
      </c>
      <c r="H13">
        <v>56</v>
      </c>
    </row>
    <row r="14" spans="1:8">
      <c r="A14">
        <v>12</v>
      </c>
      <c r="B14">
        <v>13</v>
      </c>
      <c r="C14">
        <v>0.42420000000000002</v>
      </c>
      <c r="D14">
        <v>0.77</v>
      </c>
      <c r="E14">
        <v>0.28360000000000002</v>
      </c>
      <c r="F14">
        <v>29</v>
      </c>
      <c r="G14">
        <v>55</v>
      </c>
      <c r="H14">
        <v>84</v>
      </c>
    </row>
    <row r="15" spans="1:8">
      <c r="A15">
        <v>13</v>
      </c>
      <c r="B15">
        <v>14</v>
      </c>
      <c r="C15">
        <v>0.45450000000000002</v>
      </c>
      <c r="D15">
        <v>0.72</v>
      </c>
      <c r="E15">
        <v>0.29849999999999999</v>
      </c>
      <c r="F15">
        <v>47</v>
      </c>
      <c r="G15">
        <v>47</v>
      </c>
      <c r="H15">
        <v>94</v>
      </c>
    </row>
    <row r="16" spans="1:8">
      <c r="A16">
        <v>14</v>
      </c>
      <c r="B16">
        <v>15</v>
      </c>
      <c r="C16">
        <v>0.45450000000000002</v>
      </c>
      <c r="D16">
        <v>0.72</v>
      </c>
      <c r="E16">
        <v>0.28360000000000002</v>
      </c>
      <c r="F16">
        <v>35</v>
      </c>
      <c r="G16">
        <v>71</v>
      </c>
      <c r="H16">
        <v>106</v>
      </c>
    </row>
    <row r="17" spans="1:8">
      <c r="A17">
        <v>15</v>
      </c>
      <c r="B17">
        <v>16</v>
      </c>
      <c r="C17">
        <v>0.43940000000000001</v>
      </c>
      <c r="D17">
        <v>0.77</v>
      </c>
      <c r="E17">
        <v>0.29849999999999999</v>
      </c>
      <c r="F17">
        <v>40</v>
      </c>
      <c r="G17">
        <v>70</v>
      </c>
      <c r="H17">
        <v>110</v>
      </c>
    </row>
    <row r="18" spans="1:8">
      <c r="A18">
        <v>16</v>
      </c>
      <c r="B18">
        <v>17</v>
      </c>
      <c r="C18">
        <v>0.42420000000000002</v>
      </c>
      <c r="D18">
        <v>0.82</v>
      </c>
      <c r="E18">
        <v>0.29849999999999999</v>
      </c>
      <c r="F18">
        <v>41</v>
      </c>
      <c r="G18">
        <v>52</v>
      </c>
      <c r="H18">
        <v>93</v>
      </c>
    </row>
    <row r="19" spans="1:8">
      <c r="A19">
        <v>17</v>
      </c>
      <c r="B19">
        <v>18</v>
      </c>
      <c r="D19">
        <v>0.82</v>
      </c>
      <c r="E19">
        <v>0.28360000000000002</v>
      </c>
      <c r="F19">
        <v>15</v>
      </c>
      <c r="G19">
        <v>52</v>
      </c>
      <c r="H19">
        <v>67</v>
      </c>
    </row>
    <row r="20" spans="1:8">
      <c r="A20">
        <v>18</v>
      </c>
      <c r="B20">
        <v>19</v>
      </c>
      <c r="C20">
        <v>0.42420000000000002</v>
      </c>
      <c r="D20">
        <v>0.88</v>
      </c>
      <c r="E20">
        <v>0.25369999999999998</v>
      </c>
      <c r="F20">
        <v>9</v>
      </c>
      <c r="G20">
        <v>26</v>
      </c>
      <c r="H20">
        <v>35</v>
      </c>
    </row>
    <row r="21" spans="1:8">
      <c r="A21">
        <v>19</v>
      </c>
      <c r="B21">
        <v>20</v>
      </c>
      <c r="C21">
        <v>0.42420000000000002</v>
      </c>
      <c r="D21">
        <v>0.88</v>
      </c>
      <c r="E21">
        <v>0.25369999999999998</v>
      </c>
      <c r="F21">
        <v>6</v>
      </c>
      <c r="G21">
        <v>31</v>
      </c>
      <c r="H21">
        <v>37</v>
      </c>
    </row>
    <row r="22" spans="1:8">
      <c r="A22">
        <v>20</v>
      </c>
      <c r="B22">
        <v>21</v>
      </c>
      <c r="C22">
        <v>0.40910000000000002</v>
      </c>
      <c r="D22">
        <v>0.87</v>
      </c>
      <c r="E22">
        <v>0.25369999999999998</v>
      </c>
      <c r="F22">
        <v>11</v>
      </c>
      <c r="G22">
        <v>25</v>
      </c>
      <c r="H22">
        <v>36</v>
      </c>
    </row>
    <row r="23" spans="1:8">
      <c r="A23">
        <v>21</v>
      </c>
      <c r="B23">
        <v>22</v>
      </c>
      <c r="C23">
        <v>0.40910000000000002</v>
      </c>
      <c r="D23">
        <v>0.87</v>
      </c>
      <c r="E23">
        <v>0.19400000000000001</v>
      </c>
      <c r="F23">
        <v>3</v>
      </c>
      <c r="G23">
        <v>31</v>
      </c>
      <c r="H23">
        <v>34</v>
      </c>
    </row>
    <row r="24" spans="1:8">
      <c r="A24">
        <v>22</v>
      </c>
      <c r="B24">
        <v>23</v>
      </c>
      <c r="C24">
        <v>0.40910000000000002</v>
      </c>
      <c r="D24">
        <v>0.94</v>
      </c>
      <c r="E24">
        <v>0.22389999999999999</v>
      </c>
      <c r="F24">
        <v>11</v>
      </c>
      <c r="G24">
        <v>17</v>
      </c>
      <c r="H24">
        <v>28</v>
      </c>
    </row>
    <row r="25" spans="1:8">
      <c r="A25">
        <v>23</v>
      </c>
      <c r="B25">
        <v>24</v>
      </c>
      <c r="D25">
        <v>0.88</v>
      </c>
      <c r="E25">
        <v>0.29849999999999999</v>
      </c>
      <c r="F25">
        <v>15</v>
      </c>
      <c r="G25">
        <v>24</v>
      </c>
      <c r="H25">
        <v>39</v>
      </c>
    </row>
    <row r="26" spans="1:8">
      <c r="A26">
        <v>24</v>
      </c>
      <c r="B26">
        <v>25</v>
      </c>
      <c r="C26">
        <v>0.45450000000000002</v>
      </c>
      <c r="D26">
        <v>0.88</v>
      </c>
      <c r="E26">
        <v>0.29849999999999999</v>
      </c>
      <c r="F26">
        <v>4</v>
      </c>
      <c r="G26">
        <v>13</v>
      </c>
      <c r="H26">
        <v>17</v>
      </c>
    </row>
    <row r="27" spans="1:8">
      <c r="A27">
        <v>25</v>
      </c>
      <c r="B27">
        <v>26</v>
      </c>
      <c r="C27">
        <v>0.43940000000000001</v>
      </c>
      <c r="D27">
        <v>0.94</v>
      </c>
      <c r="E27">
        <v>0.25369999999999998</v>
      </c>
      <c r="F27">
        <v>1</v>
      </c>
      <c r="G27">
        <v>16</v>
      </c>
      <c r="H27">
        <v>17</v>
      </c>
    </row>
    <row r="28" spans="1:8">
      <c r="A28">
        <v>26</v>
      </c>
      <c r="B28">
        <v>27</v>
      </c>
      <c r="C28">
        <v>0.42420000000000002</v>
      </c>
      <c r="D28">
        <v>1</v>
      </c>
      <c r="E28">
        <v>0.28360000000000002</v>
      </c>
      <c r="F28">
        <v>1</v>
      </c>
      <c r="G28">
        <v>8</v>
      </c>
      <c r="H28">
        <v>9</v>
      </c>
    </row>
    <row r="29" spans="1:8">
      <c r="A29">
        <v>27</v>
      </c>
      <c r="B29">
        <v>28</v>
      </c>
      <c r="C29">
        <v>0.45450000000000002</v>
      </c>
      <c r="D29">
        <v>0.94</v>
      </c>
      <c r="E29">
        <v>0.19400000000000001</v>
      </c>
      <c r="F29">
        <v>2</v>
      </c>
      <c r="G29">
        <v>4</v>
      </c>
      <c r="H29">
        <v>6</v>
      </c>
    </row>
    <row r="30" spans="1:8">
      <c r="A30">
        <v>28</v>
      </c>
      <c r="B30">
        <v>29</v>
      </c>
      <c r="D30">
        <v>0.94</v>
      </c>
      <c r="E30">
        <v>0.19400000000000001</v>
      </c>
      <c r="F30">
        <v>2</v>
      </c>
      <c r="G30">
        <v>1</v>
      </c>
      <c r="H30">
        <v>3</v>
      </c>
    </row>
    <row r="31" spans="1:8">
      <c r="A31">
        <v>29</v>
      </c>
      <c r="B31">
        <v>30</v>
      </c>
      <c r="C31">
        <v>0.42420000000000002</v>
      </c>
      <c r="D31">
        <v>0.77</v>
      </c>
      <c r="E31">
        <v>0.29849999999999999</v>
      </c>
      <c r="F31">
        <v>0</v>
      </c>
      <c r="G31">
        <v>2</v>
      </c>
      <c r="H31">
        <v>2</v>
      </c>
    </row>
    <row r="32" spans="1:8">
      <c r="A32">
        <v>30</v>
      </c>
      <c r="B32">
        <v>31</v>
      </c>
      <c r="C32">
        <v>0.40910000000000002</v>
      </c>
      <c r="D32">
        <v>0.76</v>
      </c>
      <c r="E32">
        <v>0.19400000000000001</v>
      </c>
      <c r="F32">
        <v>0</v>
      </c>
      <c r="G32">
        <v>1</v>
      </c>
      <c r="H32">
        <v>1</v>
      </c>
    </row>
    <row r="33" spans="1:8">
      <c r="A33">
        <v>31</v>
      </c>
      <c r="B33">
        <v>32</v>
      </c>
      <c r="C33">
        <v>0.40910000000000002</v>
      </c>
      <c r="D33">
        <v>0.71</v>
      </c>
      <c r="E33">
        <v>0.22389999999999999</v>
      </c>
      <c r="F33">
        <v>0</v>
      </c>
      <c r="G33">
        <v>8</v>
      </c>
      <c r="H33">
        <v>8</v>
      </c>
    </row>
    <row r="34" spans="1:8">
      <c r="A34">
        <v>32</v>
      </c>
      <c r="B34">
        <v>33</v>
      </c>
      <c r="D34">
        <v>0.76</v>
      </c>
      <c r="E34">
        <v>0.22389999999999999</v>
      </c>
      <c r="F34">
        <v>1</v>
      </c>
      <c r="G34">
        <v>19</v>
      </c>
      <c r="H34">
        <v>20</v>
      </c>
    </row>
    <row r="35" spans="1:8">
      <c r="A35">
        <v>33</v>
      </c>
      <c r="B35">
        <v>34</v>
      </c>
      <c r="C35">
        <v>0.34849999999999998</v>
      </c>
      <c r="D35">
        <v>0.81</v>
      </c>
      <c r="E35">
        <v>0.22389999999999999</v>
      </c>
      <c r="F35">
        <v>7</v>
      </c>
      <c r="G35">
        <v>46</v>
      </c>
      <c r="H35">
        <v>53</v>
      </c>
    </row>
    <row r="36" spans="1:8">
      <c r="A36">
        <v>34</v>
      </c>
      <c r="B36">
        <v>35</v>
      </c>
      <c r="C36">
        <v>0.33329999999999999</v>
      </c>
      <c r="D36">
        <v>0.71</v>
      </c>
      <c r="E36">
        <v>0.25369999999999998</v>
      </c>
      <c r="F36">
        <v>16</v>
      </c>
      <c r="G36">
        <v>54</v>
      </c>
      <c r="H36">
        <v>70</v>
      </c>
    </row>
    <row r="37" spans="1:8">
      <c r="A37">
        <v>35</v>
      </c>
      <c r="B37">
        <v>36</v>
      </c>
      <c r="C37">
        <v>0.33329999999999999</v>
      </c>
      <c r="D37">
        <v>0.66</v>
      </c>
      <c r="E37">
        <v>0.29849999999999999</v>
      </c>
      <c r="F37">
        <v>20</v>
      </c>
      <c r="G37">
        <v>73</v>
      </c>
      <c r="H37">
        <v>93</v>
      </c>
    </row>
    <row r="38" spans="1:8">
      <c r="A38">
        <v>36</v>
      </c>
      <c r="B38">
        <v>37</v>
      </c>
      <c r="C38">
        <v>0.34849999999999998</v>
      </c>
      <c r="D38">
        <v>0.66</v>
      </c>
      <c r="E38">
        <v>0.1343</v>
      </c>
      <c r="F38">
        <v>11</v>
      </c>
      <c r="G38">
        <v>64</v>
      </c>
      <c r="H38">
        <v>75</v>
      </c>
    </row>
    <row r="39" spans="1:8">
      <c r="A39">
        <v>37</v>
      </c>
      <c r="B39">
        <v>38</v>
      </c>
      <c r="D39">
        <v>0.76</v>
      </c>
      <c r="E39">
        <v>0.19400000000000001</v>
      </c>
      <c r="F39">
        <v>4</v>
      </c>
      <c r="G39">
        <v>55</v>
      </c>
      <c r="H39">
        <v>59</v>
      </c>
    </row>
    <row r="40" spans="1:8">
      <c r="A40">
        <v>38</v>
      </c>
      <c r="B40">
        <v>39</v>
      </c>
      <c r="C40">
        <v>0.33329999999999999</v>
      </c>
      <c r="D40">
        <v>0.81</v>
      </c>
      <c r="E40">
        <v>0.16420000000000001</v>
      </c>
      <c r="F40">
        <v>19</v>
      </c>
      <c r="G40">
        <v>55</v>
      </c>
      <c r="H40">
        <v>74</v>
      </c>
    </row>
    <row r="41" spans="1:8">
      <c r="A41">
        <v>39</v>
      </c>
      <c r="B41">
        <v>40</v>
      </c>
      <c r="C41">
        <v>0.33329999999999999</v>
      </c>
      <c r="D41">
        <v>0.71</v>
      </c>
      <c r="E41">
        <v>0.16420000000000001</v>
      </c>
      <c r="F41">
        <v>9</v>
      </c>
      <c r="G41">
        <v>67</v>
      </c>
      <c r="H41">
        <v>76</v>
      </c>
    </row>
    <row r="42" spans="1:8">
      <c r="A42">
        <v>40</v>
      </c>
      <c r="B42">
        <v>41</v>
      </c>
      <c r="C42">
        <v>0.33329999999999999</v>
      </c>
      <c r="D42">
        <v>0.56999999999999995</v>
      </c>
      <c r="E42">
        <v>0.19400000000000001</v>
      </c>
      <c r="F42">
        <v>7</v>
      </c>
      <c r="G42">
        <v>58</v>
      </c>
      <c r="H42">
        <v>65</v>
      </c>
    </row>
    <row r="43" spans="1:8">
      <c r="A43">
        <v>41</v>
      </c>
      <c r="B43">
        <v>42</v>
      </c>
      <c r="C43">
        <v>0.33329999999999999</v>
      </c>
      <c r="D43">
        <v>0.46</v>
      </c>
      <c r="E43">
        <v>0.32840000000000003</v>
      </c>
      <c r="F43">
        <v>10</v>
      </c>
      <c r="G43">
        <v>43</v>
      </c>
      <c r="H43">
        <v>53</v>
      </c>
    </row>
    <row r="44" spans="1:8">
      <c r="A44">
        <v>42</v>
      </c>
      <c r="B44">
        <v>43</v>
      </c>
      <c r="C44">
        <v>0.28789999999999999</v>
      </c>
      <c r="D44">
        <v>0.42</v>
      </c>
      <c r="E44">
        <v>0.44779999999999998</v>
      </c>
      <c r="F44">
        <v>1</v>
      </c>
      <c r="G44">
        <v>29</v>
      </c>
      <c r="H44">
        <v>30</v>
      </c>
    </row>
    <row r="45" spans="1:8">
      <c r="A45">
        <v>43</v>
      </c>
      <c r="B45">
        <v>44</v>
      </c>
      <c r="D45">
        <v>0.39</v>
      </c>
      <c r="E45">
        <v>0.35820000000000002</v>
      </c>
      <c r="F45">
        <v>5</v>
      </c>
      <c r="G45">
        <v>17</v>
      </c>
      <c r="H45">
        <v>22</v>
      </c>
    </row>
    <row r="46" spans="1:8">
      <c r="A46">
        <v>44</v>
      </c>
      <c r="B46">
        <v>45</v>
      </c>
      <c r="C46">
        <v>0.2273</v>
      </c>
      <c r="D46">
        <v>0.44</v>
      </c>
      <c r="E46">
        <v>0.32840000000000003</v>
      </c>
      <c r="F46">
        <v>11</v>
      </c>
      <c r="G46">
        <v>20</v>
      </c>
      <c r="H46">
        <v>31</v>
      </c>
    </row>
    <row r="47" spans="1:8">
      <c r="A47">
        <v>45</v>
      </c>
      <c r="B47">
        <v>46</v>
      </c>
      <c r="C47">
        <v>0.21210000000000001</v>
      </c>
      <c r="D47">
        <v>0.44</v>
      </c>
      <c r="E47">
        <v>0.29849999999999999</v>
      </c>
      <c r="F47">
        <v>0</v>
      </c>
      <c r="G47">
        <v>9</v>
      </c>
      <c r="H47">
        <v>9</v>
      </c>
    </row>
    <row r="48" spans="1:8">
      <c r="A48">
        <v>46</v>
      </c>
      <c r="B48">
        <v>47</v>
      </c>
      <c r="C48">
        <v>0.2273</v>
      </c>
      <c r="D48">
        <v>0.47</v>
      </c>
      <c r="E48">
        <v>0.16420000000000001</v>
      </c>
      <c r="F48">
        <v>0</v>
      </c>
      <c r="G48">
        <v>8</v>
      </c>
      <c r="H48">
        <v>8</v>
      </c>
    </row>
    <row r="49" spans="1:8">
      <c r="A49">
        <v>47</v>
      </c>
      <c r="B49">
        <v>48</v>
      </c>
      <c r="C49">
        <v>0.19700000000000001</v>
      </c>
      <c r="D49">
        <v>0.44</v>
      </c>
      <c r="E49">
        <v>0.35820000000000002</v>
      </c>
      <c r="F49">
        <v>0</v>
      </c>
      <c r="G49">
        <v>5</v>
      </c>
      <c r="H49">
        <v>5</v>
      </c>
    </row>
    <row r="50" spans="1:8">
      <c r="A50">
        <v>48</v>
      </c>
      <c r="B50">
        <v>49</v>
      </c>
      <c r="D50">
        <v>0.44</v>
      </c>
      <c r="E50">
        <v>0.41789999999999999</v>
      </c>
      <c r="F50">
        <v>0</v>
      </c>
      <c r="G50">
        <v>2</v>
      </c>
      <c r="H50">
        <v>2</v>
      </c>
    </row>
    <row r="51" spans="1:8">
      <c r="A51">
        <v>49</v>
      </c>
      <c r="B51">
        <v>50</v>
      </c>
      <c r="C51">
        <v>0.13639999999999999</v>
      </c>
      <c r="D51">
        <v>0.47</v>
      </c>
      <c r="E51">
        <v>0.3881</v>
      </c>
      <c r="F51">
        <v>0</v>
      </c>
      <c r="G51">
        <v>1</v>
      </c>
      <c r="H51">
        <v>1</v>
      </c>
    </row>
    <row r="52" spans="1:8">
      <c r="A52">
        <v>50</v>
      </c>
      <c r="B52">
        <v>51</v>
      </c>
      <c r="C52">
        <v>0.13639999999999999</v>
      </c>
      <c r="D52">
        <v>0.47</v>
      </c>
      <c r="E52">
        <v>0.28360000000000002</v>
      </c>
      <c r="F52">
        <v>0</v>
      </c>
      <c r="G52">
        <v>3</v>
      </c>
      <c r="H52">
        <v>3</v>
      </c>
    </row>
    <row r="53" spans="1:8">
      <c r="A53">
        <v>51</v>
      </c>
      <c r="B53">
        <v>52</v>
      </c>
      <c r="C53">
        <v>0.1061</v>
      </c>
      <c r="D53">
        <v>0.5</v>
      </c>
      <c r="E53">
        <v>0.3881</v>
      </c>
      <c r="F53">
        <v>0</v>
      </c>
      <c r="G53">
        <v>30</v>
      </c>
      <c r="H53">
        <v>30</v>
      </c>
    </row>
    <row r="54" spans="1:8">
      <c r="A54">
        <v>52</v>
      </c>
      <c r="B54">
        <v>53</v>
      </c>
      <c r="C54">
        <v>0.13639999999999999</v>
      </c>
      <c r="D54">
        <v>0.5</v>
      </c>
      <c r="E54">
        <v>0.19400000000000001</v>
      </c>
      <c r="F54">
        <v>1</v>
      </c>
      <c r="G54">
        <v>63</v>
      </c>
      <c r="H54">
        <v>64</v>
      </c>
    </row>
    <row r="55" spans="1:8">
      <c r="A55">
        <v>53</v>
      </c>
      <c r="B55">
        <v>54</v>
      </c>
      <c r="C55">
        <v>0.1212</v>
      </c>
      <c r="D55">
        <v>0.5</v>
      </c>
      <c r="E55">
        <v>0.28360000000000002</v>
      </c>
      <c r="F55">
        <v>1</v>
      </c>
      <c r="G55">
        <v>153</v>
      </c>
      <c r="H55">
        <v>154</v>
      </c>
    </row>
    <row r="56" spans="1:8">
      <c r="A56">
        <v>54</v>
      </c>
      <c r="B56">
        <v>55</v>
      </c>
      <c r="C56">
        <v>0.13639999999999999</v>
      </c>
      <c r="D56">
        <v>0.43</v>
      </c>
      <c r="E56">
        <v>0.3881</v>
      </c>
      <c r="F56">
        <v>7</v>
      </c>
      <c r="G56">
        <v>81</v>
      </c>
      <c r="H56">
        <v>88</v>
      </c>
    </row>
    <row r="57" spans="1:8">
      <c r="A57">
        <v>55</v>
      </c>
      <c r="B57">
        <v>56</v>
      </c>
      <c r="C57">
        <v>0.16669999999999999</v>
      </c>
      <c r="D57">
        <v>0.43</v>
      </c>
      <c r="E57">
        <v>0.25369999999999998</v>
      </c>
      <c r="F57">
        <v>11</v>
      </c>
      <c r="G57">
        <v>33</v>
      </c>
      <c r="H57">
        <v>44</v>
      </c>
    </row>
    <row r="58" spans="1:8">
      <c r="A58">
        <v>56</v>
      </c>
      <c r="B58">
        <v>57</v>
      </c>
      <c r="C58">
        <v>0.18179999999999999</v>
      </c>
      <c r="D58">
        <v>0.4</v>
      </c>
      <c r="E58">
        <v>0.32840000000000003</v>
      </c>
      <c r="F58">
        <v>10</v>
      </c>
      <c r="G58">
        <v>41</v>
      </c>
      <c r="H58">
        <v>51</v>
      </c>
    </row>
    <row r="59" spans="1:8">
      <c r="A59">
        <v>57</v>
      </c>
      <c r="B59">
        <v>58</v>
      </c>
      <c r="C59">
        <v>0.21210000000000001</v>
      </c>
      <c r="D59">
        <v>0.35</v>
      </c>
      <c r="E59">
        <v>0.29849999999999999</v>
      </c>
      <c r="F59">
        <v>13</v>
      </c>
      <c r="G59">
        <v>48</v>
      </c>
      <c r="H59">
        <v>61</v>
      </c>
    </row>
    <row r="60" spans="1:8">
      <c r="A60">
        <v>58</v>
      </c>
      <c r="B60">
        <v>59</v>
      </c>
      <c r="D60">
        <v>0.35</v>
      </c>
      <c r="E60">
        <v>0.28360000000000002</v>
      </c>
      <c r="F60">
        <v>8</v>
      </c>
      <c r="G60">
        <v>53</v>
      </c>
      <c r="H60">
        <v>61</v>
      </c>
    </row>
    <row r="61" spans="1:8">
      <c r="A61">
        <v>59</v>
      </c>
      <c r="B61">
        <v>60</v>
      </c>
      <c r="C61">
        <v>0.2424</v>
      </c>
      <c r="D61">
        <v>0.3</v>
      </c>
      <c r="E61">
        <v>0.28360000000000002</v>
      </c>
      <c r="F61">
        <v>11</v>
      </c>
      <c r="G61">
        <v>66</v>
      </c>
      <c r="H61">
        <v>77</v>
      </c>
    </row>
    <row r="62" spans="1:8">
      <c r="A62">
        <v>60</v>
      </c>
      <c r="B62">
        <v>61</v>
      </c>
      <c r="C62">
        <v>0.2424</v>
      </c>
      <c r="D62">
        <v>0.3</v>
      </c>
      <c r="E62">
        <v>0.25369999999999998</v>
      </c>
      <c r="F62">
        <v>14</v>
      </c>
      <c r="G62">
        <v>58</v>
      </c>
      <c r="H62">
        <v>72</v>
      </c>
    </row>
    <row r="63" spans="1:8">
      <c r="A63">
        <v>61</v>
      </c>
      <c r="B63">
        <v>62</v>
      </c>
      <c r="C63">
        <v>0.2424</v>
      </c>
      <c r="D63">
        <v>0.3</v>
      </c>
      <c r="E63">
        <v>0.25369999999999998</v>
      </c>
      <c r="F63">
        <v>9</v>
      </c>
      <c r="G63">
        <v>67</v>
      </c>
      <c r="H63">
        <v>76</v>
      </c>
    </row>
    <row r="64" spans="1:8">
      <c r="A64">
        <v>62</v>
      </c>
      <c r="B64">
        <v>63</v>
      </c>
      <c r="C64">
        <v>0.2273</v>
      </c>
      <c r="D64">
        <v>0.3</v>
      </c>
      <c r="E64">
        <v>0.22389999999999999</v>
      </c>
      <c r="F64">
        <v>11</v>
      </c>
      <c r="G64">
        <v>146</v>
      </c>
      <c r="H64">
        <v>157</v>
      </c>
    </row>
    <row r="65" spans="1:8">
      <c r="A65">
        <v>63</v>
      </c>
      <c r="B65">
        <v>64</v>
      </c>
      <c r="C65">
        <v>0.2576</v>
      </c>
      <c r="D65">
        <v>0.32</v>
      </c>
      <c r="E65">
        <v>0.1045</v>
      </c>
      <c r="F65">
        <v>9</v>
      </c>
      <c r="G65">
        <v>148</v>
      </c>
      <c r="H65">
        <v>157</v>
      </c>
    </row>
    <row r="66" spans="1:8">
      <c r="A66">
        <v>64</v>
      </c>
      <c r="B66">
        <v>65</v>
      </c>
      <c r="C66">
        <v>0.2576</v>
      </c>
      <c r="D66">
        <v>0.47</v>
      </c>
      <c r="E66">
        <v>0</v>
      </c>
      <c r="F66">
        <v>8</v>
      </c>
      <c r="G66">
        <v>102</v>
      </c>
      <c r="H66">
        <v>110</v>
      </c>
    </row>
    <row r="67" spans="1:8">
      <c r="A67">
        <v>65</v>
      </c>
      <c r="B67">
        <v>66</v>
      </c>
      <c r="D67">
        <v>0.47</v>
      </c>
      <c r="E67">
        <v>0.1045</v>
      </c>
      <c r="F67">
        <v>3</v>
      </c>
      <c r="G67">
        <v>49</v>
      </c>
      <c r="H67">
        <v>52</v>
      </c>
    </row>
    <row r="68" spans="1:8">
      <c r="A68">
        <v>66</v>
      </c>
      <c r="B68">
        <v>67</v>
      </c>
      <c r="C68">
        <v>0.19700000000000001</v>
      </c>
      <c r="D68">
        <v>0.64</v>
      </c>
      <c r="E68">
        <v>0.1343</v>
      </c>
      <c r="F68">
        <v>3</v>
      </c>
      <c r="G68">
        <v>49</v>
      </c>
      <c r="H68">
        <v>52</v>
      </c>
    </row>
    <row r="69" spans="1:8">
      <c r="A69">
        <v>67</v>
      </c>
      <c r="B69">
        <v>68</v>
      </c>
      <c r="C69">
        <v>0.1515</v>
      </c>
      <c r="D69">
        <v>0.69</v>
      </c>
      <c r="E69">
        <v>0.1343</v>
      </c>
      <c r="F69">
        <v>0</v>
      </c>
      <c r="G69">
        <v>20</v>
      </c>
      <c r="H69">
        <v>20</v>
      </c>
    </row>
    <row r="70" spans="1:8">
      <c r="A70">
        <v>68</v>
      </c>
      <c r="B70">
        <v>69</v>
      </c>
      <c r="C70">
        <v>0.21210000000000001</v>
      </c>
      <c r="D70">
        <v>0.55000000000000004</v>
      </c>
      <c r="E70">
        <v>0.1045</v>
      </c>
      <c r="F70">
        <v>1</v>
      </c>
      <c r="G70">
        <v>11</v>
      </c>
      <c r="H70">
        <v>12</v>
      </c>
    </row>
    <row r="71" spans="1:8">
      <c r="A71">
        <v>69</v>
      </c>
      <c r="B71">
        <v>70</v>
      </c>
      <c r="D71">
        <v>0.55000000000000004</v>
      </c>
      <c r="E71">
        <v>0.1045</v>
      </c>
      <c r="F71">
        <v>0</v>
      </c>
      <c r="G71">
        <v>5</v>
      </c>
      <c r="H71">
        <v>5</v>
      </c>
    </row>
    <row r="72" spans="1:8">
      <c r="A72">
        <v>70</v>
      </c>
      <c r="B72">
        <v>71</v>
      </c>
      <c r="C72">
        <v>0.18179999999999999</v>
      </c>
      <c r="D72">
        <v>0.59</v>
      </c>
      <c r="E72">
        <v>0.1045</v>
      </c>
      <c r="F72">
        <v>0</v>
      </c>
      <c r="G72">
        <v>2</v>
      </c>
      <c r="H72">
        <v>2</v>
      </c>
    </row>
    <row r="73" spans="1:8">
      <c r="A73">
        <v>71</v>
      </c>
      <c r="B73">
        <v>72</v>
      </c>
      <c r="C73">
        <v>0.1515</v>
      </c>
      <c r="D73">
        <v>0.63</v>
      </c>
      <c r="E73">
        <v>0.1343</v>
      </c>
      <c r="F73">
        <v>0</v>
      </c>
      <c r="G73">
        <v>1</v>
      </c>
      <c r="H73">
        <v>1</v>
      </c>
    </row>
    <row r="74" spans="1:8">
      <c r="A74">
        <v>72</v>
      </c>
      <c r="B74">
        <v>73</v>
      </c>
      <c r="C74">
        <v>0.18179999999999999</v>
      </c>
      <c r="D74">
        <v>0.63</v>
      </c>
      <c r="E74">
        <v>8.9599999999999999E-2</v>
      </c>
      <c r="F74">
        <v>0</v>
      </c>
      <c r="G74">
        <v>2</v>
      </c>
      <c r="H74">
        <v>2</v>
      </c>
    </row>
    <row r="75" spans="1:8">
      <c r="A75">
        <v>73</v>
      </c>
      <c r="B75">
        <v>74</v>
      </c>
      <c r="C75">
        <v>0.1515</v>
      </c>
      <c r="D75">
        <v>0.68</v>
      </c>
      <c r="E75">
        <v>0.1045</v>
      </c>
      <c r="F75">
        <v>0</v>
      </c>
      <c r="G75">
        <v>4</v>
      </c>
      <c r="H75">
        <v>4</v>
      </c>
    </row>
    <row r="76" spans="1:8">
      <c r="A76">
        <v>74</v>
      </c>
      <c r="B76">
        <v>75</v>
      </c>
      <c r="C76">
        <v>0.1515</v>
      </c>
      <c r="D76">
        <v>0.74</v>
      </c>
      <c r="E76">
        <v>0.1045</v>
      </c>
      <c r="F76">
        <v>0</v>
      </c>
      <c r="G76">
        <v>36</v>
      </c>
      <c r="H76">
        <v>36</v>
      </c>
    </row>
    <row r="77" spans="1:8">
      <c r="A77">
        <v>75</v>
      </c>
      <c r="B77">
        <v>76</v>
      </c>
      <c r="C77">
        <v>0.1515</v>
      </c>
      <c r="D77">
        <v>0.74</v>
      </c>
      <c r="E77">
        <v>0.1343</v>
      </c>
      <c r="F77">
        <v>2</v>
      </c>
      <c r="G77">
        <v>92</v>
      </c>
      <c r="H77">
        <v>94</v>
      </c>
    </row>
    <row r="78" spans="1:8">
      <c r="A78">
        <v>76</v>
      </c>
      <c r="B78">
        <v>77</v>
      </c>
      <c r="C78">
        <v>0.1515</v>
      </c>
      <c r="D78">
        <v>0.69</v>
      </c>
      <c r="E78">
        <v>0.16420000000000001</v>
      </c>
      <c r="F78">
        <v>2</v>
      </c>
      <c r="G78">
        <v>177</v>
      </c>
      <c r="H78">
        <v>179</v>
      </c>
    </row>
    <row r="79" spans="1:8">
      <c r="A79">
        <v>77</v>
      </c>
      <c r="B79">
        <v>78</v>
      </c>
      <c r="C79">
        <v>0.1515</v>
      </c>
      <c r="D79">
        <v>0.64</v>
      </c>
      <c r="E79">
        <v>0.22389999999999999</v>
      </c>
      <c r="F79">
        <v>2</v>
      </c>
      <c r="G79">
        <v>98</v>
      </c>
      <c r="H79">
        <v>100</v>
      </c>
    </row>
    <row r="80" spans="1:8">
      <c r="A80">
        <v>78</v>
      </c>
      <c r="B80">
        <v>79</v>
      </c>
      <c r="C80">
        <v>0.13639999999999999</v>
      </c>
      <c r="D80">
        <v>0.69</v>
      </c>
      <c r="E80">
        <v>0.32840000000000003</v>
      </c>
      <c r="F80">
        <v>5</v>
      </c>
      <c r="G80">
        <v>37</v>
      </c>
      <c r="H80">
        <v>42</v>
      </c>
    </row>
    <row r="81" spans="1:8">
      <c r="A81">
        <v>79</v>
      </c>
      <c r="B81">
        <v>80</v>
      </c>
      <c r="C81">
        <v>0.21210000000000001</v>
      </c>
      <c r="D81">
        <v>0.51</v>
      </c>
      <c r="E81">
        <v>0.29849999999999999</v>
      </c>
      <c r="F81">
        <v>7</v>
      </c>
      <c r="G81">
        <v>50</v>
      </c>
      <c r="H81">
        <v>57</v>
      </c>
    </row>
    <row r="82" spans="1:8">
      <c r="A82">
        <v>80</v>
      </c>
      <c r="B82">
        <v>81</v>
      </c>
      <c r="C82">
        <v>0.2273</v>
      </c>
      <c r="D82">
        <v>0.51</v>
      </c>
      <c r="E82">
        <v>0.16420000000000001</v>
      </c>
      <c r="F82">
        <v>12</v>
      </c>
      <c r="G82">
        <v>66</v>
      </c>
      <c r="H82">
        <v>78</v>
      </c>
    </row>
    <row r="83" spans="1:8">
      <c r="A83">
        <v>81</v>
      </c>
      <c r="B83">
        <v>82</v>
      </c>
      <c r="C83">
        <v>0.2273</v>
      </c>
      <c r="D83">
        <v>0.56000000000000005</v>
      </c>
      <c r="E83">
        <v>0.19400000000000001</v>
      </c>
      <c r="F83">
        <v>18</v>
      </c>
      <c r="G83">
        <v>79</v>
      </c>
      <c r="H83">
        <v>97</v>
      </c>
    </row>
    <row r="84" spans="1:8">
      <c r="A84">
        <v>82</v>
      </c>
      <c r="B84">
        <v>83</v>
      </c>
      <c r="C84">
        <v>0.2576</v>
      </c>
      <c r="D84">
        <v>0.52</v>
      </c>
      <c r="E84">
        <v>0.22389999999999999</v>
      </c>
      <c r="F84">
        <v>9</v>
      </c>
      <c r="G84">
        <v>54</v>
      </c>
      <c r="H84">
        <v>63</v>
      </c>
    </row>
    <row r="85" spans="1:8">
      <c r="A85">
        <v>83</v>
      </c>
      <c r="B85">
        <v>84</v>
      </c>
      <c r="C85">
        <v>0.2727</v>
      </c>
      <c r="D85">
        <v>0.52</v>
      </c>
      <c r="E85">
        <v>0.25369999999999998</v>
      </c>
      <c r="F85">
        <v>17</v>
      </c>
      <c r="G85">
        <v>48</v>
      </c>
      <c r="H85">
        <v>65</v>
      </c>
    </row>
    <row r="86" spans="1:8">
      <c r="A86">
        <v>84</v>
      </c>
      <c r="B86">
        <v>85</v>
      </c>
      <c r="C86">
        <v>0.28789999999999999</v>
      </c>
      <c r="D86">
        <v>0.49</v>
      </c>
      <c r="E86">
        <v>0.25369999999999998</v>
      </c>
      <c r="F86">
        <v>15</v>
      </c>
      <c r="G86">
        <v>68</v>
      </c>
      <c r="H86">
        <v>83</v>
      </c>
    </row>
    <row r="87" spans="1:8">
      <c r="A87">
        <v>85</v>
      </c>
      <c r="B87">
        <v>86</v>
      </c>
      <c r="C87">
        <v>0.2727</v>
      </c>
      <c r="D87">
        <v>0.48</v>
      </c>
      <c r="E87">
        <v>0.22389999999999999</v>
      </c>
      <c r="F87">
        <v>10</v>
      </c>
      <c r="G87">
        <v>202</v>
      </c>
      <c r="H87">
        <v>212</v>
      </c>
    </row>
    <row r="88" spans="1:8">
      <c r="A88">
        <v>86</v>
      </c>
      <c r="B88">
        <v>87</v>
      </c>
      <c r="C88">
        <v>0.2576</v>
      </c>
      <c r="D88">
        <v>0.48</v>
      </c>
      <c r="E88">
        <v>0.19400000000000001</v>
      </c>
      <c r="F88">
        <v>3</v>
      </c>
      <c r="G88">
        <v>179</v>
      </c>
      <c r="H88">
        <v>182</v>
      </c>
    </row>
    <row r="89" spans="1:8">
      <c r="A89">
        <v>87</v>
      </c>
      <c r="B89">
        <v>88</v>
      </c>
      <c r="C89">
        <v>0.2576</v>
      </c>
      <c r="D89">
        <v>0.48</v>
      </c>
      <c r="E89">
        <v>0.1045</v>
      </c>
      <c r="F89">
        <v>2</v>
      </c>
      <c r="G89">
        <v>110</v>
      </c>
      <c r="H89">
        <v>112</v>
      </c>
    </row>
    <row r="90" spans="1:8">
      <c r="A90">
        <v>88</v>
      </c>
      <c r="B90">
        <v>89</v>
      </c>
      <c r="C90">
        <v>0.2576</v>
      </c>
      <c r="D90">
        <v>0.48</v>
      </c>
      <c r="E90">
        <v>0.1045</v>
      </c>
      <c r="F90">
        <v>1</v>
      </c>
      <c r="G90">
        <v>53</v>
      </c>
      <c r="H90">
        <v>54</v>
      </c>
    </row>
    <row r="91" spans="1:8">
      <c r="A91">
        <v>89</v>
      </c>
      <c r="B91">
        <v>90</v>
      </c>
      <c r="C91">
        <v>0.2727</v>
      </c>
      <c r="D91">
        <v>0.64</v>
      </c>
      <c r="E91">
        <v>0</v>
      </c>
      <c r="F91">
        <v>0</v>
      </c>
      <c r="G91">
        <v>48</v>
      </c>
      <c r="H91">
        <v>48</v>
      </c>
    </row>
    <row r="92" spans="1:8">
      <c r="A92">
        <v>90</v>
      </c>
      <c r="B92">
        <v>91</v>
      </c>
      <c r="C92">
        <v>0.2576</v>
      </c>
      <c r="D92">
        <v>0.64</v>
      </c>
      <c r="E92">
        <v>8.9599999999999999E-2</v>
      </c>
      <c r="F92">
        <v>1</v>
      </c>
      <c r="G92">
        <v>34</v>
      </c>
      <c r="H92">
        <v>35</v>
      </c>
    </row>
    <row r="93" spans="1:8">
      <c r="A93">
        <v>91</v>
      </c>
      <c r="B93">
        <v>92</v>
      </c>
      <c r="C93">
        <v>0.2273</v>
      </c>
      <c r="D93">
        <v>0.69</v>
      </c>
      <c r="E93">
        <v>8.9599999999999999E-2</v>
      </c>
      <c r="F93">
        <v>2</v>
      </c>
      <c r="G93">
        <v>9</v>
      </c>
      <c r="H93">
        <v>11</v>
      </c>
    </row>
    <row r="94" spans="1:8">
      <c r="A94">
        <v>92</v>
      </c>
      <c r="B94">
        <v>93</v>
      </c>
      <c r="C94">
        <v>0.2576</v>
      </c>
      <c r="D94">
        <v>0.64</v>
      </c>
      <c r="E94">
        <v>0</v>
      </c>
      <c r="F94">
        <v>0</v>
      </c>
      <c r="G94">
        <v>6</v>
      </c>
      <c r="H94">
        <v>6</v>
      </c>
    </row>
    <row r="95" spans="1:8">
      <c r="A95">
        <v>93</v>
      </c>
      <c r="B95">
        <v>94</v>
      </c>
      <c r="C95">
        <v>0.19700000000000001</v>
      </c>
      <c r="D95">
        <v>0.74</v>
      </c>
      <c r="E95">
        <v>8.9599999999999999E-2</v>
      </c>
      <c r="F95">
        <v>0</v>
      </c>
      <c r="G95">
        <v>6</v>
      </c>
      <c r="H95">
        <v>6</v>
      </c>
    </row>
    <row r="96" spans="1:8">
      <c r="A96">
        <v>94</v>
      </c>
      <c r="B96">
        <v>95</v>
      </c>
      <c r="C96">
        <v>0.19700000000000001</v>
      </c>
      <c r="D96">
        <v>0.74</v>
      </c>
      <c r="E96">
        <v>8.9599999999999999E-2</v>
      </c>
      <c r="F96">
        <v>0</v>
      </c>
      <c r="G96">
        <v>2</v>
      </c>
      <c r="H96">
        <v>2</v>
      </c>
    </row>
    <row r="97" spans="1:8">
      <c r="A97">
        <v>95</v>
      </c>
      <c r="B97">
        <v>96</v>
      </c>
      <c r="C97">
        <v>0.2273</v>
      </c>
      <c r="D97">
        <v>0.48</v>
      </c>
      <c r="E97">
        <v>0.22389999999999999</v>
      </c>
      <c r="F97">
        <v>0</v>
      </c>
      <c r="G97">
        <v>2</v>
      </c>
      <c r="H97">
        <v>2</v>
      </c>
    </row>
    <row r="98" spans="1:8">
      <c r="A98">
        <v>96</v>
      </c>
      <c r="B98">
        <v>97</v>
      </c>
      <c r="C98">
        <v>0.2273</v>
      </c>
      <c r="D98">
        <v>0.47</v>
      </c>
      <c r="E98">
        <v>0.16420000000000001</v>
      </c>
      <c r="F98">
        <v>0</v>
      </c>
      <c r="G98">
        <v>3</v>
      </c>
      <c r="H98">
        <v>3</v>
      </c>
    </row>
    <row r="99" spans="1:8">
      <c r="A99">
        <v>97</v>
      </c>
      <c r="B99">
        <v>98</v>
      </c>
      <c r="C99">
        <v>0.19700000000000001</v>
      </c>
      <c r="D99">
        <v>0.47</v>
      </c>
      <c r="E99">
        <v>0.22389999999999999</v>
      </c>
      <c r="F99">
        <v>0</v>
      </c>
      <c r="G99">
        <v>33</v>
      </c>
      <c r="H99">
        <v>33</v>
      </c>
    </row>
    <row r="100" spans="1:8">
      <c r="A100">
        <v>98</v>
      </c>
      <c r="B100">
        <v>99</v>
      </c>
      <c r="C100">
        <v>0.18179999999999999</v>
      </c>
      <c r="D100">
        <v>0.43</v>
      </c>
      <c r="E100">
        <v>0.19400000000000001</v>
      </c>
      <c r="F100">
        <v>1</v>
      </c>
      <c r="G100">
        <v>87</v>
      </c>
      <c r="H100">
        <v>88</v>
      </c>
    </row>
    <row r="101" spans="1:8">
      <c r="A101">
        <v>99</v>
      </c>
      <c r="B101">
        <v>100</v>
      </c>
      <c r="C101">
        <v>0.18179999999999999</v>
      </c>
      <c r="D101">
        <v>0.4</v>
      </c>
      <c r="E101">
        <v>0.29849999999999999</v>
      </c>
      <c r="F101">
        <v>3</v>
      </c>
      <c r="G101">
        <v>192</v>
      </c>
      <c r="H101">
        <v>195</v>
      </c>
    </row>
    <row r="102" spans="1:8">
      <c r="A102">
        <v>100</v>
      </c>
      <c r="B102">
        <v>101</v>
      </c>
      <c r="C102">
        <v>0.19700000000000001</v>
      </c>
      <c r="D102">
        <v>0.37</v>
      </c>
      <c r="E102">
        <v>0.32840000000000003</v>
      </c>
      <c r="F102">
        <v>6</v>
      </c>
      <c r="G102">
        <v>109</v>
      </c>
      <c r="H102">
        <v>115</v>
      </c>
    </row>
    <row r="103" spans="1:8">
      <c r="A103">
        <v>101</v>
      </c>
      <c r="B103">
        <v>102</v>
      </c>
      <c r="C103">
        <v>0.19700000000000001</v>
      </c>
      <c r="D103">
        <v>0.37</v>
      </c>
      <c r="E103">
        <v>0.32840000000000003</v>
      </c>
      <c r="F103">
        <v>4</v>
      </c>
      <c r="G103">
        <v>53</v>
      </c>
      <c r="H103">
        <v>57</v>
      </c>
    </row>
    <row r="104" spans="1:8">
      <c r="A104">
        <v>102</v>
      </c>
      <c r="B104">
        <v>103</v>
      </c>
      <c r="C104">
        <v>0.2273</v>
      </c>
      <c r="D104">
        <v>0.33</v>
      </c>
      <c r="E104">
        <v>0.32840000000000003</v>
      </c>
      <c r="F104">
        <v>12</v>
      </c>
      <c r="G104">
        <v>34</v>
      </c>
      <c r="H104">
        <v>46</v>
      </c>
    </row>
    <row r="105" spans="1:8">
      <c r="A105">
        <v>103</v>
      </c>
      <c r="B105">
        <v>104</v>
      </c>
      <c r="C105">
        <v>0.2273</v>
      </c>
      <c r="D105">
        <v>0.33</v>
      </c>
      <c r="E105">
        <v>0.32840000000000003</v>
      </c>
      <c r="F105">
        <v>5</v>
      </c>
      <c r="G105">
        <v>74</v>
      </c>
      <c r="H105">
        <v>79</v>
      </c>
    </row>
    <row r="106" spans="1:8">
      <c r="A106">
        <v>104</v>
      </c>
      <c r="B106">
        <v>105</v>
      </c>
      <c r="C106">
        <v>0.2576</v>
      </c>
      <c r="D106">
        <v>0.3</v>
      </c>
      <c r="E106">
        <v>0.29849999999999999</v>
      </c>
      <c r="F106">
        <v>6</v>
      </c>
      <c r="G106">
        <v>65</v>
      </c>
      <c r="H106">
        <v>71</v>
      </c>
    </row>
    <row r="107" spans="1:8">
      <c r="A107">
        <v>105</v>
      </c>
      <c r="B107">
        <v>106</v>
      </c>
      <c r="C107">
        <v>0.28789999999999999</v>
      </c>
      <c r="D107">
        <v>0.28000000000000003</v>
      </c>
      <c r="E107">
        <v>0.19400000000000001</v>
      </c>
      <c r="F107">
        <v>10</v>
      </c>
      <c r="G107">
        <v>52</v>
      </c>
      <c r="H107">
        <v>62</v>
      </c>
    </row>
    <row r="108" spans="1:8">
      <c r="A108">
        <v>106</v>
      </c>
      <c r="B108">
        <v>107</v>
      </c>
      <c r="C108">
        <v>0.28789999999999999</v>
      </c>
      <c r="D108">
        <v>0.28000000000000003</v>
      </c>
      <c r="E108">
        <v>0.19400000000000001</v>
      </c>
      <c r="F108">
        <v>7</v>
      </c>
      <c r="G108">
        <v>55</v>
      </c>
      <c r="H108">
        <v>62</v>
      </c>
    </row>
    <row r="109" spans="1:8">
      <c r="A109">
        <v>107</v>
      </c>
      <c r="B109">
        <v>108</v>
      </c>
      <c r="C109">
        <v>0.31819999999999998</v>
      </c>
      <c r="D109">
        <v>0.28000000000000003</v>
      </c>
      <c r="E109">
        <v>8.9599999999999999E-2</v>
      </c>
      <c r="F109">
        <v>4</v>
      </c>
      <c r="G109">
        <v>85</v>
      </c>
      <c r="H109">
        <v>89</v>
      </c>
    </row>
    <row r="110" spans="1:8">
      <c r="A110">
        <v>108</v>
      </c>
      <c r="B110">
        <v>109</v>
      </c>
      <c r="C110">
        <v>0.2273</v>
      </c>
      <c r="D110">
        <v>0.38</v>
      </c>
      <c r="E110">
        <v>0.19400000000000001</v>
      </c>
      <c r="F110">
        <v>4</v>
      </c>
      <c r="G110">
        <v>186</v>
      </c>
      <c r="H110">
        <v>190</v>
      </c>
    </row>
    <row r="111" spans="1:8">
      <c r="A111">
        <v>109</v>
      </c>
      <c r="B111">
        <v>110</v>
      </c>
      <c r="C111">
        <v>0.2424</v>
      </c>
      <c r="D111">
        <v>0.38</v>
      </c>
      <c r="E111">
        <v>0.1343</v>
      </c>
      <c r="F111">
        <v>3</v>
      </c>
      <c r="G111">
        <v>166</v>
      </c>
      <c r="H111">
        <v>169</v>
      </c>
    </row>
    <row r="112" spans="1:8">
      <c r="A112">
        <v>110</v>
      </c>
      <c r="B112">
        <v>111</v>
      </c>
      <c r="C112">
        <v>0.2576</v>
      </c>
      <c r="D112">
        <v>0.38</v>
      </c>
      <c r="E112">
        <v>0.1045</v>
      </c>
      <c r="F112">
        <v>5</v>
      </c>
      <c r="G112">
        <v>127</v>
      </c>
      <c r="H112">
        <v>132</v>
      </c>
    </row>
    <row r="113" spans="1:8">
      <c r="A113">
        <v>111</v>
      </c>
      <c r="B113">
        <v>112</v>
      </c>
      <c r="C113">
        <v>0.2273</v>
      </c>
      <c r="D113">
        <v>0.47</v>
      </c>
      <c r="E113">
        <v>0.16420000000000001</v>
      </c>
      <c r="F113">
        <v>7</v>
      </c>
      <c r="G113">
        <v>82</v>
      </c>
      <c r="H113">
        <v>89</v>
      </c>
    </row>
    <row r="114" spans="1:8">
      <c r="A114">
        <v>112</v>
      </c>
      <c r="B114">
        <v>113</v>
      </c>
      <c r="C114">
        <v>0.19700000000000001</v>
      </c>
      <c r="D114">
        <v>0.51</v>
      </c>
      <c r="E114">
        <v>0.19400000000000001</v>
      </c>
      <c r="F114">
        <v>3</v>
      </c>
      <c r="G114">
        <v>40</v>
      </c>
      <c r="H114">
        <v>43</v>
      </c>
    </row>
    <row r="115" spans="1:8">
      <c r="A115">
        <v>113</v>
      </c>
      <c r="B115">
        <v>114</v>
      </c>
      <c r="C115">
        <v>0.19700000000000001</v>
      </c>
      <c r="D115">
        <v>0.55000000000000004</v>
      </c>
      <c r="E115">
        <v>0.1343</v>
      </c>
      <c r="F115">
        <v>1</v>
      </c>
      <c r="G115">
        <v>41</v>
      </c>
      <c r="H115">
        <v>42</v>
      </c>
    </row>
    <row r="116" spans="1:8">
      <c r="A116">
        <v>114</v>
      </c>
      <c r="B116">
        <v>115</v>
      </c>
      <c r="C116">
        <v>0.2576</v>
      </c>
      <c r="D116">
        <v>0.47</v>
      </c>
      <c r="E116">
        <v>0</v>
      </c>
      <c r="F116">
        <v>1</v>
      </c>
      <c r="G116">
        <v>18</v>
      </c>
      <c r="H116">
        <v>19</v>
      </c>
    </row>
    <row r="117" spans="1:8">
      <c r="A117">
        <v>115</v>
      </c>
      <c r="B117">
        <v>116</v>
      </c>
      <c r="C117">
        <v>0.2424</v>
      </c>
      <c r="D117">
        <v>0.55000000000000004</v>
      </c>
      <c r="E117">
        <v>0</v>
      </c>
      <c r="F117">
        <v>0</v>
      </c>
      <c r="G117">
        <v>11</v>
      </c>
      <c r="H117">
        <v>11</v>
      </c>
    </row>
    <row r="118" spans="1:8">
      <c r="A118">
        <v>116</v>
      </c>
      <c r="B118">
        <v>117</v>
      </c>
      <c r="C118">
        <v>0.2273</v>
      </c>
      <c r="D118">
        <v>0.64</v>
      </c>
      <c r="E118">
        <v>0</v>
      </c>
      <c r="F118">
        <v>0</v>
      </c>
      <c r="G118">
        <v>4</v>
      </c>
      <c r="H118">
        <v>4</v>
      </c>
    </row>
    <row r="119" spans="1:8">
      <c r="A119">
        <v>117</v>
      </c>
      <c r="B119">
        <v>118</v>
      </c>
      <c r="C119">
        <v>0.2273</v>
      </c>
      <c r="D119">
        <v>0.64</v>
      </c>
      <c r="E119">
        <v>0</v>
      </c>
      <c r="F119">
        <v>0</v>
      </c>
      <c r="G119">
        <v>2</v>
      </c>
      <c r="H119">
        <v>2</v>
      </c>
    </row>
    <row r="120" spans="1:8">
      <c r="A120">
        <v>118</v>
      </c>
      <c r="B120">
        <v>119</v>
      </c>
      <c r="C120">
        <v>0.19700000000000001</v>
      </c>
      <c r="D120">
        <v>0.64</v>
      </c>
      <c r="E120">
        <v>8.9599999999999999E-2</v>
      </c>
      <c r="F120">
        <v>0</v>
      </c>
      <c r="G120">
        <v>1</v>
      </c>
      <c r="H120">
        <v>1</v>
      </c>
    </row>
    <row r="121" spans="1:8">
      <c r="A121">
        <v>119</v>
      </c>
      <c r="B121">
        <v>120</v>
      </c>
      <c r="C121">
        <v>0.18179999999999999</v>
      </c>
      <c r="D121">
        <v>0.69</v>
      </c>
      <c r="E121">
        <v>8.9599999999999999E-2</v>
      </c>
      <c r="F121">
        <v>0</v>
      </c>
      <c r="G121">
        <v>4</v>
      </c>
      <c r="H121">
        <v>4</v>
      </c>
    </row>
    <row r="122" spans="1:8">
      <c r="A122">
        <v>120</v>
      </c>
      <c r="B122">
        <v>121</v>
      </c>
      <c r="C122">
        <v>0.16669999999999999</v>
      </c>
      <c r="D122">
        <v>0.63</v>
      </c>
      <c r="E122">
        <v>0.1045</v>
      </c>
      <c r="F122">
        <v>0</v>
      </c>
      <c r="G122">
        <v>36</v>
      </c>
      <c r="H122">
        <v>36</v>
      </c>
    </row>
    <row r="123" spans="1:8">
      <c r="A123">
        <v>121</v>
      </c>
      <c r="B123">
        <v>122</v>
      </c>
      <c r="C123">
        <v>0.2273</v>
      </c>
      <c r="D123">
        <v>0.59</v>
      </c>
      <c r="E123">
        <v>0</v>
      </c>
      <c r="F123">
        <v>0</v>
      </c>
      <c r="G123">
        <v>95</v>
      </c>
      <c r="H123">
        <v>95</v>
      </c>
    </row>
    <row r="124" spans="1:8">
      <c r="A124">
        <v>122</v>
      </c>
      <c r="B124">
        <v>123</v>
      </c>
      <c r="C124">
        <v>0.2273</v>
      </c>
      <c r="D124">
        <v>0.59</v>
      </c>
      <c r="E124">
        <v>0</v>
      </c>
      <c r="F124">
        <v>3</v>
      </c>
      <c r="G124">
        <v>216</v>
      </c>
      <c r="H124">
        <v>219</v>
      </c>
    </row>
    <row r="125" spans="1:8">
      <c r="A125">
        <v>123</v>
      </c>
      <c r="B125">
        <v>124</v>
      </c>
      <c r="C125">
        <v>0.2424</v>
      </c>
      <c r="D125">
        <v>0.51</v>
      </c>
      <c r="E125">
        <v>0</v>
      </c>
      <c r="F125">
        <v>6</v>
      </c>
      <c r="G125">
        <v>116</v>
      </c>
      <c r="H125">
        <v>122</v>
      </c>
    </row>
    <row r="126" spans="1:8">
      <c r="A126">
        <v>124</v>
      </c>
      <c r="B126">
        <v>125</v>
      </c>
      <c r="C126">
        <v>0.2576</v>
      </c>
      <c r="D126">
        <v>0.47</v>
      </c>
      <c r="E126">
        <v>0</v>
      </c>
      <c r="F126">
        <v>3</v>
      </c>
      <c r="G126">
        <v>42</v>
      </c>
      <c r="H126">
        <v>45</v>
      </c>
    </row>
    <row r="127" spans="1:8">
      <c r="A127">
        <v>125</v>
      </c>
      <c r="B127">
        <v>126</v>
      </c>
      <c r="C127">
        <v>0.2576</v>
      </c>
      <c r="D127">
        <v>0.44</v>
      </c>
      <c r="E127">
        <v>8.9599999999999999E-2</v>
      </c>
      <c r="F127">
        <v>2</v>
      </c>
      <c r="G127">
        <v>57</v>
      </c>
      <c r="H127">
        <v>59</v>
      </c>
    </row>
    <row r="128" spans="1:8">
      <c r="A128">
        <v>126</v>
      </c>
      <c r="B128">
        <v>127</v>
      </c>
      <c r="C128">
        <v>0.28789999999999999</v>
      </c>
      <c r="D128">
        <v>0.35</v>
      </c>
      <c r="E128">
        <v>0</v>
      </c>
      <c r="F128">
        <v>6</v>
      </c>
      <c r="G128">
        <v>78</v>
      </c>
      <c r="H128">
        <v>84</v>
      </c>
    </row>
    <row r="129" spans="1:8">
      <c r="A129">
        <v>127</v>
      </c>
      <c r="B129">
        <v>128</v>
      </c>
      <c r="C129">
        <v>0.2727</v>
      </c>
      <c r="D129">
        <v>0.35</v>
      </c>
      <c r="E129">
        <v>0.1045</v>
      </c>
      <c r="F129">
        <v>12</v>
      </c>
      <c r="G129">
        <v>55</v>
      </c>
      <c r="H129">
        <v>67</v>
      </c>
    </row>
    <row r="130" spans="1:8">
      <c r="A130">
        <v>128</v>
      </c>
      <c r="B130">
        <v>129</v>
      </c>
      <c r="C130">
        <v>0.2727</v>
      </c>
      <c r="D130">
        <v>0.36</v>
      </c>
      <c r="E130">
        <v>0.16420000000000001</v>
      </c>
      <c r="F130">
        <v>11</v>
      </c>
      <c r="G130">
        <v>59</v>
      </c>
      <c r="H130">
        <v>70</v>
      </c>
    </row>
    <row r="131" spans="1:8">
      <c r="A131">
        <v>129</v>
      </c>
      <c r="B131">
        <v>130</v>
      </c>
      <c r="C131">
        <v>0.2727</v>
      </c>
      <c r="D131">
        <v>0.36</v>
      </c>
      <c r="E131">
        <v>0</v>
      </c>
      <c r="F131">
        <v>8</v>
      </c>
      <c r="G131">
        <v>54</v>
      </c>
      <c r="H131">
        <v>62</v>
      </c>
    </row>
    <row r="132" spans="1:8">
      <c r="A132">
        <v>130</v>
      </c>
      <c r="B132">
        <v>131</v>
      </c>
      <c r="C132">
        <v>0.2576</v>
      </c>
      <c r="D132">
        <v>0.38</v>
      </c>
      <c r="E132">
        <v>0.16420000000000001</v>
      </c>
      <c r="F132">
        <v>12</v>
      </c>
      <c r="G132">
        <v>74</v>
      </c>
      <c r="H132">
        <v>86</v>
      </c>
    </row>
    <row r="133" spans="1:8">
      <c r="A133">
        <v>131</v>
      </c>
      <c r="B133">
        <v>132</v>
      </c>
      <c r="C133">
        <v>0.2273</v>
      </c>
      <c r="D133">
        <v>0.51</v>
      </c>
      <c r="E133">
        <v>0.16420000000000001</v>
      </c>
      <c r="F133">
        <v>9</v>
      </c>
      <c r="G133">
        <v>163</v>
      </c>
      <c r="H133">
        <v>172</v>
      </c>
    </row>
    <row r="134" spans="1:8">
      <c r="A134">
        <v>132</v>
      </c>
      <c r="B134">
        <v>133</v>
      </c>
      <c r="C134">
        <v>0.2273</v>
      </c>
      <c r="D134">
        <v>0.51</v>
      </c>
      <c r="E134">
        <v>0.1343</v>
      </c>
      <c r="F134">
        <v>5</v>
      </c>
      <c r="G134">
        <v>158</v>
      </c>
      <c r="H134">
        <v>163</v>
      </c>
    </row>
    <row r="135" spans="1:8">
      <c r="A135">
        <v>133</v>
      </c>
      <c r="B135">
        <v>134</v>
      </c>
      <c r="C135">
        <v>0.2576</v>
      </c>
      <c r="D135">
        <v>0.55000000000000004</v>
      </c>
      <c r="E135">
        <v>8.9599999999999999E-2</v>
      </c>
      <c r="F135">
        <v>3</v>
      </c>
      <c r="G135">
        <v>109</v>
      </c>
      <c r="H135">
        <v>112</v>
      </c>
    </row>
    <row r="136" spans="1:8">
      <c r="A136">
        <v>134</v>
      </c>
      <c r="B136">
        <v>135</v>
      </c>
      <c r="C136">
        <v>0.21210000000000001</v>
      </c>
      <c r="D136">
        <v>0.51</v>
      </c>
      <c r="E136">
        <v>0.16420000000000001</v>
      </c>
      <c r="F136">
        <v>3</v>
      </c>
      <c r="G136">
        <v>66</v>
      </c>
      <c r="H136">
        <v>69</v>
      </c>
    </row>
    <row r="137" spans="1:8">
      <c r="A137">
        <v>135</v>
      </c>
      <c r="B137">
        <v>136</v>
      </c>
      <c r="C137">
        <v>0.21210000000000001</v>
      </c>
      <c r="D137">
        <v>0.55000000000000004</v>
      </c>
      <c r="E137">
        <v>0.22389999999999999</v>
      </c>
      <c r="F137">
        <v>0</v>
      </c>
      <c r="G137">
        <v>48</v>
      </c>
      <c r="H137">
        <v>48</v>
      </c>
    </row>
    <row r="138" spans="1:8">
      <c r="A138">
        <v>136</v>
      </c>
      <c r="B138">
        <v>137</v>
      </c>
      <c r="C138">
        <v>0.21210000000000001</v>
      </c>
      <c r="D138">
        <v>0.51</v>
      </c>
      <c r="E138">
        <v>0.28360000000000002</v>
      </c>
      <c r="F138">
        <v>1</v>
      </c>
      <c r="G138">
        <v>51</v>
      </c>
      <c r="H138">
        <v>52</v>
      </c>
    </row>
    <row r="139" spans="1:8">
      <c r="A139">
        <v>137</v>
      </c>
      <c r="B139">
        <v>138</v>
      </c>
      <c r="C139">
        <v>0.19700000000000001</v>
      </c>
      <c r="D139">
        <v>0.59</v>
      </c>
      <c r="E139">
        <v>0.19400000000000001</v>
      </c>
      <c r="F139">
        <v>4</v>
      </c>
      <c r="G139">
        <v>19</v>
      </c>
      <c r="H139">
        <v>23</v>
      </c>
    </row>
    <row r="140" spans="1:8">
      <c r="A140">
        <v>138</v>
      </c>
      <c r="B140">
        <v>139</v>
      </c>
      <c r="C140">
        <v>0.19700000000000001</v>
      </c>
      <c r="D140">
        <v>0.64</v>
      </c>
      <c r="E140">
        <v>0.19400000000000001</v>
      </c>
      <c r="F140">
        <v>4</v>
      </c>
      <c r="G140">
        <v>13</v>
      </c>
      <c r="H140">
        <v>17</v>
      </c>
    </row>
    <row r="141" spans="1:8">
      <c r="A141">
        <v>139</v>
      </c>
      <c r="B141">
        <v>140</v>
      </c>
      <c r="C141">
        <v>0.19700000000000001</v>
      </c>
      <c r="D141">
        <v>0.69</v>
      </c>
      <c r="E141">
        <v>0.22389999999999999</v>
      </c>
      <c r="F141">
        <v>2</v>
      </c>
      <c r="G141">
        <v>5</v>
      </c>
      <c r="H141">
        <v>7</v>
      </c>
    </row>
    <row r="142" spans="1:8">
      <c r="A142">
        <v>140</v>
      </c>
      <c r="B142">
        <v>141</v>
      </c>
      <c r="C142">
        <v>0.19700000000000001</v>
      </c>
      <c r="D142">
        <v>0.69</v>
      </c>
      <c r="E142">
        <v>0.22389999999999999</v>
      </c>
      <c r="F142">
        <v>0</v>
      </c>
      <c r="G142">
        <v>1</v>
      </c>
      <c r="H142">
        <v>1</v>
      </c>
    </row>
    <row r="143" spans="1:8">
      <c r="A143">
        <v>141</v>
      </c>
      <c r="B143">
        <v>142</v>
      </c>
      <c r="C143">
        <v>0.21210000000000001</v>
      </c>
      <c r="D143">
        <v>0.69</v>
      </c>
      <c r="E143">
        <v>0.1343</v>
      </c>
      <c r="F143">
        <v>0</v>
      </c>
      <c r="G143">
        <v>1</v>
      </c>
      <c r="H143">
        <v>1</v>
      </c>
    </row>
    <row r="144" spans="1:8">
      <c r="A144">
        <v>142</v>
      </c>
      <c r="B144">
        <v>143</v>
      </c>
      <c r="C144">
        <v>0.2727</v>
      </c>
      <c r="D144">
        <v>0.55000000000000004</v>
      </c>
      <c r="E144">
        <v>0</v>
      </c>
      <c r="F144">
        <v>0</v>
      </c>
      <c r="G144">
        <v>5</v>
      </c>
      <c r="H144">
        <v>5</v>
      </c>
    </row>
    <row r="145" spans="1:8">
      <c r="A145">
        <v>143</v>
      </c>
      <c r="B145">
        <v>144</v>
      </c>
      <c r="C145">
        <v>0.2576</v>
      </c>
      <c r="D145">
        <v>0.69</v>
      </c>
      <c r="E145">
        <v>0</v>
      </c>
      <c r="F145">
        <v>8</v>
      </c>
      <c r="G145">
        <v>26</v>
      </c>
      <c r="H145">
        <v>34</v>
      </c>
    </row>
    <row r="146" spans="1:8">
      <c r="A146">
        <v>144</v>
      </c>
      <c r="B146">
        <v>145</v>
      </c>
      <c r="C146">
        <v>0.21210000000000001</v>
      </c>
      <c r="D146">
        <v>0.69</v>
      </c>
      <c r="E146">
        <v>0.1343</v>
      </c>
      <c r="F146">
        <v>8</v>
      </c>
      <c r="G146">
        <v>76</v>
      </c>
      <c r="H146">
        <v>84</v>
      </c>
    </row>
    <row r="147" spans="1:8">
      <c r="A147">
        <v>145</v>
      </c>
      <c r="B147">
        <v>146</v>
      </c>
      <c r="C147">
        <v>0.19700000000000001</v>
      </c>
      <c r="D147">
        <v>0.51</v>
      </c>
      <c r="E147">
        <v>0.25369999999999998</v>
      </c>
      <c r="F147">
        <v>20</v>
      </c>
      <c r="G147">
        <v>190</v>
      </c>
      <c r="H147">
        <v>210</v>
      </c>
    </row>
    <row r="148" spans="1:8">
      <c r="A148">
        <v>146</v>
      </c>
      <c r="B148">
        <v>147</v>
      </c>
      <c r="C148">
        <v>0.18179999999999999</v>
      </c>
      <c r="D148">
        <v>0.47</v>
      </c>
      <c r="E148">
        <v>0.29849999999999999</v>
      </c>
      <c r="F148">
        <v>9</v>
      </c>
      <c r="G148">
        <v>125</v>
      </c>
      <c r="H148">
        <v>134</v>
      </c>
    </row>
    <row r="149" spans="1:8">
      <c r="A149">
        <v>147</v>
      </c>
      <c r="B149">
        <v>148</v>
      </c>
      <c r="C149">
        <v>0.19700000000000001</v>
      </c>
      <c r="D149">
        <v>0.37</v>
      </c>
      <c r="E149">
        <v>0.32840000000000003</v>
      </c>
      <c r="F149">
        <v>16</v>
      </c>
      <c r="G149">
        <v>47</v>
      </c>
      <c r="H149">
        <v>63</v>
      </c>
    </row>
    <row r="150" spans="1:8">
      <c r="A150">
        <v>148</v>
      </c>
      <c r="B150">
        <v>149</v>
      </c>
      <c r="C150">
        <v>0.19700000000000001</v>
      </c>
      <c r="D150">
        <v>0.4</v>
      </c>
      <c r="E150">
        <v>0.22389999999999999</v>
      </c>
      <c r="F150">
        <v>19</v>
      </c>
      <c r="G150">
        <v>48</v>
      </c>
      <c r="H150">
        <v>67</v>
      </c>
    </row>
    <row r="151" spans="1:8">
      <c r="A151">
        <v>149</v>
      </c>
      <c r="B151">
        <v>150</v>
      </c>
      <c r="C151">
        <v>0.19700000000000001</v>
      </c>
      <c r="D151">
        <v>0.37</v>
      </c>
      <c r="E151">
        <v>0.25369999999999998</v>
      </c>
      <c r="F151">
        <v>9</v>
      </c>
      <c r="G151">
        <v>50</v>
      </c>
      <c r="H151">
        <v>59</v>
      </c>
    </row>
    <row r="152" spans="1:8">
      <c r="A152">
        <v>150</v>
      </c>
      <c r="B152">
        <v>151</v>
      </c>
      <c r="C152">
        <v>0.18179999999999999</v>
      </c>
      <c r="D152">
        <v>0.37</v>
      </c>
      <c r="E152">
        <v>0.28360000000000002</v>
      </c>
      <c r="F152">
        <v>9</v>
      </c>
      <c r="G152">
        <v>64</v>
      </c>
      <c r="H152">
        <v>73</v>
      </c>
    </row>
    <row r="153" spans="1:8">
      <c r="A153">
        <v>151</v>
      </c>
      <c r="B153">
        <v>152</v>
      </c>
      <c r="C153">
        <v>0.19700000000000001</v>
      </c>
      <c r="D153">
        <v>0.4</v>
      </c>
      <c r="E153">
        <v>0.25369999999999998</v>
      </c>
      <c r="F153">
        <v>7</v>
      </c>
      <c r="G153">
        <v>43</v>
      </c>
      <c r="H153">
        <v>50</v>
      </c>
    </row>
    <row r="154" spans="1:8">
      <c r="A154">
        <v>152</v>
      </c>
      <c r="B154">
        <v>153</v>
      </c>
      <c r="C154">
        <v>0.21210000000000001</v>
      </c>
      <c r="D154">
        <v>0.37</v>
      </c>
      <c r="E154">
        <v>0.16420000000000001</v>
      </c>
      <c r="F154">
        <v>9</v>
      </c>
      <c r="G154">
        <v>63</v>
      </c>
      <c r="H154">
        <v>72</v>
      </c>
    </row>
    <row r="155" spans="1:8">
      <c r="A155">
        <v>153</v>
      </c>
      <c r="B155">
        <v>154</v>
      </c>
      <c r="C155">
        <v>0.21210000000000001</v>
      </c>
      <c r="D155">
        <v>0.37</v>
      </c>
      <c r="E155">
        <v>0.16420000000000001</v>
      </c>
      <c r="F155">
        <v>5</v>
      </c>
      <c r="G155">
        <v>82</v>
      </c>
      <c r="H155">
        <v>87</v>
      </c>
    </row>
    <row r="156" spans="1:8">
      <c r="A156">
        <v>154</v>
      </c>
      <c r="B156">
        <v>155</v>
      </c>
      <c r="C156">
        <v>0.2576</v>
      </c>
      <c r="D156">
        <v>0.37</v>
      </c>
      <c r="E156">
        <v>0</v>
      </c>
      <c r="F156">
        <v>9</v>
      </c>
      <c r="G156">
        <v>178</v>
      </c>
      <c r="H156">
        <v>187</v>
      </c>
    </row>
    <row r="157" spans="1:8">
      <c r="A157">
        <v>155</v>
      </c>
      <c r="B157">
        <v>156</v>
      </c>
      <c r="C157">
        <v>0.2273</v>
      </c>
      <c r="D157">
        <v>0.4</v>
      </c>
      <c r="E157">
        <v>8.9599999999999999E-2</v>
      </c>
      <c r="F157">
        <v>7</v>
      </c>
      <c r="G157">
        <v>116</v>
      </c>
      <c r="H157">
        <v>123</v>
      </c>
    </row>
    <row r="158" spans="1:8">
      <c r="A158">
        <v>156</v>
      </c>
      <c r="B158">
        <v>157</v>
      </c>
      <c r="C158">
        <v>0.19700000000000001</v>
      </c>
      <c r="D158">
        <v>0.55000000000000004</v>
      </c>
      <c r="E158">
        <v>8.9599999999999999E-2</v>
      </c>
      <c r="F158">
        <v>3</v>
      </c>
      <c r="G158">
        <v>92</v>
      </c>
      <c r="H158">
        <v>95</v>
      </c>
    </row>
    <row r="159" spans="1:8">
      <c r="A159">
        <v>157</v>
      </c>
      <c r="B159">
        <v>158</v>
      </c>
      <c r="C159">
        <v>0.21210000000000001</v>
      </c>
      <c r="D159">
        <v>0.47</v>
      </c>
      <c r="E159">
        <v>0.1045</v>
      </c>
      <c r="F159">
        <v>1</v>
      </c>
      <c r="G159">
        <v>50</v>
      </c>
      <c r="H159">
        <v>51</v>
      </c>
    </row>
    <row r="160" spans="1:8">
      <c r="A160">
        <v>158</v>
      </c>
      <c r="B160">
        <v>159</v>
      </c>
      <c r="C160">
        <v>0.19700000000000001</v>
      </c>
      <c r="D160">
        <v>0.47</v>
      </c>
      <c r="E160">
        <v>0.1343</v>
      </c>
      <c r="F160">
        <v>0</v>
      </c>
      <c r="G160">
        <v>39</v>
      </c>
      <c r="H160">
        <v>39</v>
      </c>
    </row>
    <row r="161" spans="1:8">
      <c r="A161">
        <v>159</v>
      </c>
      <c r="B161">
        <v>160</v>
      </c>
      <c r="C161">
        <v>0.19700000000000001</v>
      </c>
      <c r="D161">
        <v>0.43</v>
      </c>
      <c r="E161">
        <v>0.16420000000000001</v>
      </c>
      <c r="F161">
        <v>2</v>
      </c>
      <c r="G161">
        <v>34</v>
      </c>
      <c r="H161">
        <v>36</v>
      </c>
    </row>
    <row r="162" spans="1:8">
      <c r="A162">
        <v>160</v>
      </c>
      <c r="B162">
        <v>161</v>
      </c>
      <c r="C162">
        <v>0.19700000000000001</v>
      </c>
      <c r="D162">
        <v>0.51</v>
      </c>
      <c r="E162">
        <v>0.16420000000000001</v>
      </c>
      <c r="F162">
        <v>1</v>
      </c>
      <c r="G162">
        <v>14</v>
      </c>
      <c r="H162">
        <v>15</v>
      </c>
    </row>
    <row r="163" spans="1:8">
      <c r="A163">
        <v>161</v>
      </c>
      <c r="B163">
        <v>162</v>
      </c>
      <c r="C163">
        <v>0.19700000000000001</v>
      </c>
      <c r="D163">
        <v>0.51</v>
      </c>
      <c r="E163">
        <v>0.16420000000000001</v>
      </c>
      <c r="F163">
        <v>1</v>
      </c>
      <c r="G163">
        <v>24</v>
      </c>
      <c r="H163">
        <v>25</v>
      </c>
    </row>
    <row r="164" spans="1:8">
      <c r="A164">
        <v>162</v>
      </c>
      <c r="B164">
        <v>163</v>
      </c>
      <c r="C164">
        <v>0.21210000000000001</v>
      </c>
      <c r="D164">
        <v>0.55000000000000004</v>
      </c>
      <c r="E164">
        <v>8.9599999999999999E-2</v>
      </c>
      <c r="F164">
        <v>1</v>
      </c>
      <c r="G164">
        <v>15</v>
      </c>
      <c r="H164">
        <v>16</v>
      </c>
    </row>
    <row r="165" spans="1:8">
      <c r="A165">
        <v>163</v>
      </c>
      <c r="B165">
        <v>164</v>
      </c>
      <c r="C165">
        <v>0.2424</v>
      </c>
      <c r="D165">
        <v>0.55000000000000004</v>
      </c>
      <c r="E165">
        <v>0</v>
      </c>
      <c r="F165">
        <v>3</v>
      </c>
      <c r="G165">
        <v>13</v>
      </c>
      <c r="H165">
        <v>16</v>
      </c>
    </row>
    <row r="166" spans="1:8">
      <c r="A166">
        <v>164</v>
      </c>
      <c r="B166">
        <v>165</v>
      </c>
      <c r="C166">
        <v>0.19700000000000001</v>
      </c>
      <c r="D166">
        <v>0.55000000000000004</v>
      </c>
      <c r="E166">
        <v>0.16420000000000001</v>
      </c>
      <c r="F166">
        <v>0</v>
      </c>
      <c r="G166">
        <v>7</v>
      </c>
      <c r="H166">
        <v>7</v>
      </c>
    </row>
    <row r="167" spans="1:8">
      <c r="A167">
        <v>165</v>
      </c>
      <c r="B167">
        <v>166</v>
      </c>
      <c r="C167">
        <v>0.19700000000000001</v>
      </c>
      <c r="D167">
        <v>0.55000000000000004</v>
      </c>
      <c r="E167">
        <v>0.16420000000000001</v>
      </c>
      <c r="F167">
        <v>0</v>
      </c>
      <c r="G167">
        <v>1</v>
      </c>
      <c r="H167">
        <v>1</v>
      </c>
    </row>
    <row r="168" spans="1:8">
      <c r="A168">
        <v>166</v>
      </c>
      <c r="B168">
        <v>167</v>
      </c>
      <c r="C168">
        <v>0.16669999999999999</v>
      </c>
      <c r="D168">
        <v>0.74</v>
      </c>
      <c r="E168">
        <v>0.16420000000000001</v>
      </c>
      <c r="F168">
        <v>0</v>
      </c>
      <c r="G168">
        <v>5</v>
      </c>
      <c r="H168">
        <v>5</v>
      </c>
    </row>
    <row r="169" spans="1:8">
      <c r="A169">
        <v>167</v>
      </c>
      <c r="B169">
        <v>168</v>
      </c>
      <c r="C169">
        <v>0.16669999999999999</v>
      </c>
      <c r="D169">
        <v>0.74</v>
      </c>
      <c r="E169">
        <v>0.16420000000000001</v>
      </c>
      <c r="F169">
        <v>0</v>
      </c>
      <c r="G169">
        <v>2</v>
      </c>
      <c r="H169">
        <v>2</v>
      </c>
    </row>
    <row r="170" spans="1:8">
      <c r="A170">
        <v>168</v>
      </c>
      <c r="B170">
        <v>169</v>
      </c>
      <c r="C170">
        <v>0.18179999999999999</v>
      </c>
      <c r="D170">
        <v>0.74</v>
      </c>
      <c r="E170">
        <v>0.1045</v>
      </c>
      <c r="F170">
        <v>1</v>
      </c>
      <c r="G170">
        <v>8</v>
      </c>
      <c r="H170">
        <v>9</v>
      </c>
    </row>
    <row r="171" spans="1:8">
      <c r="A171">
        <v>169</v>
      </c>
      <c r="B171">
        <v>170</v>
      </c>
      <c r="C171">
        <v>0.18179999999999999</v>
      </c>
      <c r="D171">
        <v>0.93</v>
      </c>
      <c r="E171">
        <v>0.1045</v>
      </c>
      <c r="F171">
        <v>0</v>
      </c>
      <c r="G171">
        <v>15</v>
      </c>
      <c r="H171">
        <v>15</v>
      </c>
    </row>
    <row r="172" spans="1:8">
      <c r="A172">
        <v>170</v>
      </c>
      <c r="B172">
        <v>171</v>
      </c>
      <c r="C172">
        <v>0.18179999999999999</v>
      </c>
      <c r="D172">
        <v>0.93</v>
      </c>
      <c r="E172">
        <v>0.1045</v>
      </c>
      <c r="F172">
        <v>0</v>
      </c>
      <c r="G172">
        <v>20</v>
      </c>
      <c r="H172">
        <v>20</v>
      </c>
    </row>
    <row r="173" spans="1:8">
      <c r="A173">
        <v>171</v>
      </c>
      <c r="B173">
        <v>172</v>
      </c>
      <c r="C173">
        <v>0.19700000000000001</v>
      </c>
      <c r="D173">
        <v>0.8</v>
      </c>
      <c r="E173">
        <v>0.16420000000000001</v>
      </c>
      <c r="F173">
        <v>5</v>
      </c>
      <c r="G173">
        <v>56</v>
      </c>
      <c r="H173">
        <v>61</v>
      </c>
    </row>
    <row r="174" spans="1:8">
      <c r="A174">
        <v>172</v>
      </c>
      <c r="B174">
        <v>173</v>
      </c>
      <c r="C174">
        <v>0.18179999999999999</v>
      </c>
      <c r="D174">
        <v>0.69</v>
      </c>
      <c r="E174">
        <v>0.3881</v>
      </c>
      <c r="F174">
        <v>2</v>
      </c>
      <c r="G174">
        <v>60</v>
      </c>
      <c r="H174">
        <v>62</v>
      </c>
    </row>
    <row r="175" spans="1:8">
      <c r="A175">
        <v>173</v>
      </c>
      <c r="B175">
        <v>174</v>
      </c>
      <c r="C175">
        <v>0.18179999999999999</v>
      </c>
      <c r="D175">
        <v>0.59</v>
      </c>
      <c r="E175">
        <v>0.35820000000000002</v>
      </c>
      <c r="F175">
        <v>8</v>
      </c>
      <c r="G175">
        <v>90</v>
      </c>
      <c r="H175">
        <v>98</v>
      </c>
    </row>
    <row r="176" spans="1:8">
      <c r="A176">
        <v>174</v>
      </c>
      <c r="B176">
        <v>175</v>
      </c>
      <c r="C176">
        <v>0.18179999999999999</v>
      </c>
      <c r="D176">
        <v>0.44</v>
      </c>
      <c r="E176">
        <v>0.32840000000000003</v>
      </c>
      <c r="F176">
        <v>7</v>
      </c>
      <c r="G176">
        <v>95</v>
      </c>
      <c r="H176">
        <v>102</v>
      </c>
    </row>
    <row r="177" spans="1:8">
      <c r="A177">
        <v>175</v>
      </c>
      <c r="B177">
        <v>176</v>
      </c>
      <c r="C177">
        <v>0.16669999999999999</v>
      </c>
      <c r="D177">
        <v>0.32</v>
      </c>
      <c r="E177">
        <v>0.49249999999999999</v>
      </c>
      <c r="F177">
        <v>12</v>
      </c>
      <c r="G177">
        <v>83</v>
      </c>
      <c r="H177">
        <v>95</v>
      </c>
    </row>
    <row r="178" spans="1:8">
      <c r="A178">
        <v>176</v>
      </c>
      <c r="B178">
        <v>177</v>
      </c>
      <c r="C178">
        <v>0.16669999999999999</v>
      </c>
      <c r="D178">
        <v>0.32</v>
      </c>
      <c r="E178">
        <v>0.44779999999999998</v>
      </c>
      <c r="F178">
        <v>5</v>
      </c>
      <c r="G178">
        <v>69</v>
      </c>
      <c r="H178">
        <v>74</v>
      </c>
    </row>
    <row r="179" spans="1:8">
      <c r="A179">
        <v>177</v>
      </c>
      <c r="B179">
        <v>178</v>
      </c>
      <c r="C179">
        <v>0.13639999999999999</v>
      </c>
      <c r="D179">
        <v>0.28999999999999998</v>
      </c>
      <c r="E179">
        <v>0.44779999999999998</v>
      </c>
      <c r="F179">
        <v>8</v>
      </c>
      <c r="G179">
        <v>68</v>
      </c>
      <c r="H179">
        <v>76</v>
      </c>
    </row>
    <row r="180" spans="1:8">
      <c r="A180">
        <v>178</v>
      </c>
      <c r="B180">
        <v>179</v>
      </c>
      <c r="C180">
        <v>0.1212</v>
      </c>
      <c r="D180">
        <v>0.37</v>
      </c>
      <c r="E180">
        <v>0.55220000000000002</v>
      </c>
      <c r="F180">
        <v>5</v>
      </c>
      <c r="G180">
        <v>64</v>
      </c>
      <c r="H180">
        <v>69</v>
      </c>
    </row>
    <row r="181" spans="1:8">
      <c r="A181">
        <v>179</v>
      </c>
      <c r="B181">
        <v>180</v>
      </c>
      <c r="C181">
        <v>0.1212</v>
      </c>
      <c r="D181">
        <v>0.39</v>
      </c>
      <c r="E181">
        <v>0.29849999999999999</v>
      </c>
      <c r="F181">
        <v>3</v>
      </c>
      <c r="G181">
        <v>52</v>
      </c>
      <c r="H181">
        <v>55</v>
      </c>
    </row>
    <row r="182" spans="1:8">
      <c r="A182">
        <v>180</v>
      </c>
      <c r="B182">
        <v>181</v>
      </c>
      <c r="C182">
        <v>0.1212</v>
      </c>
      <c r="D182">
        <v>0.36</v>
      </c>
      <c r="E182">
        <v>0.25369999999999998</v>
      </c>
      <c r="F182">
        <v>4</v>
      </c>
      <c r="G182">
        <v>26</v>
      </c>
      <c r="H182">
        <v>30</v>
      </c>
    </row>
    <row r="183" spans="1:8">
      <c r="A183">
        <v>181</v>
      </c>
      <c r="B183">
        <v>182</v>
      </c>
      <c r="C183">
        <v>0.1212</v>
      </c>
      <c r="D183">
        <v>0.36</v>
      </c>
      <c r="E183">
        <v>0.25369999999999998</v>
      </c>
      <c r="F183">
        <v>0</v>
      </c>
      <c r="G183">
        <v>28</v>
      </c>
      <c r="H183">
        <v>28</v>
      </c>
    </row>
    <row r="184" spans="1:8">
      <c r="A184">
        <v>182</v>
      </c>
      <c r="B184">
        <v>183</v>
      </c>
      <c r="C184">
        <v>0.1061</v>
      </c>
      <c r="D184">
        <v>0.39</v>
      </c>
      <c r="E184">
        <v>0.35820000000000002</v>
      </c>
      <c r="F184">
        <v>2</v>
      </c>
      <c r="G184">
        <v>35</v>
      </c>
      <c r="H184">
        <v>37</v>
      </c>
    </row>
    <row r="185" spans="1:8">
      <c r="A185">
        <v>183</v>
      </c>
      <c r="B185">
        <v>184</v>
      </c>
      <c r="C185">
        <v>0.1061</v>
      </c>
      <c r="D185">
        <v>0.36</v>
      </c>
      <c r="E185">
        <v>0.3881</v>
      </c>
      <c r="F185">
        <v>1</v>
      </c>
      <c r="G185">
        <v>33</v>
      </c>
      <c r="H185">
        <v>34</v>
      </c>
    </row>
    <row r="186" spans="1:8">
      <c r="A186">
        <v>184</v>
      </c>
      <c r="B186">
        <v>185</v>
      </c>
      <c r="C186">
        <v>6.0600000000000001E-2</v>
      </c>
      <c r="D186">
        <v>0.39</v>
      </c>
      <c r="E186">
        <v>0.44779999999999998</v>
      </c>
      <c r="F186">
        <v>0</v>
      </c>
      <c r="G186">
        <v>22</v>
      </c>
      <c r="H186">
        <v>22</v>
      </c>
    </row>
    <row r="187" spans="1:8">
      <c r="A187">
        <v>185</v>
      </c>
      <c r="B187">
        <v>186</v>
      </c>
      <c r="C187">
        <v>7.5800000000000006E-2</v>
      </c>
      <c r="D187">
        <v>0.42</v>
      </c>
      <c r="E187">
        <v>0.3881</v>
      </c>
      <c r="F187">
        <v>1</v>
      </c>
      <c r="G187">
        <v>24</v>
      </c>
      <c r="H187">
        <v>25</v>
      </c>
    </row>
    <row r="188" spans="1:8">
      <c r="A188">
        <v>186</v>
      </c>
      <c r="B188">
        <v>187</v>
      </c>
      <c r="C188">
        <v>6.0600000000000001E-2</v>
      </c>
      <c r="D188">
        <v>0.42</v>
      </c>
      <c r="E188">
        <v>0.4627</v>
      </c>
      <c r="F188">
        <v>0</v>
      </c>
      <c r="G188">
        <v>12</v>
      </c>
      <c r="H188">
        <v>12</v>
      </c>
    </row>
    <row r="189" spans="1:8">
      <c r="A189">
        <v>187</v>
      </c>
      <c r="B189">
        <v>188</v>
      </c>
      <c r="C189">
        <v>6.0600000000000001E-2</v>
      </c>
      <c r="D189">
        <v>0.46</v>
      </c>
      <c r="E189">
        <v>0.4627</v>
      </c>
      <c r="F189">
        <v>0</v>
      </c>
      <c r="G189">
        <v>11</v>
      </c>
      <c r="H189">
        <v>11</v>
      </c>
    </row>
    <row r="190" spans="1:8">
      <c r="A190">
        <v>188</v>
      </c>
      <c r="B190">
        <v>189</v>
      </c>
      <c r="C190">
        <v>7.5800000000000006E-2</v>
      </c>
      <c r="D190">
        <v>0.46</v>
      </c>
      <c r="E190">
        <v>0.41789999999999999</v>
      </c>
      <c r="F190">
        <v>0</v>
      </c>
      <c r="G190">
        <v>4</v>
      </c>
      <c r="H190">
        <v>4</v>
      </c>
    </row>
    <row r="191" spans="1:8">
      <c r="A191">
        <v>189</v>
      </c>
      <c r="B191">
        <v>190</v>
      </c>
      <c r="C191">
        <v>9.0899999999999995E-2</v>
      </c>
      <c r="D191">
        <v>0.53</v>
      </c>
      <c r="E191">
        <v>0.19400000000000001</v>
      </c>
      <c r="F191">
        <v>0</v>
      </c>
      <c r="G191">
        <v>1</v>
      </c>
      <c r="H191">
        <v>1</v>
      </c>
    </row>
    <row r="192" spans="1:8">
      <c r="A192">
        <v>190</v>
      </c>
      <c r="B192">
        <v>191</v>
      </c>
      <c r="C192">
        <v>9.0899999999999995E-2</v>
      </c>
      <c r="D192">
        <v>0.53</v>
      </c>
      <c r="E192">
        <v>0.19400000000000001</v>
      </c>
      <c r="F192">
        <v>0</v>
      </c>
      <c r="G192">
        <v>1</v>
      </c>
      <c r="H192">
        <v>1</v>
      </c>
    </row>
    <row r="193" spans="1:8">
      <c r="A193">
        <v>191</v>
      </c>
      <c r="B193">
        <v>192</v>
      </c>
      <c r="C193">
        <v>9.0899999999999995E-2</v>
      </c>
      <c r="D193">
        <v>0.49</v>
      </c>
      <c r="E193">
        <v>0.28360000000000002</v>
      </c>
      <c r="F193">
        <v>0</v>
      </c>
      <c r="G193">
        <v>1</v>
      </c>
      <c r="H193">
        <v>1</v>
      </c>
    </row>
    <row r="194" spans="1:8">
      <c r="A194">
        <v>192</v>
      </c>
      <c r="B194">
        <v>193</v>
      </c>
      <c r="C194">
        <v>9.0899999999999995E-2</v>
      </c>
      <c r="D194">
        <v>0.53</v>
      </c>
      <c r="E194">
        <v>0.19400000000000001</v>
      </c>
      <c r="F194">
        <v>1</v>
      </c>
      <c r="G194">
        <v>5</v>
      </c>
      <c r="H194">
        <v>6</v>
      </c>
    </row>
    <row r="195" spans="1:8">
      <c r="A195">
        <v>193</v>
      </c>
      <c r="B195">
        <v>194</v>
      </c>
      <c r="C195">
        <v>9.0899999999999995E-2</v>
      </c>
      <c r="D195">
        <v>0.49</v>
      </c>
      <c r="E195">
        <v>0.28360000000000002</v>
      </c>
      <c r="F195">
        <v>0</v>
      </c>
      <c r="G195">
        <v>10</v>
      </c>
      <c r="H195">
        <v>10</v>
      </c>
    </row>
    <row r="196" spans="1:8">
      <c r="A196">
        <v>194</v>
      </c>
      <c r="B196">
        <v>195</v>
      </c>
      <c r="C196">
        <v>7.5800000000000006E-2</v>
      </c>
      <c r="D196">
        <v>0.46</v>
      </c>
      <c r="E196">
        <v>0.52239999999999998</v>
      </c>
      <c r="F196">
        <v>0</v>
      </c>
      <c r="G196">
        <v>19</v>
      </c>
      <c r="H196">
        <v>19</v>
      </c>
    </row>
    <row r="197" spans="1:8">
      <c r="A197">
        <v>195</v>
      </c>
      <c r="B197">
        <v>196</v>
      </c>
      <c r="C197">
        <v>0.1061</v>
      </c>
      <c r="D197">
        <v>0.43</v>
      </c>
      <c r="E197">
        <v>0.3881</v>
      </c>
      <c r="F197">
        <v>0</v>
      </c>
      <c r="G197">
        <v>49</v>
      </c>
      <c r="H197">
        <v>49</v>
      </c>
    </row>
    <row r="198" spans="1:8">
      <c r="A198">
        <v>196</v>
      </c>
      <c r="B198">
        <v>197</v>
      </c>
      <c r="C198">
        <v>0.1212</v>
      </c>
      <c r="D198">
        <v>0.4</v>
      </c>
      <c r="E198">
        <v>0.52239999999999998</v>
      </c>
      <c r="F198">
        <v>2</v>
      </c>
      <c r="G198">
        <v>47</v>
      </c>
      <c r="H198">
        <v>49</v>
      </c>
    </row>
    <row r="199" spans="1:8">
      <c r="A199">
        <v>197</v>
      </c>
      <c r="B199">
        <v>198</v>
      </c>
      <c r="C199">
        <v>0.13639999999999999</v>
      </c>
      <c r="D199">
        <v>0.37</v>
      </c>
      <c r="E199">
        <v>0.44779999999999998</v>
      </c>
      <c r="F199">
        <v>4</v>
      </c>
      <c r="G199">
        <v>79</v>
      </c>
      <c r="H199">
        <v>83</v>
      </c>
    </row>
    <row r="200" spans="1:8">
      <c r="A200">
        <v>198</v>
      </c>
      <c r="B200">
        <v>199</v>
      </c>
      <c r="C200">
        <v>0.16669999999999999</v>
      </c>
      <c r="D200">
        <v>0.34</v>
      </c>
      <c r="E200">
        <v>0.44779999999999998</v>
      </c>
      <c r="F200">
        <v>6</v>
      </c>
      <c r="G200">
        <v>69</v>
      </c>
      <c r="H200">
        <v>75</v>
      </c>
    </row>
    <row r="201" spans="1:8">
      <c r="A201">
        <v>199</v>
      </c>
      <c r="B201">
        <v>200</v>
      </c>
      <c r="C201">
        <v>0.18179999999999999</v>
      </c>
      <c r="D201">
        <v>0.32</v>
      </c>
      <c r="E201">
        <v>0.4627</v>
      </c>
      <c r="F201">
        <v>8</v>
      </c>
      <c r="G201">
        <v>64</v>
      </c>
      <c r="H201">
        <v>72</v>
      </c>
    </row>
    <row r="202" spans="1:8">
      <c r="A202">
        <v>200</v>
      </c>
      <c r="B202">
        <v>201</v>
      </c>
      <c r="C202">
        <v>0.19700000000000001</v>
      </c>
      <c r="D202">
        <v>0.35</v>
      </c>
      <c r="E202">
        <v>0.35820000000000002</v>
      </c>
      <c r="F202">
        <v>5</v>
      </c>
      <c r="G202">
        <v>77</v>
      </c>
      <c r="H202">
        <v>82</v>
      </c>
    </row>
    <row r="203" spans="1:8">
      <c r="A203">
        <v>201</v>
      </c>
      <c r="B203">
        <v>202</v>
      </c>
      <c r="C203">
        <v>0.16669999999999999</v>
      </c>
      <c r="D203">
        <v>0.34</v>
      </c>
      <c r="E203">
        <v>0.44779999999999998</v>
      </c>
      <c r="F203">
        <v>13</v>
      </c>
      <c r="G203">
        <v>79</v>
      </c>
      <c r="H203">
        <v>92</v>
      </c>
    </row>
    <row r="204" spans="1:8">
      <c r="A204">
        <v>202</v>
      </c>
      <c r="B204">
        <v>203</v>
      </c>
      <c r="C204">
        <v>0.1515</v>
      </c>
      <c r="D204">
        <v>0.37</v>
      </c>
      <c r="E204">
        <v>0.3881</v>
      </c>
      <c r="F204">
        <v>3</v>
      </c>
      <c r="G204">
        <v>59</v>
      </c>
      <c r="H204">
        <v>62</v>
      </c>
    </row>
    <row r="205" spans="1:8">
      <c r="A205">
        <v>203</v>
      </c>
      <c r="B205">
        <v>204</v>
      </c>
      <c r="C205">
        <v>0.13639999999999999</v>
      </c>
      <c r="D205">
        <v>0.4</v>
      </c>
      <c r="E205">
        <v>0.32840000000000003</v>
      </c>
      <c r="F205">
        <v>4</v>
      </c>
      <c r="G205">
        <v>44</v>
      </c>
      <c r="H205">
        <v>48</v>
      </c>
    </row>
    <row r="206" spans="1:8">
      <c r="A206">
        <v>204</v>
      </c>
      <c r="B206">
        <v>205</v>
      </c>
      <c r="C206">
        <v>0.13639999999999999</v>
      </c>
      <c r="D206">
        <v>0.43</v>
      </c>
      <c r="E206">
        <v>0.32840000000000003</v>
      </c>
      <c r="F206">
        <v>1</v>
      </c>
      <c r="G206">
        <v>40</v>
      </c>
      <c r="H206">
        <v>41</v>
      </c>
    </row>
    <row r="207" spans="1:8">
      <c r="A207">
        <v>205</v>
      </c>
      <c r="B207">
        <v>206</v>
      </c>
      <c r="C207">
        <v>0.1212</v>
      </c>
      <c r="D207">
        <v>0.46</v>
      </c>
      <c r="E207">
        <v>0.25369999999999998</v>
      </c>
      <c r="F207">
        <v>0</v>
      </c>
      <c r="G207">
        <v>38</v>
      </c>
      <c r="H207">
        <v>38</v>
      </c>
    </row>
    <row r="208" spans="1:8">
      <c r="A208">
        <v>206</v>
      </c>
      <c r="B208">
        <v>207</v>
      </c>
      <c r="C208">
        <v>0.1061</v>
      </c>
      <c r="D208">
        <v>0.46</v>
      </c>
      <c r="E208">
        <v>0.41789999999999999</v>
      </c>
      <c r="F208">
        <v>1</v>
      </c>
      <c r="G208">
        <v>19</v>
      </c>
      <c r="H208">
        <v>20</v>
      </c>
    </row>
    <row r="209" spans="1:8">
      <c r="A209">
        <v>207</v>
      </c>
      <c r="B209">
        <v>208</v>
      </c>
      <c r="C209">
        <v>0.1212</v>
      </c>
      <c r="D209">
        <v>0.46</v>
      </c>
      <c r="E209">
        <v>0.29849999999999999</v>
      </c>
      <c r="F209">
        <v>5</v>
      </c>
      <c r="G209">
        <v>10</v>
      </c>
      <c r="H209">
        <v>15</v>
      </c>
    </row>
    <row r="210" spans="1:8">
      <c r="A210">
        <v>208</v>
      </c>
      <c r="B210">
        <v>209</v>
      </c>
      <c r="C210">
        <v>0.13639999999999999</v>
      </c>
      <c r="D210">
        <v>0.5</v>
      </c>
      <c r="E210">
        <v>0.19400000000000001</v>
      </c>
      <c r="F210">
        <v>0</v>
      </c>
      <c r="G210">
        <v>6</v>
      </c>
      <c r="H210">
        <v>6</v>
      </c>
    </row>
    <row r="211" spans="1:8">
      <c r="A211">
        <v>209</v>
      </c>
      <c r="B211">
        <v>210</v>
      </c>
      <c r="C211">
        <v>0.1212</v>
      </c>
      <c r="D211">
        <v>0.5</v>
      </c>
      <c r="E211">
        <v>0.28360000000000002</v>
      </c>
      <c r="F211">
        <v>2</v>
      </c>
      <c r="G211">
        <v>3</v>
      </c>
      <c r="H211">
        <v>5</v>
      </c>
    </row>
    <row r="212" spans="1:8">
      <c r="A212">
        <v>210</v>
      </c>
      <c r="B212">
        <v>211</v>
      </c>
      <c r="C212">
        <v>0.1212</v>
      </c>
      <c r="D212">
        <v>0.5</v>
      </c>
      <c r="E212">
        <v>0.28360000000000002</v>
      </c>
      <c r="F212">
        <v>1</v>
      </c>
      <c r="G212">
        <v>0</v>
      </c>
      <c r="H212">
        <v>1</v>
      </c>
    </row>
    <row r="213" spans="1:8">
      <c r="A213">
        <v>211</v>
      </c>
      <c r="B213">
        <v>212</v>
      </c>
      <c r="C213">
        <v>0.1212</v>
      </c>
      <c r="D213">
        <v>0.5</v>
      </c>
      <c r="E213">
        <v>0.22389999999999999</v>
      </c>
      <c r="F213">
        <v>0</v>
      </c>
      <c r="G213">
        <v>3</v>
      </c>
      <c r="H213">
        <v>3</v>
      </c>
    </row>
    <row r="214" spans="1:8">
      <c r="A214">
        <v>212</v>
      </c>
      <c r="B214">
        <v>213</v>
      </c>
      <c r="C214">
        <v>0.1212</v>
      </c>
      <c r="D214">
        <v>0.5</v>
      </c>
      <c r="E214">
        <v>0.22389999999999999</v>
      </c>
      <c r="F214">
        <v>0</v>
      </c>
      <c r="G214">
        <v>1</v>
      </c>
      <c r="H214">
        <v>1</v>
      </c>
    </row>
    <row r="215" spans="1:8">
      <c r="A215">
        <v>213</v>
      </c>
      <c r="B215">
        <v>214</v>
      </c>
      <c r="C215">
        <v>0.1212</v>
      </c>
      <c r="D215">
        <v>0.54</v>
      </c>
      <c r="E215">
        <v>0.1343</v>
      </c>
      <c r="F215">
        <v>1</v>
      </c>
      <c r="G215">
        <v>2</v>
      </c>
      <c r="H215">
        <v>3</v>
      </c>
    </row>
    <row r="216" spans="1:8">
      <c r="A216">
        <v>214</v>
      </c>
      <c r="B216">
        <v>215</v>
      </c>
      <c r="C216">
        <v>0.1061</v>
      </c>
      <c r="D216">
        <v>0.54</v>
      </c>
      <c r="E216">
        <v>0.25369999999999998</v>
      </c>
      <c r="F216">
        <v>0</v>
      </c>
      <c r="G216">
        <v>3</v>
      </c>
      <c r="H216">
        <v>3</v>
      </c>
    </row>
    <row r="217" spans="1:8">
      <c r="A217">
        <v>215</v>
      </c>
      <c r="B217">
        <v>216</v>
      </c>
      <c r="C217">
        <v>0.1212</v>
      </c>
      <c r="D217">
        <v>0.5</v>
      </c>
      <c r="E217">
        <v>0.28360000000000002</v>
      </c>
      <c r="F217">
        <v>0</v>
      </c>
      <c r="G217">
        <v>31</v>
      </c>
      <c r="H217">
        <v>31</v>
      </c>
    </row>
    <row r="218" spans="1:8">
      <c r="A218">
        <v>216</v>
      </c>
      <c r="B218">
        <v>217</v>
      </c>
      <c r="C218">
        <v>0.1212</v>
      </c>
      <c r="D218">
        <v>0.5</v>
      </c>
      <c r="E218">
        <v>0.22389999999999999</v>
      </c>
      <c r="F218">
        <v>2</v>
      </c>
      <c r="G218">
        <v>75</v>
      </c>
      <c r="H218">
        <v>77</v>
      </c>
    </row>
    <row r="219" spans="1:8">
      <c r="A219">
        <v>217</v>
      </c>
      <c r="B219">
        <v>218</v>
      </c>
      <c r="C219">
        <v>0.1212</v>
      </c>
      <c r="D219">
        <v>0.5</v>
      </c>
      <c r="E219">
        <v>0.28360000000000002</v>
      </c>
      <c r="F219">
        <v>4</v>
      </c>
      <c r="G219">
        <v>184</v>
      </c>
      <c r="H219">
        <v>188</v>
      </c>
    </row>
    <row r="220" spans="1:8">
      <c r="A220">
        <v>218</v>
      </c>
      <c r="B220">
        <v>219</v>
      </c>
      <c r="C220">
        <v>0.1212</v>
      </c>
      <c r="D220">
        <v>0.5</v>
      </c>
      <c r="E220">
        <v>0.25369999999999998</v>
      </c>
      <c r="F220">
        <v>2</v>
      </c>
      <c r="G220">
        <v>92</v>
      </c>
      <c r="H220">
        <v>94</v>
      </c>
    </row>
    <row r="221" spans="1:8">
      <c r="A221">
        <v>219</v>
      </c>
      <c r="B221">
        <v>220</v>
      </c>
      <c r="C221">
        <v>0.1212</v>
      </c>
      <c r="D221">
        <v>0.5</v>
      </c>
      <c r="E221">
        <v>0.29849999999999999</v>
      </c>
      <c r="F221">
        <v>0</v>
      </c>
      <c r="G221">
        <v>31</v>
      </c>
      <c r="H221">
        <v>31</v>
      </c>
    </row>
    <row r="222" spans="1:8">
      <c r="A222">
        <v>220</v>
      </c>
      <c r="B222">
        <v>221</v>
      </c>
      <c r="C222">
        <v>0.13639999999999999</v>
      </c>
      <c r="D222">
        <v>0.47</v>
      </c>
      <c r="E222">
        <v>0.28360000000000002</v>
      </c>
      <c r="F222">
        <v>2</v>
      </c>
      <c r="G222">
        <v>28</v>
      </c>
      <c r="H222">
        <v>30</v>
      </c>
    </row>
    <row r="223" spans="1:8">
      <c r="A223">
        <v>221</v>
      </c>
      <c r="B223">
        <v>222</v>
      </c>
      <c r="C223">
        <v>0.18179999999999999</v>
      </c>
      <c r="D223">
        <v>0.4</v>
      </c>
      <c r="E223">
        <v>0.28360000000000002</v>
      </c>
      <c r="F223">
        <v>5</v>
      </c>
      <c r="G223">
        <v>47</v>
      </c>
      <c r="H223">
        <v>52</v>
      </c>
    </row>
    <row r="224" spans="1:8">
      <c r="A224">
        <v>222</v>
      </c>
      <c r="B224">
        <v>223</v>
      </c>
      <c r="C224">
        <v>0.18179999999999999</v>
      </c>
      <c r="D224">
        <v>0.4</v>
      </c>
      <c r="E224">
        <v>0.28360000000000002</v>
      </c>
      <c r="F224">
        <v>4</v>
      </c>
      <c r="G224">
        <v>50</v>
      </c>
      <c r="H224">
        <v>54</v>
      </c>
    </row>
    <row r="225" spans="1:8">
      <c r="A225">
        <v>223</v>
      </c>
      <c r="B225">
        <v>224</v>
      </c>
      <c r="C225">
        <v>0.19700000000000001</v>
      </c>
      <c r="D225">
        <v>0.4</v>
      </c>
      <c r="E225">
        <v>0.22389999999999999</v>
      </c>
      <c r="F225">
        <v>0</v>
      </c>
      <c r="G225">
        <v>47</v>
      </c>
      <c r="H225">
        <v>47</v>
      </c>
    </row>
    <row r="226" spans="1:8">
      <c r="A226">
        <v>224</v>
      </c>
      <c r="B226">
        <v>225</v>
      </c>
      <c r="C226">
        <v>0.19700000000000001</v>
      </c>
      <c r="D226">
        <v>0.4</v>
      </c>
      <c r="E226">
        <v>0.22389999999999999</v>
      </c>
      <c r="F226">
        <v>2</v>
      </c>
      <c r="G226">
        <v>43</v>
      </c>
      <c r="H226">
        <v>45</v>
      </c>
    </row>
    <row r="227" spans="1:8">
      <c r="A227">
        <v>225</v>
      </c>
      <c r="B227">
        <v>226</v>
      </c>
      <c r="C227">
        <v>0.21210000000000001</v>
      </c>
      <c r="D227">
        <v>0.4</v>
      </c>
      <c r="E227">
        <v>0.1343</v>
      </c>
      <c r="F227">
        <v>4</v>
      </c>
      <c r="G227">
        <v>70</v>
      </c>
      <c r="H227">
        <v>74</v>
      </c>
    </row>
    <row r="228" spans="1:8">
      <c r="A228">
        <v>226</v>
      </c>
      <c r="B228">
        <v>227</v>
      </c>
      <c r="C228">
        <v>0.2273</v>
      </c>
      <c r="D228">
        <v>0.4</v>
      </c>
      <c r="E228">
        <v>0.1045</v>
      </c>
      <c r="F228">
        <v>4</v>
      </c>
      <c r="G228">
        <v>174</v>
      </c>
      <c r="H228">
        <v>178</v>
      </c>
    </row>
    <row r="229" spans="1:8">
      <c r="A229">
        <v>227</v>
      </c>
      <c r="B229">
        <v>228</v>
      </c>
      <c r="C229">
        <v>0.19700000000000001</v>
      </c>
      <c r="D229">
        <v>0.4</v>
      </c>
      <c r="E229">
        <v>0.22389999999999999</v>
      </c>
      <c r="F229">
        <v>1</v>
      </c>
      <c r="G229">
        <v>154</v>
      </c>
      <c r="H229">
        <v>155</v>
      </c>
    </row>
    <row r="230" spans="1:8">
      <c r="A230">
        <v>228</v>
      </c>
      <c r="B230">
        <v>229</v>
      </c>
      <c r="C230">
        <v>0.16669999999999999</v>
      </c>
      <c r="D230">
        <v>0.47</v>
      </c>
      <c r="E230">
        <v>0.16420000000000001</v>
      </c>
      <c r="F230">
        <v>3</v>
      </c>
      <c r="G230">
        <v>92</v>
      </c>
      <c r="H230">
        <v>95</v>
      </c>
    </row>
    <row r="231" spans="1:8">
      <c r="A231">
        <v>229</v>
      </c>
      <c r="B231">
        <v>230</v>
      </c>
      <c r="C231">
        <v>0.16669999999999999</v>
      </c>
      <c r="D231">
        <v>0.5</v>
      </c>
      <c r="E231">
        <v>0.16420000000000001</v>
      </c>
      <c r="F231">
        <v>1</v>
      </c>
      <c r="G231">
        <v>73</v>
      </c>
      <c r="H231">
        <v>74</v>
      </c>
    </row>
    <row r="232" spans="1:8">
      <c r="A232">
        <v>230</v>
      </c>
      <c r="B232">
        <v>231</v>
      </c>
      <c r="C232">
        <v>0.13639999999999999</v>
      </c>
      <c r="D232">
        <v>0.59</v>
      </c>
      <c r="E232">
        <v>0.19400000000000001</v>
      </c>
      <c r="F232">
        <v>1</v>
      </c>
      <c r="G232">
        <v>37</v>
      </c>
      <c r="H232">
        <v>38</v>
      </c>
    </row>
    <row r="233" spans="1:8">
      <c r="A233">
        <v>231</v>
      </c>
      <c r="B233">
        <v>232</v>
      </c>
      <c r="C233">
        <v>0.1515</v>
      </c>
      <c r="D233">
        <v>0.59</v>
      </c>
      <c r="E233">
        <v>0.16420000000000001</v>
      </c>
      <c r="F233">
        <v>2</v>
      </c>
      <c r="G233">
        <v>22</v>
      </c>
      <c r="H233">
        <v>24</v>
      </c>
    </row>
    <row r="234" spans="1:8">
      <c r="A234">
        <v>232</v>
      </c>
      <c r="B234">
        <v>233</v>
      </c>
      <c r="C234">
        <v>0.1515</v>
      </c>
      <c r="D234">
        <v>0.59</v>
      </c>
      <c r="E234">
        <v>0.16420000000000001</v>
      </c>
      <c r="F234">
        <v>0</v>
      </c>
      <c r="G234">
        <v>18</v>
      </c>
      <c r="H234">
        <v>18</v>
      </c>
    </row>
    <row r="235" spans="1:8">
      <c r="A235">
        <v>233</v>
      </c>
      <c r="B235">
        <v>234</v>
      </c>
      <c r="C235">
        <v>0.16669999999999999</v>
      </c>
      <c r="D235">
        <v>0.59</v>
      </c>
      <c r="E235">
        <v>0.1045</v>
      </c>
      <c r="F235">
        <v>2</v>
      </c>
      <c r="G235">
        <v>10</v>
      </c>
      <c r="H235">
        <v>12</v>
      </c>
    </row>
    <row r="236" spans="1:8">
      <c r="A236">
        <v>234</v>
      </c>
      <c r="B236">
        <v>235</v>
      </c>
      <c r="C236">
        <v>0.1515</v>
      </c>
      <c r="D236">
        <v>0.59</v>
      </c>
      <c r="E236">
        <v>0.16420000000000001</v>
      </c>
      <c r="F236">
        <v>0</v>
      </c>
      <c r="G236">
        <v>3</v>
      </c>
      <c r="H236">
        <v>3</v>
      </c>
    </row>
    <row r="237" spans="1:8">
      <c r="A237">
        <v>235</v>
      </c>
      <c r="B237">
        <v>236</v>
      </c>
      <c r="C237">
        <v>0.1515</v>
      </c>
      <c r="D237">
        <v>0.55000000000000004</v>
      </c>
      <c r="E237">
        <v>0.19400000000000001</v>
      </c>
      <c r="F237">
        <v>0</v>
      </c>
      <c r="G237">
        <v>3</v>
      </c>
      <c r="H237">
        <v>3</v>
      </c>
    </row>
    <row r="238" spans="1:8">
      <c r="A238">
        <v>236</v>
      </c>
      <c r="B238">
        <v>237</v>
      </c>
      <c r="C238">
        <v>0.18179999999999999</v>
      </c>
      <c r="D238">
        <v>0.55000000000000004</v>
      </c>
      <c r="E238">
        <v>0.1343</v>
      </c>
      <c r="F238">
        <v>0</v>
      </c>
      <c r="G238">
        <v>6</v>
      </c>
      <c r="H238">
        <v>6</v>
      </c>
    </row>
    <row r="239" spans="1:8">
      <c r="A239">
        <v>237</v>
      </c>
      <c r="B239">
        <v>238</v>
      </c>
      <c r="C239">
        <v>0.18179999999999999</v>
      </c>
      <c r="D239">
        <v>0.55000000000000004</v>
      </c>
      <c r="E239">
        <v>0.1343</v>
      </c>
      <c r="F239">
        <v>0</v>
      </c>
      <c r="G239">
        <v>27</v>
      </c>
      <c r="H239">
        <v>27</v>
      </c>
    </row>
    <row r="240" spans="1:8">
      <c r="A240">
        <v>238</v>
      </c>
      <c r="B240">
        <v>239</v>
      </c>
      <c r="C240">
        <v>0.2273</v>
      </c>
      <c r="D240">
        <v>0.55000000000000004</v>
      </c>
      <c r="E240">
        <v>0</v>
      </c>
      <c r="F240">
        <v>2</v>
      </c>
      <c r="G240">
        <v>97</v>
      </c>
      <c r="H240">
        <v>99</v>
      </c>
    </row>
    <row r="241" spans="1:8">
      <c r="A241">
        <v>239</v>
      </c>
      <c r="B241">
        <v>240</v>
      </c>
      <c r="C241">
        <v>0.21210000000000001</v>
      </c>
      <c r="D241">
        <v>0.51</v>
      </c>
      <c r="E241">
        <v>8.9599999999999999E-2</v>
      </c>
      <c r="F241">
        <v>3</v>
      </c>
      <c r="G241">
        <v>214</v>
      </c>
      <c r="H241">
        <v>217</v>
      </c>
    </row>
    <row r="242" spans="1:8">
      <c r="A242">
        <v>240</v>
      </c>
      <c r="B242">
        <v>241</v>
      </c>
      <c r="C242">
        <v>0.19700000000000001</v>
      </c>
      <c r="D242">
        <v>0.51</v>
      </c>
      <c r="E242">
        <v>0.16420000000000001</v>
      </c>
      <c r="F242">
        <v>3</v>
      </c>
      <c r="G242">
        <v>127</v>
      </c>
      <c r="H242">
        <v>130</v>
      </c>
    </row>
    <row r="243" spans="1:8">
      <c r="A243">
        <v>241</v>
      </c>
      <c r="B243">
        <v>242</v>
      </c>
      <c r="C243">
        <v>0.21210000000000001</v>
      </c>
      <c r="D243">
        <v>0.51</v>
      </c>
      <c r="E243">
        <v>0.16420000000000001</v>
      </c>
      <c r="F243">
        <v>3</v>
      </c>
      <c r="G243">
        <v>51</v>
      </c>
      <c r="H243">
        <v>54</v>
      </c>
    </row>
    <row r="244" spans="1:8">
      <c r="A244">
        <v>242</v>
      </c>
      <c r="B244">
        <v>243</v>
      </c>
      <c r="C244">
        <v>0.21210000000000001</v>
      </c>
      <c r="D244">
        <v>0.47</v>
      </c>
      <c r="E244">
        <v>0.1343</v>
      </c>
      <c r="F244">
        <v>4</v>
      </c>
      <c r="G244">
        <v>31</v>
      </c>
      <c r="H244">
        <v>35</v>
      </c>
    </row>
    <row r="245" spans="1:8">
      <c r="A245">
        <v>243</v>
      </c>
      <c r="B245">
        <v>244</v>
      </c>
      <c r="C245">
        <v>0.2273</v>
      </c>
      <c r="D245">
        <v>0.51</v>
      </c>
      <c r="E245">
        <v>0.1045</v>
      </c>
      <c r="F245">
        <v>2</v>
      </c>
      <c r="G245">
        <v>55</v>
      </c>
      <c r="H245">
        <v>57</v>
      </c>
    </row>
    <row r="246" spans="1:8">
      <c r="A246">
        <v>244</v>
      </c>
      <c r="B246">
        <v>245</v>
      </c>
      <c r="C246">
        <v>0.2273</v>
      </c>
      <c r="D246">
        <v>0.59</v>
      </c>
      <c r="E246">
        <v>8.9599999999999999E-2</v>
      </c>
      <c r="F246">
        <v>6</v>
      </c>
      <c r="G246">
        <v>46</v>
      </c>
      <c r="H246">
        <v>52</v>
      </c>
    </row>
    <row r="247" spans="1:8">
      <c r="A247">
        <v>245</v>
      </c>
      <c r="B247">
        <v>246</v>
      </c>
      <c r="C247">
        <v>0.2273</v>
      </c>
      <c r="D247">
        <v>0.59</v>
      </c>
      <c r="E247">
        <v>8.9599999999999999E-2</v>
      </c>
      <c r="F247">
        <v>3</v>
      </c>
      <c r="G247">
        <v>60</v>
      </c>
      <c r="H247">
        <v>63</v>
      </c>
    </row>
    <row r="248" spans="1:8">
      <c r="A248">
        <v>246</v>
      </c>
      <c r="B248">
        <v>247</v>
      </c>
      <c r="C248">
        <v>0.19700000000000001</v>
      </c>
      <c r="D248">
        <v>0.8</v>
      </c>
      <c r="E248">
        <v>8.9599999999999999E-2</v>
      </c>
      <c r="F248">
        <v>2</v>
      </c>
      <c r="G248">
        <v>45</v>
      </c>
      <c r="H248">
        <v>47</v>
      </c>
    </row>
    <row r="249" spans="1:8">
      <c r="A249">
        <v>247</v>
      </c>
      <c r="B249">
        <v>248</v>
      </c>
      <c r="C249">
        <v>0.1515</v>
      </c>
      <c r="D249">
        <v>0.86</v>
      </c>
      <c r="E249">
        <v>0.22389999999999999</v>
      </c>
      <c r="F249">
        <v>4</v>
      </c>
      <c r="G249">
        <v>72</v>
      </c>
      <c r="H249">
        <v>76</v>
      </c>
    </row>
    <row r="250" spans="1:8">
      <c r="A250">
        <v>248</v>
      </c>
      <c r="B250">
        <v>249</v>
      </c>
      <c r="C250">
        <v>0.1515</v>
      </c>
      <c r="D250">
        <v>0.86</v>
      </c>
      <c r="E250">
        <v>0.22389999999999999</v>
      </c>
      <c r="F250">
        <v>6</v>
      </c>
      <c r="G250">
        <v>130</v>
      </c>
      <c r="H250">
        <v>136</v>
      </c>
    </row>
    <row r="251" spans="1:8">
      <c r="A251">
        <v>249</v>
      </c>
      <c r="B251">
        <v>250</v>
      </c>
      <c r="C251">
        <v>0.18179999999999999</v>
      </c>
      <c r="D251">
        <v>0.93</v>
      </c>
      <c r="E251">
        <v>0.1045</v>
      </c>
      <c r="F251">
        <v>1</v>
      </c>
      <c r="G251">
        <v>94</v>
      </c>
      <c r="H251">
        <v>95</v>
      </c>
    </row>
    <row r="252" spans="1:8">
      <c r="A252">
        <v>250</v>
      </c>
      <c r="B252">
        <v>251</v>
      </c>
      <c r="C252">
        <v>0.2273</v>
      </c>
      <c r="D252">
        <v>0.93</v>
      </c>
      <c r="E252">
        <v>0</v>
      </c>
      <c r="F252">
        <v>0</v>
      </c>
      <c r="G252">
        <v>51</v>
      </c>
      <c r="H252">
        <v>51</v>
      </c>
    </row>
    <row r="253" spans="1:8">
      <c r="A253">
        <v>251</v>
      </c>
      <c r="B253">
        <v>252</v>
      </c>
      <c r="C253">
        <v>0.1515</v>
      </c>
      <c r="D253">
        <v>0.93</v>
      </c>
      <c r="E253">
        <v>0.19400000000000001</v>
      </c>
      <c r="F253">
        <v>0</v>
      </c>
      <c r="G253">
        <v>32</v>
      </c>
      <c r="H253">
        <v>32</v>
      </c>
    </row>
    <row r="254" spans="1:8">
      <c r="A254">
        <v>252</v>
      </c>
      <c r="B254">
        <v>253</v>
      </c>
      <c r="C254">
        <v>0.19700000000000001</v>
      </c>
      <c r="D254">
        <v>0.86</v>
      </c>
      <c r="E254">
        <v>8.9599999999999999E-2</v>
      </c>
      <c r="F254">
        <v>0</v>
      </c>
      <c r="G254">
        <v>20</v>
      </c>
      <c r="H254">
        <v>20</v>
      </c>
    </row>
    <row r="255" spans="1:8">
      <c r="A255">
        <v>253</v>
      </c>
      <c r="B255">
        <v>254</v>
      </c>
      <c r="C255">
        <v>0.18179999999999999</v>
      </c>
      <c r="D255">
        <v>0.93</v>
      </c>
      <c r="E255">
        <v>0.1045</v>
      </c>
      <c r="F255">
        <v>1</v>
      </c>
      <c r="G255">
        <v>28</v>
      </c>
      <c r="H255">
        <v>29</v>
      </c>
    </row>
    <row r="256" spans="1:8">
      <c r="A256">
        <v>254</v>
      </c>
      <c r="B256">
        <v>255</v>
      </c>
      <c r="C256">
        <v>0.19700000000000001</v>
      </c>
      <c r="D256">
        <v>0.93</v>
      </c>
      <c r="E256">
        <v>8.9599999999999999E-2</v>
      </c>
      <c r="F256">
        <v>1</v>
      </c>
      <c r="G256">
        <v>18</v>
      </c>
      <c r="H256">
        <v>19</v>
      </c>
    </row>
    <row r="257" spans="1:8">
      <c r="A257">
        <v>255</v>
      </c>
      <c r="B257">
        <v>256</v>
      </c>
      <c r="C257">
        <v>0.19700000000000001</v>
      </c>
      <c r="D257">
        <v>0.86</v>
      </c>
      <c r="E257">
        <v>8.9599999999999999E-2</v>
      </c>
      <c r="F257">
        <v>0</v>
      </c>
      <c r="G257">
        <v>7</v>
      </c>
      <c r="H257">
        <v>7</v>
      </c>
    </row>
    <row r="258" spans="1:8">
      <c r="A258">
        <v>256</v>
      </c>
      <c r="B258">
        <v>257</v>
      </c>
      <c r="C258">
        <v>0.18179999999999999</v>
      </c>
      <c r="D258">
        <v>0.86</v>
      </c>
      <c r="E258">
        <v>0.1045</v>
      </c>
      <c r="F258">
        <v>0</v>
      </c>
      <c r="G258">
        <v>6</v>
      </c>
      <c r="H258">
        <v>6</v>
      </c>
    </row>
    <row r="259" spans="1:8">
      <c r="A259">
        <v>257</v>
      </c>
      <c r="B259">
        <v>258</v>
      </c>
      <c r="C259">
        <v>0.1515</v>
      </c>
      <c r="D259">
        <v>0.86</v>
      </c>
      <c r="E259">
        <v>0.1343</v>
      </c>
      <c r="F259">
        <v>0</v>
      </c>
      <c r="G259">
        <v>1</v>
      </c>
      <c r="H259">
        <v>1</v>
      </c>
    </row>
    <row r="260" spans="1:8">
      <c r="A260">
        <v>258</v>
      </c>
      <c r="B260">
        <v>259</v>
      </c>
      <c r="C260">
        <v>0.1515</v>
      </c>
      <c r="D260">
        <v>0.86</v>
      </c>
      <c r="E260">
        <v>0.16420000000000001</v>
      </c>
      <c r="F260">
        <v>0</v>
      </c>
      <c r="G260">
        <v>5</v>
      </c>
      <c r="H260">
        <v>5</v>
      </c>
    </row>
    <row r="261" spans="1:8">
      <c r="A261">
        <v>259</v>
      </c>
      <c r="B261">
        <v>260</v>
      </c>
      <c r="C261">
        <v>0.1515</v>
      </c>
      <c r="D261">
        <v>0.93</v>
      </c>
      <c r="E261">
        <v>0.1343</v>
      </c>
      <c r="F261">
        <v>0</v>
      </c>
      <c r="G261">
        <v>16</v>
      </c>
      <c r="H261">
        <v>16</v>
      </c>
    </row>
    <row r="262" spans="1:8">
      <c r="A262">
        <v>260</v>
      </c>
      <c r="B262">
        <v>261</v>
      </c>
      <c r="C262">
        <v>0.1515</v>
      </c>
      <c r="D262">
        <v>0.69</v>
      </c>
      <c r="E262">
        <v>0.1343</v>
      </c>
      <c r="F262">
        <v>0</v>
      </c>
      <c r="G262">
        <v>54</v>
      </c>
      <c r="H262">
        <v>54</v>
      </c>
    </row>
    <row r="263" spans="1:8">
      <c r="A263">
        <v>261</v>
      </c>
      <c r="B263">
        <v>262</v>
      </c>
      <c r="C263">
        <v>0.16669999999999999</v>
      </c>
      <c r="D263">
        <v>0.59</v>
      </c>
      <c r="E263">
        <v>0.16420000000000001</v>
      </c>
      <c r="F263">
        <v>3</v>
      </c>
      <c r="G263">
        <v>125</v>
      </c>
      <c r="H263">
        <v>128</v>
      </c>
    </row>
    <row r="264" spans="1:8">
      <c r="A264">
        <v>262</v>
      </c>
      <c r="B264">
        <v>263</v>
      </c>
      <c r="C264">
        <v>0.13639999999999999</v>
      </c>
      <c r="D264">
        <v>0.59</v>
      </c>
      <c r="E264">
        <v>0.32840000000000003</v>
      </c>
      <c r="F264">
        <v>3</v>
      </c>
      <c r="G264">
        <v>78</v>
      </c>
      <c r="H264">
        <v>81</v>
      </c>
    </row>
    <row r="265" spans="1:8">
      <c r="A265">
        <v>263</v>
      </c>
      <c r="B265">
        <v>264</v>
      </c>
      <c r="C265">
        <v>0.18179999999999999</v>
      </c>
      <c r="D265">
        <v>0.55000000000000004</v>
      </c>
      <c r="E265">
        <v>0.22389999999999999</v>
      </c>
      <c r="F265">
        <v>0</v>
      </c>
      <c r="G265">
        <v>39</v>
      </c>
      <c r="H265">
        <v>39</v>
      </c>
    </row>
    <row r="266" spans="1:8">
      <c r="A266">
        <v>264</v>
      </c>
      <c r="B266">
        <v>265</v>
      </c>
      <c r="C266">
        <v>0.18179999999999999</v>
      </c>
      <c r="D266">
        <v>0.51</v>
      </c>
      <c r="E266">
        <v>0.3881</v>
      </c>
      <c r="F266">
        <v>3</v>
      </c>
      <c r="G266">
        <v>32</v>
      </c>
      <c r="H266">
        <v>35</v>
      </c>
    </row>
    <row r="267" spans="1:8">
      <c r="A267">
        <v>265</v>
      </c>
      <c r="B267">
        <v>266</v>
      </c>
      <c r="C267">
        <v>0.1515</v>
      </c>
      <c r="D267">
        <v>0.47</v>
      </c>
      <c r="E267">
        <v>0.58209999999999995</v>
      </c>
      <c r="F267">
        <v>3</v>
      </c>
      <c r="G267">
        <v>52</v>
      </c>
      <c r="H267">
        <v>55</v>
      </c>
    </row>
    <row r="268" spans="1:8">
      <c r="A268">
        <v>266</v>
      </c>
      <c r="B268">
        <v>267</v>
      </c>
      <c r="C268">
        <v>0.19700000000000001</v>
      </c>
      <c r="D268">
        <v>0.44</v>
      </c>
      <c r="E268">
        <v>0.35820000000000002</v>
      </c>
      <c r="F268">
        <v>0</v>
      </c>
      <c r="G268">
        <v>49</v>
      </c>
      <c r="H268">
        <v>49</v>
      </c>
    </row>
    <row r="269" spans="1:8">
      <c r="A269">
        <v>267</v>
      </c>
      <c r="B269">
        <v>268</v>
      </c>
      <c r="C269">
        <v>0.18179999999999999</v>
      </c>
      <c r="D269">
        <v>0.47</v>
      </c>
      <c r="E269">
        <v>0.32840000000000003</v>
      </c>
      <c r="F269">
        <v>0</v>
      </c>
      <c r="G269">
        <v>44</v>
      </c>
      <c r="H269">
        <v>44</v>
      </c>
    </row>
    <row r="270" spans="1:8">
      <c r="A270">
        <v>268</v>
      </c>
      <c r="B270">
        <v>269</v>
      </c>
      <c r="C270">
        <v>0.16669999999999999</v>
      </c>
      <c r="D270">
        <v>0.47</v>
      </c>
      <c r="E270">
        <v>0.41789999999999999</v>
      </c>
      <c r="F270">
        <v>1</v>
      </c>
      <c r="G270">
        <v>48</v>
      </c>
      <c r="H270">
        <v>49</v>
      </c>
    </row>
    <row r="271" spans="1:8">
      <c r="A271">
        <v>269</v>
      </c>
      <c r="B271">
        <v>270</v>
      </c>
      <c r="C271">
        <v>0.19700000000000001</v>
      </c>
      <c r="D271">
        <v>0.44</v>
      </c>
      <c r="E271">
        <v>0.32840000000000003</v>
      </c>
      <c r="F271">
        <v>5</v>
      </c>
      <c r="G271">
        <v>63</v>
      </c>
      <c r="H271">
        <v>68</v>
      </c>
    </row>
    <row r="272" spans="1:8">
      <c r="A272">
        <v>270</v>
      </c>
      <c r="B272">
        <v>271</v>
      </c>
      <c r="C272">
        <v>0.18179999999999999</v>
      </c>
      <c r="D272">
        <v>0.47</v>
      </c>
      <c r="E272">
        <v>0.35820000000000002</v>
      </c>
      <c r="F272">
        <v>0</v>
      </c>
      <c r="G272">
        <v>139</v>
      </c>
      <c r="H272">
        <v>139</v>
      </c>
    </row>
    <row r="273" spans="1:8">
      <c r="A273">
        <v>271</v>
      </c>
      <c r="B273">
        <v>272</v>
      </c>
      <c r="C273">
        <v>0.1515</v>
      </c>
      <c r="D273">
        <v>0.47</v>
      </c>
      <c r="E273">
        <v>0.52239999999999998</v>
      </c>
      <c r="F273">
        <v>2</v>
      </c>
      <c r="G273">
        <v>135</v>
      </c>
      <c r="H273">
        <v>137</v>
      </c>
    </row>
    <row r="274" spans="1:8">
      <c r="A274">
        <v>272</v>
      </c>
      <c r="B274">
        <v>273</v>
      </c>
      <c r="C274">
        <v>0.1515</v>
      </c>
      <c r="D274">
        <v>0.47</v>
      </c>
      <c r="E274">
        <v>0.41789999999999999</v>
      </c>
      <c r="F274">
        <v>1</v>
      </c>
      <c r="G274">
        <v>82</v>
      </c>
      <c r="H274">
        <v>83</v>
      </c>
    </row>
    <row r="275" spans="1:8">
      <c r="A275">
        <v>273</v>
      </c>
      <c r="B275">
        <v>274</v>
      </c>
      <c r="C275">
        <v>0.13639999999999999</v>
      </c>
      <c r="D275">
        <v>0.5</v>
      </c>
      <c r="E275">
        <v>0.32840000000000003</v>
      </c>
      <c r="F275">
        <v>2</v>
      </c>
      <c r="G275">
        <v>54</v>
      </c>
      <c r="H275">
        <v>56</v>
      </c>
    </row>
    <row r="276" spans="1:8">
      <c r="A276">
        <v>274</v>
      </c>
      <c r="B276">
        <v>275</v>
      </c>
      <c r="C276">
        <v>0.13639999999999999</v>
      </c>
      <c r="D276">
        <v>0.55000000000000004</v>
      </c>
      <c r="E276">
        <v>0.32840000000000003</v>
      </c>
      <c r="F276">
        <v>0</v>
      </c>
      <c r="G276">
        <v>57</v>
      </c>
      <c r="H276">
        <v>57</v>
      </c>
    </row>
    <row r="277" spans="1:8">
      <c r="A277">
        <v>275</v>
      </c>
      <c r="B277">
        <v>276</v>
      </c>
      <c r="C277">
        <v>0.1212</v>
      </c>
      <c r="D277">
        <v>0.55000000000000004</v>
      </c>
      <c r="E277">
        <v>0.44779999999999998</v>
      </c>
      <c r="F277">
        <v>1</v>
      </c>
      <c r="G277">
        <v>32</v>
      </c>
      <c r="H277">
        <v>33</v>
      </c>
    </row>
    <row r="278" spans="1:8">
      <c r="A278">
        <v>276</v>
      </c>
      <c r="B278">
        <v>277</v>
      </c>
      <c r="C278">
        <v>0.1061</v>
      </c>
      <c r="D278">
        <v>0.59</v>
      </c>
      <c r="E278">
        <v>0.41789999999999999</v>
      </c>
      <c r="F278">
        <v>1</v>
      </c>
      <c r="G278">
        <v>19</v>
      </c>
      <c r="H278">
        <v>20</v>
      </c>
    </row>
    <row r="279" spans="1:8">
      <c r="A279">
        <v>277</v>
      </c>
      <c r="B279">
        <v>278</v>
      </c>
      <c r="C279">
        <v>0.1212</v>
      </c>
      <c r="D279">
        <v>0.59</v>
      </c>
      <c r="E279">
        <v>0.28360000000000002</v>
      </c>
      <c r="F279">
        <v>1</v>
      </c>
      <c r="G279">
        <v>6</v>
      </c>
      <c r="H279">
        <v>7</v>
      </c>
    </row>
    <row r="280" spans="1:8">
      <c r="A280">
        <v>278</v>
      </c>
      <c r="B280">
        <v>279</v>
      </c>
      <c r="C280">
        <v>0.1212</v>
      </c>
      <c r="D280">
        <v>0.5</v>
      </c>
      <c r="E280">
        <v>0.28360000000000002</v>
      </c>
      <c r="F280">
        <v>0</v>
      </c>
      <c r="G280">
        <v>2</v>
      </c>
      <c r="H280">
        <v>2</v>
      </c>
    </row>
    <row r="281" spans="1:8">
      <c r="A281">
        <v>279</v>
      </c>
      <c r="B281">
        <v>280</v>
      </c>
      <c r="C281">
        <v>0.1212</v>
      </c>
      <c r="D281">
        <v>0.5</v>
      </c>
      <c r="E281">
        <v>0.35820000000000002</v>
      </c>
      <c r="F281">
        <v>0</v>
      </c>
      <c r="G281">
        <v>2</v>
      </c>
      <c r="H281">
        <v>2</v>
      </c>
    </row>
    <row r="282" spans="1:8">
      <c r="A282">
        <v>280</v>
      </c>
      <c r="B282">
        <v>281</v>
      </c>
      <c r="C282">
        <v>0.1212</v>
      </c>
      <c r="D282">
        <v>0.5</v>
      </c>
      <c r="E282">
        <v>0.32840000000000003</v>
      </c>
      <c r="F282">
        <v>0</v>
      </c>
      <c r="G282">
        <v>3</v>
      </c>
      <c r="H282">
        <v>3</v>
      </c>
    </row>
    <row r="283" spans="1:8">
      <c r="A283">
        <v>281</v>
      </c>
      <c r="B283">
        <v>282</v>
      </c>
      <c r="C283">
        <v>0.1212</v>
      </c>
      <c r="D283">
        <v>0.5</v>
      </c>
      <c r="E283">
        <v>0.25369999999999998</v>
      </c>
      <c r="F283">
        <v>0</v>
      </c>
      <c r="G283">
        <v>4</v>
      </c>
      <c r="H283">
        <v>4</v>
      </c>
    </row>
    <row r="284" spans="1:8">
      <c r="A284">
        <v>282</v>
      </c>
      <c r="B284">
        <v>283</v>
      </c>
      <c r="C284">
        <v>0.1212</v>
      </c>
      <c r="D284">
        <v>0.5</v>
      </c>
      <c r="E284">
        <v>0.29849999999999999</v>
      </c>
      <c r="F284">
        <v>0</v>
      </c>
      <c r="G284">
        <v>3</v>
      </c>
      <c r="H284">
        <v>3</v>
      </c>
    </row>
    <row r="285" spans="1:8">
      <c r="A285">
        <v>283</v>
      </c>
      <c r="B285">
        <v>284</v>
      </c>
      <c r="C285">
        <v>0.1515</v>
      </c>
      <c r="D285">
        <v>0.54</v>
      </c>
      <c r="E285">
        <v>0.1343</v>
      </c>
      <c r="F285">
        <v>0</v>
      </c>
      <c r="G285">
        <v>28</v>
      </c>
      <c r="H285">
        <v>28</v>
      </c>
    </row>
    <row r="286" spans="1:8">
      <c r="A286">
        <v>284</v>
      </c>
      <c r="B286">
        <v>285</v>
      </c>
      <c r="C286">
        <v>0.1515</v>
      </c>
      <c r="D286">
        <v>0.54</v>
      </c>
      <c r="E286">
        <v>0.1343</v>
      </c>
      <c r="F286">
        <v>0</v>
      </c>
      <c r="G286">
        <v>72</v>
      </c>
      <c r="H286">
        <v>72</v>
      </c>
    </row>
    <row r="287" spans="1:8">
      <c r="A287">
        <v>285</v>
      </c>
      <c r="B287">
        <v>286</v>
      </c>
      <c r="C287">
        <v>0.13639999999999999</v>
      </c>
      <c r="D287">
        <v>0.5</v>
      </c>
      <c r="E287">
        <v>0.19400000000000001</v>
      </c>
      <c r="F287">
        <v>5</v>
      </c>
      <c r="G287">
        <v>197</v>
      </c>
      <c r="H287">
        <v>202</v>
      </c>
    </row>
    <row r="288" spans="1:8">
      <c r="A288">
        <v>286</v>
      </c>
      <c r="B288">
        <v>287</v>
      </c>
      <c r="C288">
        <v>0.1212</v>
      </c>
      <c r="D288">
        <v>0.5</v>
      </c>
      <c r="E288">
        <v>0.32840000000000003</v>
      </c>
      <c r="F288">
        <v>2</v>
      </c>
      <c r="G288">
        <v>137</v>
      </c>
      <c r="H288">
        <v>139</v>
      </c>
    </row>
    <row r="289" spans="1:8">
      <c r="A289">
        <v>287</v>
      </c>
      <c r="B289">
        <v>288</v>
      </c>
      <c r="C289">
        <v>0.13639999999999999</v>
      </c>
      <c r="D289">
        <v>0.5</v>
      </c>
      <c r="E289">
        <v>0.35820000000000002</v>
      </c>
      <c r="F289">
        <v>2</v>
      </c>
      <c r="G289">
        <v>36</v>
      </c>
      <c r="H289">
        <v>38</v>
      </c>
    </row>
    <row r="290" spans="1:8">
      <c r="A290">
        <v>288</v>
      </c>
      <c r="B290">
        <v>289</v>
      </c>
      <c r="C290">
        <v>0.16669999999999999</v>
      </c>
      <c r="D290">
        <v>0.44</v>
      </c>
      <c r="E290">
        <v>0.44779999999999998</v>
      </c>
      <c r="F290">
        <v>4</v>
      </c>
      <c r="G290">
        <v>33</v>
      </c>
      <c r="H290">
        <v>37</v>
      </c>
    </row>
    <row r="291" spans="1:8">
      <c r="A291">
        <v>289</v>
      </c>
      <c r="B291">
        <v>290</v>
      </c>
      <c r="C291">
        <v>0.16669999999999999</v>
      </c>
      <c r="D291">
        <v>0.44</v>
      </c>
      <c r="E291">
        <v>0.41789999999999999</v>
      </c>
      <c r="F291">
        <v>3</v>
      </c>
      <c r="G291">
        <v>49</v>
      </c>
      <c r="H291">
        <v>52</v>
      </c>
    </row>
    <row r="292" spans="1:8">
      <c r="A292">
        <v>290</v>
      </c>
      <c r="B292">
        <v>291</v>
      </c>
      <c r="C292">
        <v>0.19700000000000001</v>
      </c>
      <c r="D292">
        <v>0.41</v>
      </c>
      <c r="E292">
        <v>0.44779999999999998</v>
      </c>
      <c r="F292">
        <v>2</v>
      </c>
      <c r="G292">
        <v>81</v>
      </c>
      <c r="H292">
        <v>83</v>
      </c>
    </row>
    <row r="293" spans="1:8">
      <c r="A293">
        <v>291</v>
      </c>
      <c r="B293">
        <v>292</v>
      </c>
      <c r="C293">
        <v>0.19700000000000001</v>
      </c>
      <c r="D293">
        <v>0.41</v>
      </c>
      <c r="E293">
        <v>0.3881</v>
      </c>
      <c r="F293">
        <v>3</v>
      </c>
      <c r="G293">
        <v>39</v>
      </c>
      <c r="H293">
        <v>42</v>
      </c>
    </row>
    <row r="294" spans="1:8">
      <c r="A294">
        <v>292</v>
      </c>
      <c r="B294">
        <v>293</v>
      </c>
      <c r="C294">
        <v>0.21210000000000001</v>
      </c>
      <c r="D294">
        <v>0.38</v>
      </c>
      <c r="E294">
        <v>0.29849999999999999</v>
      </c>
      <c r="F294">
        <v>5</v>
      </c>
      <c r="G294">
        <v>55</v>
      </c>
      <c r="H294">
        <v>60</v>
      </c>
    </row>
    <row r="295" spans="1:8">
      <c r="A295">
        <v>293</v>
      </c>
      <c r="B295">
        <v>294</v>
      </c>
      <c r="C295">
        <v>0.21210000000000001</v>
      </c>
      <c r="D295">
        <v>0.38</v>
      </c>
      <c r="E295">
        <v>0.35820000000000002</v>
      </c>
      <c r="F295">
        <v>2</v>
      </c>
      <c r="G295">
        <v>76</v>
      </c>
      <c r="H295">
        <v>78</v>
      </c>
    </row>
    <row r="296" spans="1:8">
      <c r="A296">
        <v>294</v>
      </c>
      <c r="B296">
        <v>295</v>
      </c>
      <c r="C296">
        <v>0.18179999999999999</v>
      </c>
      <c r="D296">
        <v>0.4</v>
      </c>
      <c r="E296">
        <v>0.28360000000000002</v>
      </c>
      <c r="F296">
        <v>4</v>
      </c>
      <c r="G296">
        <v>158</v>
      </c>
      <c r="H296">
        <v>162</v>
      </c>
    </row>
    <row r="297" spans="1:8">
      <c r="A297">
        <v>295</v>
      </c>
      <c r="B297">
        <v>296</v>
      </c>
      <c r="C297">
        <v>0.18179999999999999</v>
      </c>
      <c r="D297">
        <v>0.4</v>
      </c>
      <c r="E297">
        <v>0.32840000000000003</v>
      </c>
      <c r="F297">
        <v>3</v>
      </c>
      <c r="G297">
        <v>141</v>
      </c>
      <c r="H297">
        <v>144</v>
      </c>
    </row>
    <row r="298" spans="1:8">
      <c r="A298">
        <v>296</v>
      </c>
      <c r="B298">
        <v>297</v>
      </c>
      <c r="C298">
        <v>0.1515</v>
      </c>
      <c r="D298">
        <v>0.47</v>
      </c>
      <c r="E298">
        <v>0.25369999999999998</v>
      </c>
      <c r="F298">
        <v>1</v>
      </c>
      <c r="G298">
        <v>98</v>
      </c>
      <c r="H298">
        <v>99</v>
      </c>
    </row>
    <row r="299" spans="1:8">
      <c r="A299">
        <v>297</v>
      </c>
      <c r="B299">
        <v>298</v>
      </c>
      <c r="C299">
        <v>0.1515</v>
      </c>
      <c r="D299">
        <v>0.47</v>
      </c>
      <c r="E299">
        <v>0.22389999999999999</v>
      </c>
      <c r="F299">
        <v>0</v>
      </c>
      <c r="G299">
        <v>64</v>
      </c>
      <c r="H299">
        <v>64</v>
      </c>
    </row>
    <row r="300" spans="1:8">
      <c r="A300">
        <v>298</v>
      </c>
      <c r="B300">
        <v>299</v>
      </c>
      <c r="C300">
        <v>0.1212</v>
      </c>
      <c r="D300">
        <v>0.46</v>
      </c>
      <c r="E300">
        <v>0.29849999999999999</v>
      </c>
      <c r="F300">
        <v>0</v>
      </c>
      <c r="G300">
        <v>40</v>
      </c>
      <c r="H300">
        <v>40</v>
      </c>
    </row>
    <row r="301" spans="1:8">
      <c r="A301">
        <v>299</v>
      </c>
      <c r="B301">
        <v>300</v>
      </c>
      <c r="C301">
        <v>0.1212</v>
      </c>
      <c r="D301">
        <v>0.46</v>
      </c>
      <c r="E301">
        <v>0.32840000000000003</v>
      </c>
      <c r="F301">
        <v>0</v>
      </c>
      <c r="G301">
        <v>30</v>
      </c>
      <c r="H301">
        <v>30</v>
      </c>
    </row>
    <row r="302" spans="1:8">
      <c r="A302">
        <v>300</v>
      </c>
      <c r="B302">
        <v>301</v>
      </c>
      <c r="C302">
        <v>0.13639999999999999</v>
      </c>
      <c r="D302">
        <v>0.5</v>
      </c>
      <c r="E302">
        <v>0.19400000000000001</v>
      </c>
      <c r="F302">
        <v>1</v>
      </c>
      <c r="G302">
        <v>14</v>
      </c>
      <c r="H302">
        <v>15</v>
      </c>
    </row>
    <row r="303" spans="1:8">
      <c r="A303">
        <v>301</v>
      </c>
      <c r="B303">
        <v>302</v>
      </c>
      <c r="C303">
        <v>0.13639999999999999</v>
      </c>
      <c r="D303">
        <v>0.5</v>
      </c>
      <c r="E303">
        <v>0.19400000000000001</v>
      </c>
      <c r="F303">
        <v>0</v>
      </c>
      <c r="G303">
        <v>14</v>
      </c>
      <c r="H303">
        <v>14</v>
      </c>
    </row>
    <row r="304" spans="1:8">
      <c r="A304">
        <v>302</v>
      </c>
      <c r="B304">
        <v>303</v>
      </c>
      <c r="C304">
        <v>0.1212</v>
      </c>
      <c r="D304">
        <v>0.54</v>
      </c>
      <c r="E304">
        <v>0.16420000000000001</v>
      </c>
      <c r="F304">
        <v>0</v>
      </c>
      <c r="G304">
        <v>5</v>
      </c>
      <c r="H304">
        <v>5</v>
      </c>
    </row>
    <row r="305" spans="1:8">
      <c r="A305">
        <v>303</v>
      </c>
      <c r="B305">
        <v>304</v>
      </c>
      <c r="C305">
        <v>0.1212</v>
      </c>
      <c r="D305">
        <v>0.54</v>
      </c>
      <c r="E305">
        <v>0.1343</v>
      </c>
      <c r="F305">
        <v>0</v>
      </c>
      <c r="G305">
        <v>1</v>
      </c>
      <c r="H305">
        <v>1</v>
      </c>
    </row>
    <row r="306" spans="1:8">
      <c r="A306">
        <v>304</v>
      </c>
      <c r="B306">
        <v>305</v>
      </c>
      <c r="C306">
        <v>0.13639999999999999</v>
      </c>
      <c r="D306">
        <v>0.54</v>
      </c>
      <c r="E306">
        <v>0.1045</v>
      </c>
      <c r="F306">
        <v>0</v>
      </c>
      <c r="G306">
        <v>1</v>
      </c>
      <c r="H306">
        <v>1</v>
      </c>
    </row>
    <row r="307" spans="1:8">
      <c r="A307">
        <v>305</v>
      </c>
      <c r="B307">
        <v>306</v>
      </c>
      <c r="C307">
        <v>0.13639999999999999</v>
      </c>
      <c r="D307">
        <v>0.54</v>
      </c>
      <c r="E307">
        <v>8.9599999999999999E-2</v>
      </c>
      <c r="F307">
        <v>0</v>
      </c>
      <c r="G307">
        <v>8</v>
      </c>
      <c r="H307">
        <v>8</v>
      </c>
    </row>
    <row r="308" spans="1:8">
      <c r="A308">
        <v>306</v>
      </c>
      <c r="B308">
        <v>307</v>
      </c>
      <c r="C308">
        <v>0.18179999999999999</v>
      </c>
      <c r="D308">
        <v>0.54</v>
      </c>
      <c r="E308">
        <v>0</v>
      </c>
      <c r="F308">
        <v>0</v>
      </c>
      <c r="G308">
        <v>17</v>
      </c>
      <c r="H308">
        <v>17</v>
      </c>
    </row>
    <row r="309" spans="1:8">
      <c r="A309">
        <v>307</v>
      </c>
      <c r="B309">
        <v>308</v>
      </c>
      <c r="C309">
        <v>0.1212</v>
      </c>
      <c r="D309">
        <v>0.74</v>
      </c>
      <c r="E309">
        <v>0.16420000000000001</v>
      </c>
      <c r="F309">
        <v>0</v>
      </c>
      <c r="G309">
        <v>70</v>
      </c>
      <c r="H309">
        <v>70</v>
      </c>
    </row>
    <row r="310" spans="1:8">
      <c r="A310">
        <v>308</v>
      </c>
      <c r="B310">
        <v>309</v>
      </c>
      <c r="C310">
        <v>0.16669999999999999</v>
      </c>
      <c r="D310">
        <v>0.68</v>
      </c>
      <c r="E310">
        <v>0</v>
      </c>
      <c r="F310">
        <v>2</v>
      </c>
      <c r="G310">
        <v>156</v>
      </c>
      <c r="H310">
        <v>158</v>
      </c>
    </row>
    <row r="311" spans="1:8">
      <c r="A311">
        <v>309</v>
      </c>
      <c r="B311">
        <v>310</v>
      </c>
      <c r="C311">
        <v>0.1515</v>
      </c>
      <c r="D311">
        <v>0.69</v>
      </c>
      <c r="E311">
        <v>0.1343</v>
      </c>
      <c r="F311">
        <v>0</v>
      </c>
      <c r="G311">
        <v>117</v>
      </c>
      <c r="H311">
        <v>117</v>
      </c>
    </row>
    <row r="312" spans="1:8">
      <c r="A312">
        <v>310</v>
      </c>
      <c r="B312">
        <v>311</v>
      </c>
      <c r="C312">
        <v>0.18179999999999999</v>
      </c>
      <c r="D312">
        <v>0.55000000000000004</v>
      </c>
      <c r="E312">
        <v>0.19400000000000001</v>
      </c>
      <c r="F312">
        <v>4</v>
      </c>
      <c r="G312">
        <v>40</v>
      </c>
      <c r="H312">
        <v>44</v>
      </c>
    </row>
    <row r="313" spans="1:8">
      <c r="A313">
        <v>311</v>
      </c>
      <c r="B313">
        <v>312</v>
      </c>
      <c r="C313">
        <v>0.16669999999999999</v>
      </c>
      <c r="D313">
        <v>0.51</v>
      </c>
      <c r="E313">
        <v>0.28360000000000002</v>
      </c>
      <c r="F313">
        <v>6</v>
      </c>
      <c r="G313">
        <v>47</v>
      </c>
      <c r="H313">
        <v>53</v>
      </c>
    </row>
    <row r="314" spans="1:8">
      <c r="A314">
        <v>312</v>
      </c>
      <c r="B314">
        <v>313</v>
      </c>
      <c r="C314">
        <v>0.19700000000000001</v>
      </c>
      <c r="D314">
        <v>0.44</v>
      </c>
      <c r="E314">
        <v>0.25369999999999998</v>
      </c>
      <c r="F314">
        <v>2</v>
      </c>
      <c r="G314">
        <v>59</v>
      </c>
      <c r="H314">
        <v>61</v>
      </c>
    </row>
    <row r="315" spans="1:8">
      <c r="A315">
        <v>313</v>
      </c>
      <c r="B315">
        <v>314</v>
      </c>
      <c r="C315">
        <v>0.19700000000000001</v>
      </c>
      <c r="D315">
        <v>0.37</v>
      </c>
      <c r="E315">
        <v>0.3881</v>
      </c>
      <c r="F315">
        <v>4</v>
      </c>
      <c r="G315">
        <v>73</v>
      </c>
      <c r="H315">
        <v>77</v>
      </c>
    </row>
    <row r="316" spans="1:8">
      <c r="A316">
        <v>314</v>
      </c>
      <c r="B316">
        <v>315</v>
      </c>
      <c r="C316">
        <v>0.21210000000000001</v>
      </c>
      <c r="D316">
        <v>0.41</v>
      </c>
      <c r="E316">
        <v>0.28360000000000002</v>
      </c>
      <c r="F316">
        <v>5</v>
      </c>
      <c r="G316">
        <v>59</v>
      </c>
      <c r="H316">
        <v>64</v>
      </c>
    </row>
    <row r="317" spans="1:8">
      <c r="A317">
        <v>315</v>
      </c>
      <c r="B317">
        <v>316</v>
      </c>
      <c r="C317">
        <v>0.2424</v>
      </c>
      <c r="D317">
        <v>0.38</v>
      </c>
      <c r="E317">
        <v>0.16420000000000001</v>
      </c>
      <c r="F317">
        <v>9</v>
      </c>
      <c r="G317">
        <v>59</v>
      </c>
      <c r="H317">
        <v>68</v>
      </c>
    </row>
    <row r="318" spans="1:8">
      <c r="A318">
        <v>316</v>
      </c>
      <c r="B318">
        <v>317</v>
      </c>
      <c r="C318">
        <v>0.2424</v>
      </c>
      <c r="D318">
        <v>0.41</v>
      </c>
      <c r="E318">
        <v>0.1045</v>
      </c>
      <c r="F318">
        <v>3</v>
      </c>
      <c r="G318">
        <v>87</v>
      </c>
      <c r="H318">
        <v>90</v>
      </c>
    </row>
    <row r="319" spans="1:8">
      <c r="A319">
        <v>317</v>
      </c>
      <c r="B319">
        <v>318</v>
      </c>
      <c r="C319">
        <v>0.2273</v>
      </c>
      <c r="D319">
        <v>0.41</v>
      </c>
      <c r="E319">
        <v>0.16420000000000001</v>
      </c>
      <c r="F319">
        <v>4</v>
      </c>
      <c r="G319">
        <v>155</v>
      </c>
      <c r="H319">
        <v>159</v>
      </c>
    </row>
    <row r="320" spans="1:8">
      <c r="A320">
        <v>318</v>
      </c>
      <c r="B320">
        <v>319</v>
      </c>
      <c r="C320">
        <v>0.2576</v>
      </c>
      <c r="D320">
        <v>0.47</v>
      </c>
      <c r="E320">
        <v>0</v>
      </c>
      <c r="F320">
        <v>5</v>
      </c>
      <c r="G320">
        <v>134</v>
      </c>
      <c r="H320">
        <v>139</v>
      </c>
    </row>
    <row r="321" spans="1:8">
      <c r="A321">
        <v>319</v>
      </c>
      <c r="B321">
        <v>320</v>
      </c>
      <c r="C321">
        <v>0.19700000000000001</v>
      </c>
      <c r="D321">
        <v>0.59</v>
      </c>
      <c r="E321">
        <v>8.9599999999999999E-2</v>
      </c>
      <c r="F321">
        <v>3</v>
      </c>
      <c r="G321">
        <v>89</v>
      </c>
      <c r="H321">
        <v>92</v>
      </c>
    </row>
    <row r="322" spans="1:8">
      <c r="A322">
        <v>320</v>
      </c>
      <c r="B322">
        <v>321</v>
      </c>
      <c r="C322">
        <v>0.2424</v>
      </c>
      <c r="D322">
        <v>0.59</v>
      </c>
      <c r="E322">
        <v>0</v>
      </c>
      <c r="F322">
        <v>0</v>
      </c>
      <c r="G322">
        <v>68</v>
      </c>
      <c r="H322">
        <v>68</v>
      </c>
    </row>
    <row r="323" spans="1:8">
      <c r="A323">
        <v>321</v>
      </c>
      <c r="B323">
        <v>322</v>
      </c>
      <c r="C323">
        <v>0.2273</v>
      </c>
      <c r="D323">
        <v>0.69</v>
      </c>
      <c r="E323">
        <v>0</v>
      </c>
      <c r="F323">
        <v>4</v>
      </c>
      <c r="G323">
        <v>48</v>
      </c>
      <c r="H323">
        <v>52</v>
      </c>
    </row>
    <row r="324" spans="1:8">
      <c r="A324">
        <v>322</v>
      </c>
      <c r="B324">
        <v>323</v>
      </c>
      <c r="C324">
        <v>0.2273</v>
      </c>
      <c r="D324">
        <v>0.69</v>
      </c>
      <c r="E324">
        <v>0</v>
      </c>
      <c r="F324">
        <v>2</v>
      </c>
      <c r="G324">
        <v>34</v>
      </c>
      <c r="H324">
        <v>36</v>
      </c>
    </row>
    <row r="325" spans="1:8">
      <c r="A325">
        <v>323</v>
      </c>
      <c r="B325">
        <v>324</v>
      </c>
      <c r="C325">
        <v>0.2424</v>
      </c>
      <c r="D325">
        <v>0.55000000000000004</v>
      </c>
      <c r="E325">
        <v>0</v>
      </c>
      <c r="F325">
        <v>1</v>
      </c>
      <c r="G325">
        <v>26</v>
      </c>
      <c r="H325">
        <v>27</v>
      </c>
    </row>
    <row r="326" spans="1:8">
      <c r="A326">
        <v>324</v>
      </c>
      <c r="B326">
        <v>325</v>
      </c>
      <c r="C326">
        <v>0.2424</v>
      </c>
      <c r="D326">
        <v>0.55000000000000004</v>
      </c>
      <c r="E326">
        <v>0</v>
      </c>
      <c r="F326">
        <v>3</v>
      </c>
      <c r="G326">
        <v>25</v>
      </c>
      <c r="H326">
        <v>28</v>
      </c>
    </row>
    <row r="327" spans="1:8">
      <c r="A327">
        <v>325</v>
      </c>
      <c r="B327">
        <v>326</v>
      </c>
      <c r="C327">
        <v>0.19700000000000001</v>
      </c>
      <c r="D327">
        <v>0.59</v>
      </c>
      <c r="E327">
        <v>8.9599999999999999E-2</v>
      </c>
      <c r="F327">
        <v>2</v>
      </c>
      <c r="G327">
        <v>18</v>
      </c>
      <c r="H327">
        <v>20</v>
      </c>
    </row>
    <row r="328" spans="1:8">
      <c r="A328">
        <v>326</v>
      </c>
      <c r="B328">
        <v>327</v>
      </c>
      <c r="C328">
        <v>0.19700000000000001</v>
      </c>
      <c r="D328">
        <v>0.59</v>
      </c>
      <c r="E328">
        <v>8.9599999999999999E-2</v>
      </c>
      <c r="F328">
        <v>0</v>
      </c>
      <c r="G328">
        <v>12</v>
      </c>
      <c r="H328">
        <v>12</v>
      </c>
    </row>
    <row r="329" spans="1:8">
      <c r="A329">
        <v>327</v>
      </c>
      <c r="B329">
        <v>328</v>
      </c>
      <c r="C329">
        <v>0.2273</v>
      </c>
      <c r="D329">
        <v>0.59</v>
      </c>
      <c r="E329">
        <v>0</v>
      </c>
      <c r="F329">
        <v>1</v>
      </c>
      <c r="G329">
        <v>7</v>
      </c>
      <c r="H329">
        <v>8</v>
      </c>
    </row>
    <row r="330" spans="1:8">
      <c r="A330">
        <v>328</v>
      </c>
      <c r="B330">
        <v>329</v>
      </c>
      <c r="C330">
        <v>0.2273</v>
      </c>
      <c r="D330">
        <v>0.59</v>
      </c>
      <c r="E330">
        <v>0</v>
      </c>
      <c r="F330">
        <v>0</v>
      </c>
      <c r="G330">
        <v>5</v>
      </c>
      <c r="H330">
        <v>5</v>
      </c>
    </row>
    <row r="331" spans="1:8">
      <c r="A331">
        <v>329</v>
      </c>
      <c r="B331">
        <v>330</v>
      </c>
      <c r="C331">
        <v>0.2273</v>
      </c>
      <c r="D331">
        <v>0.59</v>
      </c>
      <c r="E331">
        <v>0</v>
      </c>
      <c r="F331">
        <v>0</v>
      </c>
      <c r="G331">
        <v>1</v>
      </c>
      <c r="H331">
        <v>1</v>
      </c>
    </row>
    <row r="332" spans="1:8">
      <c r="A332">
        <v>330</v>
      </c>
      <c r="B332">
        <v>331</v>
      </c>
      <c r="C332">
        <v>0.16669999999999999</v>
      </c>
      <c r="D332">
        <v>0.63</v>
      </c>
      <c r="E332">
        <v>0.1045</v>
      </c>
      <c r="F332">
        <v>1</v>
      </c>
      <c r="G332">
        <v>2</v>
      </c>
      <c r="H332">
        <v>3</v>
      </c>
    </row>
    <row r="333" spans="1:8">
      <c r="A333">
        <v>331</v>
      </c>
      <c r="B333">
        <v>332</v>
      </c>
      <c r="C333">
        <v>0.21210000000000001</v>
      </c>
      <c r="D333">
        <v>0.63</v>
      </c>
      <c r="E333">
        <v>0</v>
      </c>
      <c r="F333">
        <v>1</v>
      </c>
      <c r="G333">
        <v>9</v>
      </c>
      <c r="H333">
        <v>10</v>
      </c>
    </row>
    <row r="334" spans="1:8">
      <c r="A334">
        <v>332</v>
      </c>
      <c r="B334">
        <v>333</v>
      </c>
      <c r="C334">
        <v>0.1515</v>
      </c>
      <c r="D334">
        <v>0.63</v>
      </c>
      <c r="E334">
        <v>0.1343</v>
      </c>
      <c r="F334">
        <v>1</v>
      </c>
      <c r="G334">
        <v>22</v>
      </c>
      <c r="H334">
        <v>23</v>
      </c>
    </row>
    <row r="335" spans="1:8">
      <c r="A335">
        <v>333</v>
      </c>
      <c r="B335">
        <v>334</v>
      </c>
      <c r="C335">
        <v>0.18179999999999999</v>
      </c>
      <c r="D335">
        <v>0.64</v>
      </c>
      <c r="E335">
        <v>0.1343</v>
      </c>
      <c r="F335">
        <v>2</v>
      </c>
      <c r="G335">
        <v>31</v>
      </c>
      <c r="H335">
        <v>33</v>
      </c>
    </row>
    <row r="336" spans="1:8">
      <c r="A336">
        <v>334</v>
      </c>
      <c r="B336">
        <v>335</v>
      </c>
      <c r="C336">
        <v>0.19700000000000001</v>
      </c>
      <c r="D336">
        <v>0.59</v>
      </c>
      <c r="E336">
        <v>0.16420000000000001</v>
      </c>
      <c r="F336">
        <v>2</v>
      </c>
      <c r="G336">
        <v>57</v>
      </c>
      <c r="H336">
        <v>59</v>
      </c>
    </row>
    <row r="337" spans="1:8">
      <c r="A337">
        <v>335</v>
      </c>
      <c r="B337">
        <v>336</v>
      </c>
      <c r="C337">
        <v>0.19700000000000001</v>
      </c>
      <c r="D337">
        <v>0.55000000000000004</v>
      </c>
      <c r="E337">
        <v>0.22389999999999999</v>
      </c>
      <c r="F337">
        <v>18</v>
      </c>
      <c r="G337">
        <v>54</v>
      </c>
      <c r="H337">
        <v>72</v>
      </c>
    </row>
    <row r="338" spans="1:8">
      <c r="A338">
        <v>336</v>
      </c>
      <c r="B338">
        <v>337</v>
      </c>
      <c r="C338">
        <v>0.2273</v>
      </c>
      <c r="D338">
        <v>0.48</v>
      </c>
      <c r="E338">
        <v>0.22389999999999999</v>
      </c>
      <c r="F338">
        <v>15</v>
      </c>
      <c r="G338">
        <v>74</v>
      </c>
      <c r="H338">
        <v>89</v>
      </c>
    </row>
    <row r="339" spans="1:8">
      <c r="A339">
        <v>337</v>
      </c>
      <c r="B339">
        <v>338</v>
      </c>
      <c r="C339">
        <v>0.2576</v>
      </c>
      <c r="D339">
        <v>0.38</v>
      </c>
      <c r="E339">
        <v>0.29849999999999999</v>
      </c>
      <c r="F339">
        <v>21</v>
      </c>
      <c r="G339">
        <v>80</v>
      </c>
      <c r="H339">
        <v>101</v>
      </c>
    </row>
    <row r="340" spans="1:8">
      <c r="A340">
        <v>338</v>
      </c>
      <c r="B340">
        <v>339</v>
      </c>
      <c r="C340">
        <v>0.28789999999999999</v>
      </c>
      <c r="D340">
        <v>0.39</v>
      </c>
      <c r="E340">
        <v>0.28360000000000002</v>
      </c>
      <c r="F340">
        <v>26</v>
      </c>
      <c r="G340">
        <v>92</v>
      </c>
      <c r="H340">
        <v>118</v>
      </c>
    </row>
    <row r="341" spans="1:8">
      <c r="A341">
        <v>339</v>
      </c>
      <c r="B341">
        <v>340</v>
      </c>
      <c r="C341">
        <v>0.31819999999999998</v>
      </c>
      <c r="D341">
        <v>0.36</v>
      </c>
      <c r="E341">
        <v>0.19400000000000001</v>
      </c>
      <c r="F341">
        <v>21</v>
      </c>
      <c r="G341">
        <v>108</v>
      </c>
      <c r="H341">
        <v>129</v>
      </c>
    </row>
    <row r="342" spans="1:8">
      <c r="A342">
        <v>340</v>
      </c>
      <c r="B342">
        <v>341</v>
      </c>
      <c r="C342">
        <v>0.33329999999999999</v>
      </c>
      <c r="D342">
        <v>0.34</v>
      </c>
      <c r="E342">
        <v>0.19400000000000001</v>
      </c>
      <c r="F342">
        <v>33</v>
      </c>
      <c r="G342">
        <v>95</v>
      </c>
      <c r="H342">
        <v>128</v>
      </c>
    </row>
    <row r="343" spans="1:8">
      <c r="A343">
        <v>341</v>
      </c>
      <c r="B343">
        <v>342</v>
      </c>
      <c r="C343">
        <v>0.30299999999999999</v>
      </c>
      <c r="D343">
        <v>0.36</v>
      </c>
      <c r="E343">
        <v>0.28360000000000002</v>
      </c>
      <c r="F343">
        <v>29</v>
      </c>
      <c r="G343">
        <v>54</v>
      </c>
      <c r="H343">
        <v>83</v>
      </c>
    </row>
    <row r="344" spans="1:8">
      <c r="A344">
        <v>342</v>
      </c>
      <c r="B344">
        <v>343</v>
      </c>
      <c r="C344">
        <v>0.28789999999999999</v>
      </c>
      <c r="D344">
        <v>0.45</v>
      </c>
      <c r="E344">
        <v>0.25369999999999998</v>
      </c>
      <c r="F344">
        <v>15</v>
      </c>
      <c r="G344">
        <v>69</v>
      </c>
      <c r="H344">
        <v>84</v>
      </c>
    </row>
    <row r="345" spans="1:8">
      <c r="A345">
        <v>343</v>
      </c>
      <c r="B345">
        <v>344</v>
      </c>
      <c r="C345">
        <v>0.30299999999999999</v>
      </c>
      <c r="D345">
        <v>0.39</v>
      </c>
      <c r="E345">
        <v>0.25369999999999998</v>
      </c>
      <c r="F345">
        <v>14</v>
      </c>
      <c r="G345">
        <v>60</v>
      </c>
      <c r="H345">
        <v>74</v>
      </c>
    </row>
    <row r="346" spans="1:8">
      <c r="A346">
        <v>344</v>
      </c>
      <c r="B346">
        <v>345</v>
      </c>
      <c r="C346">
        <v>0.30299999999999999</v>
      </c>
      <c r="D346">
        <v>0.39</v>
      </c>
      <c r="E346">
        <v>0.25369999999999998</v>
      </c>
      <c r="F346">
        <v>6</v>
      </c>
      <c r="G346">
        <v>35</v>
      </c>
      <c r="H346">
        <v>41</v>
      </c>
    </row>
    <row r="347" spans="1:8">
      <c r="A347">
        <v>345</v>
      </c>
      <c r="B347">
        <v>346</v>
      </c>
      <c r="C347">
        <v>0.30299999999999999</v>
      </c>
      <c r="D347">
        <v>0.39</v>
      </c>
      <c r="E347">
        <v>0.22389999999999999</v>
      </c>
      <c r="F347">
        <v>6</v>
      </c>
      <c r="G347">
        <v>51</v>
      </c>
      <c r="H347">
        <v>57</v>
      </c>
    </row>
    <row r="348" spans="1:8">
      <c r="A348">
        <v>346</v>
      </c>
      <c r="B348">
        <v>347</v>
      </c>
      <c r="C348">
        <v>0.31819999999999998</v>
      </c>
      <c r="D348">
        <v>0.42</v>
      </c>
      <c r="E348">
        <v>0.1045</v>
      </c>
      <c r="F348">
        <v>0</v>
      </c>
      <c r="G348">
        <v>26</v>
      </c>
      <c r="H348">
        <v>26</v>
      </c>
    </row>
    <row r="349" spans="1:8">
      <c r="A349">
        <v>347</v>
      </c>
      <c r="B349">
        <v>348</v>
      </c>
      <c r="C349">
        <v>0.28789999999999999</v>
      </c>
      <c r="D349">
        <v>0.45</v>
      </c>
      <c r="E349">
        <v>0.28360000000000002</v>
      </c>
      <c r="F349">
        <v>5</v>
      </c>
      <c r="G349">
        <v>39</v>
      </c>
      <c r="H349">
        <v>44</v>
      </c>
    </row>
    <row r="350" spans="1:8">
      <c r="A350">
        <v>348</v>
      </c>
      <c r="B350">
        <v>349</v>
      </c>
      <c r="C350">
        <v>0.30299999999999999</v>
      </c>
      <c r="D350">
        <v>0.56000000000000005</v>
      </c>
      <c r="E350">
        <v>0</v>
      </c>
      <c r="F350">
        <v>6</v>
      </c>
      <c r="G350">
        <v>33</v>
      </c>
      <c r="H350">
        <v>39</v>
      </c>
    </row>
    <row r="351" spans="1:8">
      <c r="A351">
        <v>349</v>
      </c>
      <c r="B351">
        <v>350</v>
      </c>
      <c r="C351">
        <v>0.2727</v>
      </c>
      <c r="D351">
        <v>0.56000000000000005</v>
      </c>
      <c r="E351">
        <v>0.1343</v>
      </c>
      <c r="F351">
        <v>4</v>
      </c>
      <c r="G351">
        <v>19</v>
      </c>
      <c r="H351">
        <v>23</v>
      </c>
    </row>
    <row r="352" spans="1:8">
      <c r="A352">
        <v>350</v>
      </c>
      <c r="B352">
        <v>351</v>
      </c>
      <c r="C352">
        <v>0.28789999999999999</v>
      </c>
      <c r="D352">
        <v>0.56000000000000005</v>
      </c>
      <c r="E352">
        <v>8.9599999999999999E-2</v>
      </c>
      <c r="F352">
        <v>3</v>
      </c>
      <c r="G352">
        <v>13</v>
      </c>
      <c r="H352">
        <v>16</v>
      </c>
    </row>
    <row r="353" spans="1:8">
      <c r="A353">
        <v>351</v>
      </c>
      <c r="B353">
        <v>352</v>
      </c>
      <c r="C353">
        <v>0.2727</v>
      </c>
      <c r="D353">
        <v>0.69</v>
      </c>
      <c r="E353">
        <v>0</v>
      </c>
      <c r="F353">
        <v>9</v>
      </c>
      <c r="G353">
        <v>6</v>
      </c>
      <c r="H353">
        <v>15</v>
      </c>
    </row>
    <row r="354" spans="1:8">
      <c r="A354">
        <v>352</v>
      </c>
      <c r="B354">
        <v>353</v>
      </c>
      <c r="C354">
        <v>0.2576</v>
      </c>
      <c r="D354">
        <v>0.56000000000000005</v>
      </c>
      <c r="E354">
        <v>0.16420000000000001</v>
      </c>
      <c r="F354">
        <v>0</v>
      </c>
      <c r="G354">
        <v>1</v>
      </c>
      <c r="H354">
        <v>1</v>
      </c>
    </row>
    <row r="355" spans="1:8">
      <c r="A355">
        <v>353</v>
      </c>
      <c r="B355">
        <v>354</v>
      </c>
      <c r="C355">
        <v>0.2576</v>
      </c>
      <c r="D355">
        <v>0.56000000000000005</v>
      </c>
      <c r="E355">
        <v>0.16420000000000001</v>
      </c>
      <c r="F355">
        <v>1</v>
      </c>
      <c r="G355">
        <v>1</v>
      </c>
      <c r="H355">
        <v>2</v>
      </c>
    </row>
    <row r="356" spans="1:8">
      <c r="A356">
        <v>354</v>
      </c>
      <c r="B356">
        <v>355</v>
      </c>
      <c r="C356">
        <v>0.2576</v>
      </c>
      <c r="D356">
        <v>0.56000000000000005</v>
      </c>
      <c r="E356">
        <v>0.16420000000000001</v>
      </c>
      <c r="F356">
        <v>0</v>
      </c>
      <c r="G356">
        <v>1</v>
      </c>
      <c r="H356">
        <v>1</v>
      </c>
    </row>
    <row r="357" spans="1:8">
      <c r="A357">
        <v>355</v>
      </c>
      <c r="B357">
        <v>356</v>
      </c>
      <c r="C357">
        <v>0.21210000000000001</v>
      </c>
      <c r="D357">
        <v>0.56000000000000005</v>
      </c>
      <c r="E357">
        <v>0.29849999999999999</v>
      </c>
      <c r="F357">
        <v>0</v>
      </c>
      <c r="G357">
        <v>3</v>
      </c>
      <c r="H357">
        <v>3</v>
      </c>
    </row>
    <row r="358" spans="1:8">
      <c r="A358">
        <v>356</v>
      </c>
      <c r="B358">
        <v>357</v>
      </c>
      <c r="C358">
        <v>0.21210000000000001</v>
      </c>
      <c r="D358">
        <v>0.55000000000000004</v>
      </c>
      <c r="E358">
        <v>0.28360000000000002</v>
      </c>
      <c r="F358">
        <v>0</v>
      </c>
      <c r="G358">
        <v>18</v>
      </c>
      <c r="H358">
        <v>18</v>
      </c>
    </row>
    <row r="359" spans="1:8">
      <c r="A359">
        <v>357</v>
      </c>
      <c r="B359">
        <v>358</v>
      </c>
      <c r="C359">
        <v>0.21210000000000001</v>
      </c>
      <c r="D359">
        <v>0.51</v>
      </c>
      <c r="E359">
        <v>0.25369999999999998</v>
      </c>
      <c r="F359">
        <v>3</v>
      </c>
      <c r="G359">
        <v>29</v>
      </c>
      <c r="H359">
        <v>32</v>
      </c>
    </row>
    <row r="360" spans="1:8">
      <c r="A360">
        <v>358</v>
      </c>
      <c r="B360">
        <v>359</v>
      </c>
      <c r="C360">
        <v>0.21210000000000001</v>
      </c>
      <c r="D360">
        <v>0.51</v>
      </c>
      <c r="E360">
        <v>0.28360000000000002</v>
      </c>
      <c r="F360">
        <v>8</v>
      </c>
      <c r="G360">
        <v>71</v>
      </c>
      <c r="H360">
        <v>79</v>
      </c>
    </row>
    <row r="361" spans="1:8">
      <c r="A361">
        <v>359</v>
      </c>
      <c r="B361">
        <v>360</v>
      </c>
      <c r="C361">
        <v>0.2273</v>
      </c>
      <c r="D361">
        <v>0.44</v>
      </c>
      <c r="E361">
        <v>0.25369999999999998</v>
      </c>
      <c r="F361">
        <v>23</v>
      </c>
      <c r="G361">
        <v>70</v>
      </c>
      <c r="H361">
        <v>93</v>
      </c>
    </row>
    <row r="362" spans="1:8">
      <c r="A362">
        <v>360</v>
      </c>
      <c r="B362">
        <v>361</v>
      </c>
      <c r="C362">
        <v>0.21210000000000001</v>
      </c>
      <c r="D362">
        <v>0.41</v>
      </c>
      <c r="E362">
        <v>0.28360000000000002</v>
      </c>
      <c r="F362">
        <v>29</v>
      </c>
      <c r="G362">
        <v>75</v>
      </c>
      <c r="H362">
        <v>104</v>
      </c>
    </row>
    <row r="363" spans="1:8">
      <c r="A363">
        <v>361</v>
      </c>
      <c r="B363">
        <v>362</v>
      </c>
      <c r="C363">
        <v>0.2273</v>
      </c>
      <c r="D363">
        <v>0.35</v>
      </c>
      <c r="E363">
        <v>0.29849999999999999</v>
      </c>
      <c r="F363">
        <v>23</v>
      </c>
      <c r="G363">
        <v>95</v>
      </c>
      <c r="H363">
        <v>118</v>
      </c>
    </row>
    <row r="364" spans="1:8">
      <c r="A364">
        <v>362</v>
      </c>
      <c r="B364">
        <v>363</v>
      </c>
      <c r="C364">
        <v>0.2727</v>
      </c>
      <c r="D364">
        <v>0.36</v>
      </c>
      <c r="E364">
        <v>0.25369999999999998</v>
      </c>
      <c r="F364">
        <v>22</v>
      </c>
      <c r="G364">
        <v>69</v>
      </c>
      <c r="H364">
        <v>91</v>
      </c>
    </row>
    <row r="365" spans="1:8">
      <c r="A365">
        <v>363</v>
      </c>
      <c r="B365">
        <v>364</v>
      </c>
      <c r="C365">
        <v>0.2424</v>
      </c>
      <c r="D365">
        <v>0.38</v>
      </c>
      <c r="E365">
        <v>0.25369999999999998</v>
      </c>
      <c r="F365">
        <v>35</v>
      </c>
      <c r="G365">
        <v>78</v>
      </c>
      <c r="H365">
        <v>113</v>
      </c>
    </row>
    <row r="366" spans="1:8">
      <c r="A366">
        <v>364</v>
      </c>
      <c r="B366">
        <v>365</v>
      </c>
      <c r="C366">
        <v>0.2273</v>
      </c>
      <c r="D366">
        <v>0.38</v>
      </c>
      <c r="E366">
        <v>0.22389999999999999</v>
      </c>
      <c r="F366">
        <v>22</v>
      </c>
      <c r="G366">
        <v>77</v>
      </c>
      <c r="H366">
        <v>99</v>
      </c>
    </row>
    <row r="367" spans="1:8">
      <c r="A367">
        <v>365</v>
      </c>
      <c r="B367">
        <v>366</v>
      </c>
      <c r="C367">
        <v>0.21210000000000001</v>
      </c>
      <c r="D367">
        <v>0.37</v>
      </c>
      <c r="E367">
        <v>0.25369999999999998</v>
      </c>
      <c r="F367">
        <v>23</v>
      </c>
      <c r="G367">
        <v>82</v>
      </c>
      <c r="H367">
        <v>105</v>
      </c>
    </row>
    <row r="368" spans="1:8">
      <c r="A368">
        <v>366</v>
      </c>
      <c r="B368">
        <v>367</v>
      </c>
      <c r="C368">
        <v>0.21210000000000001</v>
      </c>
      <c r="D368">
        <v>0.4</v>
      </c>
      <c r="E368">
        <v>0.16420000000000001</v>
      </c>
      <c r="F368">
        <v>11</v>
      </c>
      <c r="G368">
        <v>56</v>
      </c>
      <c r="H368">
        <v>67</v>
      </c>
    </row>
    <row r="369" spans="1:8">
      <c r="A369">
        <v>367</v>
      </c>
      <c r="B369">
        <v>368</v>
      </c>
      <c r="C369">
        <v>0.19700000000000001</v>
      </c>
      <c r="D369">
        <v>0.47</v>
      </c>
      <c r="E369">
        <v>0.1343</v>
      </c>
      <c r="F369">
        <v>14</v>
      </c>
      <c r="G369">
        <v>47</v>
      </c>
      <c r="H369">
        <v>61</v>
      </c>
    </row>
    <row r="370" spans="1:8">
      <c r="A370">
        <v>368</v>
      </c>
      <c r="B370">
        <v>369</v>
      </c>
      <c r="C370">
        <v>0.19700000000000001</v>
      </c>
      <c r="D370">
        <v>0.47</v>
      </c>
      <c r="E370">
        <v>0.16420000000000001</v>
      </c>
      <c r="F370">
        <v>7</v>
      </c>
      <c r="G370">
        <v>50</v>
      </c>
      <c r="H370">
        <v>57</v>
      </c>
    </row>
    <row r="371" spans="1:8">
      <c r="A371">
        <v>369</v>
      </c>
      <c r="B371">
        <v>370</v>
      </c>
      <c r="C371">
        <v>0.19700000000000001</v>
      </c>
      <c r="D371">
        <v>0.51</v>
      </c>
      <c r="E371">
        <v>0.16420000000000001</v>
      </c>
      <c r="F371">
        <v>6</v>
      </c>
      <c r="G371">
        <v>22</v>
      </c>
      <c r="H371">
        <v>28</v>
      </c>
    </row>
    <row r="372" spans="1:8">
      <c r="A372">
        <v>370</v>
      </c>
      <c r="B372">
        <v>371</v>
      </c>
      <c r="C372">
        <v>0.21210000000000001</v>
      </c>
      <c r="D372">
        <v>0.49</v>
      </c>
      <c r="E372">
        <v>0.1343</v>
      </c>
      <c r="F372">
        <v>2</v>
      </c>
      <c r="G372">
        <v>19</v>
      </c>
      <c r="H372">
        <v>21</v>
      </c>
    </row>
    <row r="373" spans="1:8">
      <c r="A373">
        <v>371</v>
      </c>
      <c r="B373">
        <v>372</v>
      </c>
      <c r="C373">
        <v>0.2273</v>
      </c>
      <c r="D373">
        <v>0.4</v>
      </c>
      <c r="E373">
        <v>0.1045</v>
      </c>
      <c r="F373">
        <v>0</v>
      </c>
      <c r="G373">
        <v>18</v>
      </c>
      <c r="H373">
        <v>18</v>
      </c>
    </row>
    <row r="374" spans="1:8">
      <c r="A374">
        <v>372</v>
      </c>
      <c r="B374">
        <v>373</v>
      </c>
      <c r="C374">
        <v>0.19700000000000001</v>
      </c>
      <c r="D374">
        <v>0.47</v>
      </c>
      <c r="E374">
        <v>0.22389999999999999</v>
      </c>
      <c r="F374">
        <v>1</v>
      </c>
      <c r="G374">
        <v>16</v>
      </c>
      <c r="H374">
        <v>17</v>
      </c>
    </row>
    <row r="375" spans="1:8">
      <c r="A375">
        <v>373</v>
      </c>
      <c r="B375">
        <v>374</v>
      </c>
      <c r="C375">
        <v>0.19700000000000001</v>
      </c>
      <c r="D375">
        <v>0.44</v>
      </c>
      <c r="E375">
        <v>0.19400000000000001</v>
      </c>
      <c r="F375">
        <v>1</v>
      </c>
      <c r="G375">
        <v>15</v>
      </c>
      <c r="H375">
        <v>16</v>
      </c>
    </row>
    <row r="376" spans="1:8">
      <c r="A376">
        <v>374</v>
      </c>
      <c r="B376">
        <v>375</v>
      </c>
      <c r="C376">
        <v>0.16669999999999999</v>
      </c>
      <c r="D376">
        <v>0.43</v>
      </c>
      <c r="E376">
        <v>0.25369999999999998</v>
      </c>
      <c r="F376">
        <v>0</v>
      </c>
      <c r="G376">
        <v>8</v>
      </c>
      <c r="H376">
        <v>8</v>
      </c>
    </row>
    <row r="377" spans="1:8">
      <c r="A377">
        <v>375</v>
      </c>
      <c r="B377">
        <v>376</v>
      </c>
      <c r="C377">
        <v>0.18179999999999999</v>
      </c>
      <c r="D377">
        <v>0.43</v>
      </c>
      <c r="E377">
        <v>0.19400000000000001</v>
      </c>
      <c r="F377">
        <v>0</v>
      </c>
      <c r="G377">
        <v>2</v>
      </c>
      <c r="H377">
        <v>2</v>
      </c>
    </row>
    <row r="378" spans="1:8">
      <c r="A378">
        <v>376</v>
      </c>
      <c r="B378">
        <v>377</v>
      </c>
      <c r="C378">
        <v>0.19700000000000001</v>
      </c>
      <c r="D378">
        <v>0.43</v>
      </c>
      <c r="E378">
        <v>0.1343</v>
      </c>
      <c r="F378">
        <v>1</v>
      </c>
      <c r="G378">
        <v>2</v>
      </c>
      <c r="H378">
        <v>3</v>
      </c>
    </row>
    <row r="379" spans="1:8">
      <c r="A379">
        <v>377</v>
      </c>
      <c r="B379">
        <v>378</v>
      </c>
      <c r="C379">
        <v>0.19700000000000001</v>
      </c>
      <c r="D379">
        <v>0.43</v>
      </c>
      <c r="E379">
        <v>0.16420000000000001</v>
      </c>
      <c r="F379">
        <v>0</v>
      </c>
      <c r="G379">
        <v>1</v>
      </c>
      <c r="H379">
        <v>1</v>
      </c>
    </row>
    <row r="380" spans="1:8">
      <c r="A380">
        <v>378</v>
      </c>
      <c r="B380">
        <v>379</v>
      </c>
      <c r="C380">
        <v>0.18179999999999999</v>
      </c>
      <c r="D380">
        <v>0.43</v>
      </c>
      <c r="E380">
        <v>0.19400000000000001</v>
      </c>
      <c r="F380">
        <v>0</v>
      </c>
      <c r="G380">
        <v>5</v>
      </c>
      <c r="H380">
        <v>5</v>
      </c>
    </row>
    <row r="381" spans="1:8">
      <c r="A381">
        <v>379</v>
      </c>
      <c r="B381">
        <v>380</v>
      </c>
      <c r="C381">
        <v>0.18179999999999999</v>
      </c>
      <c r="D381">
        <v>0.5</v>
      </c>
      <c r="E381">
        <v>0.1343</v>
      </c>
      <c r="F381">
        <v>4</v>
      </c>
      <c r="G381">
        <v>9</v>
      </c>
      <c r="H381">
        <v>13</v>
      </c>
    </row>
    <row r="382" spans="1:8">
      <c r="A382">
        <v>380</v>
      </c>
      <c r="B382">
        <v>381</v>
      </c>
      <c r="C382">
        <v>0.1515</v>
      </c>
      <c r="D382">
        <v>0.47</v>
      </c>
      <c r="E382">
        <v>0.22389999999999999</v>
      </c>
      <c r="F382">
        <v>3</v>
      </c>
      <c r="G382">
        <v>30</v>
      </c>
      <c r="H382">
        <v>33</v>
      </c>
    </row>
    <row r="383" spans="1:8">
      <c r="A383">
        <v>381</v>
      </c>
      <c r="B383">
        <v>382</v>
      </c>
      <c r="C383">
        <v>0.1515</v>
      </c>
      <c r="D383">
        <v>0.47</v>
      </c>
      <c r="E383">
        <v>0.22389999999999999</v>
      </c>
      <c r="F383">
        <v>8</v>
      </c>
      <c r="G383">
        <v>39</v>
      </c>
      <c r="H383">
        <v>47</v>
      </c>
    </row>
    <row r="384" spans="1:8">
      <c r="A384">
        <v>382</v>
      </c>
      <c r="B384">
        <v>383</v>
      </c>
      <c r="C384">
        <v>0.1515</v>
      </c>
      <c r="D384">
        <v>0.5</v>
      </c>
      <c r="E384">
        <v>0.25369999999999998</v>
      </c>
      <c r="F384">
        <v>7</v>
      </c>
      <c r="G384">
        <v>50</v>
      </c>
      <c r="H384">
        <v>57</v>
      </c>
    </row>
    <row r="385" spans="1:8">
      <c r="A385">
        <v>383</v>
      </c>
      <c r="B385">
        <v>384</v>
      </c>
      <c r="C385">
        <v>0.1515</v>
      </c>
      <c r="D385">
        <v>0.55000000000000004</v>
      </c>
      <c r="E385">
        <v>0.19400000000000001</v>
      </c>
      <c r="F385">
        <v>9</v>
      </c>
      <c r="G385">
        <v>55</v>
      </c>
      <c r="H385">
        <v>64</v>
      </c>
    </row>
    <row r="386" spans="1:8">
      <c r="A386">
        <v>384</v>
      </c>
      <c r="B386">
        <v>385</v>
      </c>
      <c r="C386">
        <v>0.19700000000000001</v>
      </c>
      <c r="D386">
        <v>0.47</v>
      </c>
      <c r="E386">
        <v>0.1343</v>
      </c>
      <c r="F386">
        <v>10</v>
      </c>
      <c r="G386">
        <v>70</v>
      </c>
      <c r="H386">
        <v>80</v>
      </c>
    </row>
    <row r="387" spans="1:8">
      <c r="A387">
        <v>385</v>
      </c>
      <c r="B387">
        <v>386</v>
      </c>
      <c r="C387">
        <v>0.19700000000000001</v>
      </c>
      <c r="D387">
        <v>0.47</v>
      </c>
      <c r="E387">
        <v>0.1343</v>
      </c>
      <c r="F387">
        <v>13</v>
      </c>
      <c r="G387">
        <v>80</v>
      </c>
      <c r="H387">
        <v>93</v>
      </c>
    </row>
    <row r="388" spans="1:8">
      <c r="A388">
        <v>386</v>
      </c>
      <c r="B388">
        <v>387</v>
      </c>
      <c r="C388">
        <v>0.21210000000000001</v>
      </c>
      <c r="D388">
        <v>0.43</v>
      </c>
      <c r="E388">
        <v>0.1045</v>
      </c>
      <c r="F388">
        <v>12</v>
      </c>
      <c r="G388">
        <v>74</v>
      </c>
      <c r="H388">
        <v>86</v>
      </c>
    </row>
    <row r="389" spans="1:8">
      <c r="A389">
        <v>387</v>
      </c>
      <c r="B389">
        <v>388</v>
      </c>
      <c r="C389">
        <v>0.21210000000000001</v>
      </c>
      <c r="D389">
        <v>0.47</v>
      </c>
      <c r="E389">
        <v>0.16420000000000001</v>
      </c>
      <c r="F389">
        <v>21</v>
      </c>
      <c r="G389">
        <v>72</v>
      </c>
      <c r="H389">
        <v>93</v>
      </c>
    </row>
    <row r="390" spans="1:8">
      <c r="A390">
        <v>388</v>
      </c>
      <c r="B390">
        <v>389</v>
      </c>
      <c r="C390">
        <v>0.21210000000000001</v>
      </c>
      <c r="D390">
        <v>0.47</v>
      </c>
      <c r="E390">
        <v>0.16420000000000001</v>
      </c>
      <c r="F390">
        <v>6</v>
      </c>
      <c r="G390">
        <v>76</v>
      </c>
      <c r="H390">
        <v>82</v>
      </c>
    </row>
    <row r="391" spans="1:8">
      <c r="A391">
        <v>389</v>
      </c>
      <c r="B391">
        <v>390</v>
      </c>
      <c r="C391">
        <v>0.19700000000000001</v>
      </c>
      <c r="D391">
        <v>0.51</v>
      </c>
      <c r="E391">
        <v>0.19400000000000001</v>
      </c>
      <c r="F391">
        <v>4</v>
      </c>
      <c r="G391">
        <v>67</v>
      </c>
      <c r="H391">
        <v>71</v>
      </c>
    </row>
    <row r="392" spans="1:8">
      <c r="A392">
        <v>390</v>
      </c>
      <c r="B392">
        <v>391</v>
      </c>
      <c r="C392">
        <v>0.16669999999999999</v>
      </c>
      <c r="D392">
        <v>0.55000000000000004</v>
      </c>
      <c r="E392">
        <v>0.25369999999999998</v>
      </c>
      <c r="F392">
        <v>7</v>
      </c>
      <c r="G392">
        <v>85</v>
      </c>
      <c r="H392">
        <v>92</v>
      </c>
    </row>
    <row r="393" spans="1:8">
      <c r="A393">
        <v>391</v>
      </c>
      <c r="B393">
        <v>392</v>
      </c>
      <c r="C393">
        <v>0.18179999999999999</v>
      </c>
      <c r="D393">
        <v>0.59</v>
      </c>
      <c r="E393">
        <v>0.19400000000000001</v>
      </c>
      <c r="F393">
        <v>2</v>
      </c>
      <c r="G393">
        <v>58</v>
      </c>
      <c r="H393">
        <v>60</v>
      </c>
    </row>
    <row r="394" spans="1:8">
      <c r="A394">
        <v>392</v>
      </c>
      <c r="B394">
        <v>393</v>
      </c>
      <c r="C394">
        <v>0.1515</v>
      </c>
      <c r="D394">
        <v>0.8</v>
      </c>
      <c r="E394">
        <v>0.19400000000000001</v>
      </c>
      <c r="F394">
        <v>4</v>
      </c>
      <c r="G394">
        <v>29</v>
      </c>
      <c r="H394">
        <v>33</v>
      </c>
    </row>
    <row r="395" spans="1:8">
      <c r="A395">
        <v>393</v>
      </c>
      <c r="B395">
        <v>394</v>
      </c>
      <c r="C395">
        <v>0.1515</v>
      </c>
      <c r="D395">
        <v>0.8</v>
      </c>
      <c r="E395">
        <v>0.19400000000000001</v>
      </c>
      <c r="F395">
        <v>3</v>
      </c>
      <c r="G395">
        <v>24</v>
      </c>
      <c r="H395">
        <v>27</v>
      </c>
    </row>
    <row r="396" spans="1:8">
      <c r="A396">
        <v>394</v>
      </c>
      <c r="B396">
        <v>395</v>
      </c>
      <c r="C396">
        <v>0.1212</v>
      </c>
      <c r="D396">
        <v>0.93</v>
      </c>
      <c r="E396">
        <v>0.25369999999999998</v>
      </c>
      <c r="F396">
        <v>0</v>
      </c>
      <c r="G396">
        <v>13</v>
      </c>
      <c r="H396">
        <v>13</v>
      </c>
    </row>
    <row r="397" spans="1:8">
      <c r="A397">
        <v>395</v>
      </c>
      <c r="B397">
        <v>396</v>
      </c>
      <c r="C397">
        <v>0.13639999999999999</v>
      </c>
      <c r="D397">
        <v>0.86</v>
      </c>
      <c r="E397">
        <v>0.28360000000000002</v>
      </c>
      <c r="F397">
        <v>1</v>
      </c>
      <c r="G397">
        <v>3</v>
      </c>
      <c r="H397">
        <v>4</v>
      </c>
    </row>
    <row r="398" spans="1:8">
      <c r="A398">
        <v>396</v>
      </c>
      <c r="B398">
        <v>397</v>
      </c>
      <c r="C398">
        <v>0.18179999999999999</v>
      </c>
      <c r="D398">
        <v>0.86</v>
      </c>
      <c r="E398">
        <v>0.32840000000000003</v>
      </c>
      <c r="F398">
        <v>0</v>
      </c>
      <c r="G398">
        <v>3</v>
      </c>
      <c r="H398">
        <v>3</v>
      </c>
    </row>
    <row r="399" spans="1:8">
      <c r="A399">
        <v>397</v>
      </c>
      <c r="B399">
        <v>398</v>
      </c>
      <c r="C399">
        <v>0.19700000000000001</v>
      </c>
      <c r="D399">
        <v>0.86</v>
      </c>
      <c r="E399">
        <v>0.22389999999999999</v>
      </c>
      <c r="F399">
        <v>0</v>
      </c>
      <c r="G399">
        <v>22</v>
      </c>
      <c r="H399">
        <v>22</v>
      </c>
    </row>
    <row r="400" spans="1:8">
      <c r="A400">
        <v>398</v>
      </c>
      <c r="B400">
        <v>399</v>
      </c>
      <c r="C400">
        <v>0.2273</v>
      </c>
      <c r="D400">
        <v>0.8</v>
      </c>
      <c r="E400">
        <v>0.16420000000000001</v>
      </c>
      <c r="F400">
        <v>2</v>
      </c>
      <c r="G400">
        <v>26</v>
      </c>
      <c r="H400">
        <v>28</v>
      </c>
    </row>
    <row r="401" spans="1:8">
      <c r="A401">
        <v>399</v>
      </c>
      <c r="B401">
        <v>400</v>
      </c>
      <c r="C401">
        <v>0.2273</v>
      </c>
      <c r="D401">
        <v>0.87</v>
      </c>
      <c r="E401">
        <v>0.16420000000000001</v>
      </c>
      <c r="F401">
        <v>3</v>
      </c>
      <c r="G401">
        <v>32</v>
      </c>
      <c r="H401">
        <v>35</v>
      </c>
    </row>
    <row r="402" spans="1:8">
      <c r="A402">
        <v>400</v>
      </c>
      <c r="B402">
        <v>401</v>
      </c>
      <c r="C402">
        <v>0.2273</v>
      </c>
      <c r="D402">
        <v>0.87</v>
      </c>
      <c r="E402">
        <v>0.19400000000000001</v>
      </c>
      <c r="F402">
        <v>0</v>
      </c>
      <c r="G402">
        <v>61</v>
      </c>
      <c r="H402">
        <v>61</v>
      </c>
    </row>
    <row r="403" spans="1:8">
      <c r="A403">
        <v>401</v>
      </c>
      <c r="B403">
        <v>402</v>
      </c>
      <c r="C403">
        <v>0.2273</v>
      </c>
      <c r="D403">
        <v>0.82</v>
      </c>
      <c r="E403">
        <v>0.19400000000000001</v>
      </c>
      <c r="F403">
        <v>1</v>
      </c>
      <c r="G403">
        <v>124</v>
      </c>
      <c r="H403">
        <v>125</v>
      </c>
    </row>
    <row r="404" spans="1:8">
      <c r="A404">
        <v>402</v>
      </c>
      <c r="B404">
        <v>403</v>
      </c>
      <c r="C404">
        <v>0.2273</v>
      </c>
      <c r="D404">
        <v>0.8</v>
      </c>
      <c r="E404">
        <v>0.16420000000000001</v>
      </c>
      <c r="F404">
        <v>1</v>
      </c>
      <c r="G404">
        <v>132</v>
      </c>
      <c r="H404">
        <v>133</v>
      </c>
    </row>
    <row r="405" spans="1:8">
      <c r="A405">
        <v>403</v>
      </c>
      <c r="B405">
        <v>404</v>
      </c>
      <c r="C405">
        <v>0.2273</v>
      </c>
      <c r="D405">
        <v>0.8</v>
      </c>
      <c r="E405">
        <v>0.1343</v>
      </c>
      <c r="F405">
        <v>1</v>
      </c>
      <c r="G405">
        <v>98</v>
      </c>
      <c r="H405">
        <v>99</v>
      </c>
    </row>
    <row r="406" spans="1:8">
      <c r="A406">
        <v>404</v>
      </c>
      <c r="B406">
        <v>405</v>
      </c>
      <c r="C406">
        <v>0.2727</v>
      </c>
      <c r="D406">
        <v>0.87</v>
      </c>
      <c r="E406">
        <v>0</v>
      </c>
      <c r="F406">
        <v>0</v>
      </c>
      <c r="G406">
        <v>83</v>
      </c>
      <c r="H406">
        <v>83</v>
      </c>
    </row>
    <row r="407" spans="1:8">
      <c r="A407">
        <v>405</v>
      </c>
      <c r="B407">
        <v>406</v>
      </c>
      <c r="C407">
        <v>0.2424</v>
      </c>
      <c r="D407">
        <v>0.93</v>
      </c>
      <c r="E407">
        <v>0.1045</v>
      </c>
      <c r="F407">
        <v>0</v>
      </c>
      <c r="G407">
        <v>41</v>
      </c>
      <c r="H407">
        <v>41</v>
      </c>
    </row>
    <row r="408" spans="1:8">
      <c r="A408">
        <v>406</v>
      </c>
      <c r="B408">
        <v>407</v>
      </c>
      <c r="C408">
        <v>0.2576</v>
      </c>
      <c r="D408">
        <v>0.93</v>
      </c>
      <c r="E408">
        <v>8.9599999999999999E-2</v>
      </c>
      <c r="F408">
        <v>0</v>
      </c>
      <c r="G408">
        <v>33</v>
      </c>
      <c r="H408">
        <v>33</v>
      </c>
    </row>
    <row r="409" spans="1:8">
      <c r="A409">
        <v>407</v>
      </c>
      <c r="B409">
        <v>408</v>
      </c>
      <c r="C409">
        <v>0.2727</v>
      </c>
      <c r="D409">
        <v>0.93</v>
      </c>
      <c r="E409">
        <v>0</v>
      </c>
      <c r="F409">
        <v>1</v>
      </c>
      <c r="G409">
        <v>19</v>
      </c>
      <c r="H409">
        <v>20</v>
      </c>
    </row>
    <row r="410" spans="1:8">
      <c r="A410">
        <v>408</v>
      </c>
      <c r="B410">
        <v>409</v>
      </c>
      <c r="C410">
        <v>0.2727</v>
      </c>
      <c r="D410">
        <v>0.93</v>
      </c>
      <c r="E410">
        <v>0</v>
      </c>
      <c r="F410">
        <v>0</v>
      </c>
      <c r="G410">
        <v>3</v>
      </c>
      <c r="H410">
        <v>3</v>
      </c>
    </row>
    <row r="411" spans="1:8">
      <c r="A411">
        <v>409</v>
      </c>
      <c r="B411">
        <v>410</v>
      </c>
      <c r="C411">
        <v>0.2273</v>
      </c>
      <c r="D411">
        <v>0.93</v>
      </c>
      <c r="E411">
        <v>0.1343</v>
      </c>
      <c r="F411">
        <v>1</v>
      </c>
      <c r="G411">
        <v>6</v>
      </c>
      <c r="H411">
        <v>7</v>
      </c>
    </row>
    <row r="412" spans="1:8">
      <c r="A412">
        <v>410</v>
      </c>
      <c r="B412">
        <v>411</v>
      </c>
      <c r="C412">
        <v>0.2273</v>
      </c>
      <c r="D412">
        <v>0.93</v>
      </c>
      <c r="E412">
        <v>0.1343</v>
      </c>
      <c r="F412">
        <v>0</v>
      </c>
      <c r="G412">
        <v>3</v>
      </c>
      <c r="H412">
        <v>3</v>
      </c>
    </row>
    <row r="413" spans="1:8">
      <c r="A413">
        <v>411</v>
      </c>
      <c r="B413">
        <v>412</v>
      </c>
      <c r="C413">
        <v>0.2273</v>
      </c>
      <c r="D413">
        <v>0.93</v>
      </c>
      <c r="E413">
        <v>0.1343</v>
      </c>
      <c r="F413">
        <v>1</v>
      </c>
      <c r="G413">
        <v>1</v>
      </c>
      <c r="H413">
        <v>2</v>
      </c>
    </row>
    <row r="414" spans="1:8">
      <c r="A414">
        <v>412</v>
      </c>
      <c r="B414">
        <v>413</v>
      </c>
      <c r="C414">
        <v>0.2576</v>
      </c>
      <c r="D414">
        <v>0.93</v>
      </c>
      <c r="E414">
        <v>8.9599999999999999E-2</v>
      </c>
      <c r="F414">
        <v>0</v>
      </c>
      <c r="G414">
        <v>7</v>
      </c>
      <c r="H414">
        <v>7</v>
      </c>
    </row>
    <row r="415" spans="1:8">
      <c r="A415">
        <v>413</v>
      </c>
      <c r="B415">
        <v>414</v>
      </c>
      <c r="C415">
        <v>0.2576</v>
      </c>
      <c r="D415">
        <v>0.93</v>
      </c>
      <c r="E415">
        <v>8.9599999999999999E-2</v>
      </c>
      <c r="F415">
        <v>0</v>
      </c>
      <c r="G415">
        <v>32</v>
      </c>
      <c r="H415">
        <v>32</v>
      </c>
    </row>
    <row r="416" spans="1:8">
      <c r="A416">
        <v>414</v>
      </c>
      <c r="B416">
        <v>415</v>
      </c>
      <c r="C416">
        <v>0.2576</v>
      </c>
      <c r="D416">
        <v>0.92</v>
      </c>
      <c r="E416">
        <v>0.1045</v>
      </c>
      <c r="F416">
        <v>1</v>
      </c>
      <c r="G416">
        <v>89</v>
      </c>
      <c r="H416">
        <v>90</v>
      </c>
    </row>
    <row r="417" spans="1:8">
      <c r="A417">
        <v>415</v>
      </c>
      <c r="B417">
        <v>416</v>
      </c>
      <c r="C417">
        <v>0.2576</v>
      </c>
      <c r="D417">
        <v>0.93</v>
      </c>
      <c r="E417">
        <v>0.1045</v>
      </c>
      <c r="F417">
        <v>1</v>
      </c>
      <c r="G417">
        <v>196</v>
      </c>
      <c r="H417">
        <v>197</v>
      </c>
    </row>
    <row r="418" spans="1:8">
      <c r="A418">
        <v>416</v>
      </c>
      <c r="B418">
        <v>417</v>
      </c>
      <c r="C418">
        <v>0.2576</v>
      </c>
      <c r="D418">
        <v>0.93</v>
      </c>
      <c r="E418">
        <v>0.1045</v>
      </c>
      <c r="F418">
        <v>2</v>
      </c>
      <c r="G418">
        <v>107</v>
      </c>
      <c r="H418">
        <v>109</v>
      </c>
    </row>
    <row r="419" spans="1:8">
      <c r="A419">
        <v>417</v>
      </c>
      <c r="B419">
        <v>418</v>
      </c>
      <c r="C419">
        <v>0.2727</v>
      </c>
      <c r="D419">
        <v>0.93</v>
      </c>
      <c r="E419">
        <v>0.1343</v>
      </c>
      <c r="F419">
        <v>1</v>
      </c>
      <c r="G419">
        <v>46</v>
      </c>
      <c r="H419">
        <v>47</v>
      </c>
    </row>
    <row r="420" spans="1:8">
      <c r="A420">
        <v>418</v>
      </c>
      <c r="B420">
        <v>419</v>
      </c>
      <c r="C420">
        <v>0.30299999999999999</v>
      </c>
      <c r="D420">
        <v>0.87</v>
      </c>
      <c r="E420">
        <v>8.9599999999999999E-2</v>
      </c>
      <c r="F420">
        <v>5</v>
      </c>
      <c r="G420">
        <v>47</v>
      </c>
      <c r="H420">
        <v>52</v>
      </c>
    </row>
    <row r="421" spans="1:8">
      <c r="A421">
        <v>419</v>
      </c>
      <c r="B421">
        <v>420</v>
      </c>
      <c r="C421">
        <v>0.31819999999999998</v>
      </c>
      <c r="D421">
        <v>0.81</v>
      </c>
      <c r="E421">
        <v>8.9599999999999999E-2</v>
      </c>
      <c r="F421">
        <v>5</v>
      </c>
      <c r="G421">
        <v>65</v>
      </c>
      <c r="H421">
        <v>70</v>
      </c>
    </row>
    <row r="422" spans="1:8">
      <c r="A422">
        <v>420</v>
      </c>
      <c r="B422">
        <v>421</v>
      </c>
      <c r="C422">
        <v>0.40910000000000002</v>
      </c>
      <c r="D422">
        <v>0.62</v>
      </c>
      <c r="E422">
        <v>0.28360000000000002</v>
      </c>
      <c r="F422">
        <v>11</v>
      </c>
      <c r="G422">
        <v>67</v>
      </c>
      <c r="H422">
        <v>78</v>
      </c>
    </row>
    <row r="423" spans="1:8">
      <c r="A423">
        <v>421</v>
      </c>
      <c r="B423">
        <v>422</v>
      </c>
      <c r="C423">
        <v>0.40910000000000002</v>
      </c>
      <c r="D423">
        <v>0.57999999999999996</v>
      </c>
      <c r="E423">
        <v>0.25369999999999998</v>
      </c>
      <c r="F423">
        <v>7</v>
      </c>
      <c r="G423">
        <v>68</v>
      </c>
      <c r="H423">
        <v>75</v>
      </c>
    </row>
    <row r="424" spans="1:8">
      <c r="A424">
        <v>422</v>
      </c>
      <c r="B424">
        <v>423</v>
      </c>
      <c r="C424">
        <v>0.40910000000000002</v>
      </c>
      <c r="D424">
        <v>0.54</v>
      </c>
      <c r="E424">
        <v>0.28360000000000002</v>
      </c>
      <c r="F424">
        <v>4</v>
      </c>
      <c r="G424">
        <v>78</v>
      </c>
      <c r="H424">
        <v>82</v>
      </c>
    </row>
    <row r="425" spans="1:8">
      <c r="A425">
        <v>423</v>
      </c>
      <c r="B425">
        <v>424</v>
      </c>
      <c r="C425">
        <v>0.39389999999999997</v>
      </c>
      <c r="D425">
        <v>0.57999999999999996</v>
      </c>
      <c r="E425">
        <v>0.3881</v>
      </c>
      <c r="F425">
        <v>10</v>
      </c>
      <c r="G425">
        <v>94</v>
      </c>
      <c r="H425">
        <v>104</v>
      </c>
    </row>
    <row r="426" spans="1:8">
      <c r="A426">
        <v>424</v>
      </c>
      <c r="B426">
        <v>425</v>
      </c>
      <c r="C426">
        <v>0.33329999999999999</v>
      </c>
      <c r="D426">
        <v>0.56999999999999995</v>
      </c>
      <c r="E426">
        <v>0.32840000000000003</v>
      </c>
      <c r="F426">
        <v>7</v>
      </c>
      <c r="G426">
        <v>190</v>
      </c>
      <c r="H426">
        <v>197</v>
      </c>
    </row>
    <row r="427" spans="1:8">
      <c r="A427">
        <v>425</v>
      </c>
      <c r="B427">
        <v>426</v>
      </c>
      <c r="C427">
        <v>0.31819999999999998</v>
      </c>
      <c r="D427">
        <v>0.61</v>
      </c>
      <c r="E427">
        <v>0.28360000000000002</v>
      </c>
      <c r="F427">
        <v>5</v>
      </c>
      <c r="G427">
        <v>156</v>
      </c>
      <c r="H427">
        <v>161</v>
      </c>
    </row>
    <row r="428" spans="1:8">
      <c r="A428">
        <v>426</v>
      </c>
      <c r="B428">
        <v>427</v>
      </c>
      <c r="C428">
        <v>0.28789999999999999</v>
      </c>
      <c r="D428">
        <v>0.56999999999999995</v>
      </c>
      <c r="E428">
        <v>0.41789999999999999</v>
      </c>
      <c r="F428">
        <v>4</v>
      </c>
      <c r="G428">
        <v>108</v>
      </c>
      <c r="H428">
        <v>112</v>
      </c>
    </row>
    <row r="429" spans="1:8">
      <c r="A429">
        <v>427</v>
      </c>
      <c r="B429">
        <v>428</v>
      </c>
      <c r="C429">
        <v>0.30299999999999999</v>
      </c>
      <c r="D429">
        <v>0.49</v>
      </c>
      <c r="E429">
        <v>0.29849999999999999</v>
      </c>
      <c r="F429">
        <v>2</v>
      </c>
      <c r="G429">
        <v>74</v>
      </c>
      <c r="H429">
        <v>76</v>
      </c>
    </row>
    <row r="430" spans="1:8">
      <c r="A430">
        <v>428</v>
      </c>
      <c r="B430">
        <v>429</v>
      </c>
      <c r="C430">
        <v>0.28789999999999999</v>
      </c>
      <c r="D430">
        <v>0.49</v>
      </c>
      <c r="E430">
        <v>0.41789999999999999</v>
      </c>
      <c r="F430">
        <v>4</v>
      </c>
      <c r="G430">
        <v>55</v>
      </c>
      <c r="H430">
        <v>59</v>
      </c>
    </row>
    <row r="431" spans="1:8">
      <c r="A431">
        <v>429</v>
      </c>
      <c r="B431">
        <v>430</v>
      </c>
      <c r="C431">
        <v>0.30299999999999999</v>
      </c>
      <c r="D431">
        <v>0.52</v>
      </c>
      <c r="E431">
        <v>0.16420000000000001</v>
      </c>
      <c r="F431">
        <v>6</v>
      </c>
      <c r="G431">
        <v>53</v>
      </c>
      <c r="H431">
        <v>59</v>
      </c>
    </row>
    <row r="432" spans="1:8">
      <c r="A432">
        <v>430</v>
      </c>
      <c r="B432">
        <v>431</v>
      </c>
      <c r="C432">
        <v>0.2727</v>
      </c>
      <c r="D432">
        <v>0.52</v>
      </c>
      <c r="E432">
        <v>0.4627</v>
      </c>
      <c r="F432">
        <v>1</v>
      </c>
      <c r="G432">
        <v>27</v>
      </c>
      <c r="H432">
        <v>28</v>
      </c>
    </row>
    <row r="433" spans="1:8">
      <c r="A433">
        <v>431</v>
      </c>
      <c r="B433">
        <v>432</v>
      </c>
      <c r="C433">
        <v>0.2273</v>
      </c>
      <c r="D433">
        <v>0.56000000000000005</v>
      </c>
      <c r="E433">
        <v>0.3881</v>
      </c>
      <c r="F433">
        <v>5</v>
      </c>
      <c r="G433">
        <v>8</v>
      </c>
      <c r="H433">
        <v>13</v>
      </c>
    </row>
    <row r="434" spans="1:8">
      <c r="A434">
        <v>432</v>
      </c>
      <c r="B434">
        <v>433</v>
      </c>
      <c r="C434">
        <v>0.2727</v>
      </c>
      <c r="D434">
        <v>0.56000000000000005</v>
      </c>
      <c r="E434">
        <v>0</v>
      </c>
      <c r="F434">
        <v>2</v>
      </c>
      <c r="G434">
        <v>3</v>
      </c>
      <c r="H434">
        <v>5</v>
      </c>
    </row>
    <row r="435" spans="1:8">
      <c r="A435">
        <v>433</v>
      </c>
      <c r="B435">
        <v>434</v>
      </c>
      <c r="C435">
        <v>0.2727</v>
      </c>
      <c r="D435">
        <v>0.56000000000000005</v>
      </c>
      <c r="E435">
        <v>0</v>
      </c>
      <c r="F435">
        <v>0</v>
      </c>
      <c r="G435">
        <v>2</v>
      </c>
      <c r="H435">
        <v>2</v>
      </c>
    </row>
    <row r="436" spans="1:8">
      <c r="A436">
        <v>434</v>
      </c>
      <c r="B436">
        <v>435</v>
      </c>
      <c r="C436">
        <v>0.2576</v>
      </c>
      <c r="D436">
        <v>0.56000000000000005</v>
      </c>
      <c r="E436">
        <v>0.16420000000000001</v>
      </c>
      <c r="F436">
        <v>0</v>
      </c>
      <c r="G436">
        <v>1</v>
      </c>
      <c r="H436">
        <v>1</v>
      </c>
    </row>
    <row r="437" spans="1:8">
      <c r="A437">
        <v>435</v>
      </c>
      <c r="B437">
        <v>436</v>
      </c>
      <c r="C437">
        <v>0.2576</v>
      </c>
      <c r="D437">
        <v>0.56000000000000005</v>
      </c>
      <c r="E437">
        <v>0.16420000000000001</v>
      </c>
      <c r="F437">
        <v>0</v>
      </c>
      <c r="G437">
        <v>1</v>
      </c>
      <c r="H437">
        <v>1</v>
      </c>
    </row>
    <row r="438" spans="1:8">
      <c r="A438">
        <v>436</v>
      </c>
      <c r="B438">
        <v>437</v>
      </c>
      <c r="C438">
        <v>0.2273</v>
      </c>
      <c r="D438">
        <v>0.6</v>
      </c>
      <c r="E438">
        <v>0.22389999999999999</v>
      </c>
      <c r="F438">
        <v>0</v>
      </c>
      <c r="G438">
        <v>6</v>
      </c>
      <c r="H438">
        <v>6</v>
      </c>
    </row>
    <row r="439" spans="1:8">
      <c r="A439">
        <v>437</v>
      </c>
      <c r="B439">
        <v>438</v>
      </c>
      <c r="C439">
        <v>0.21210000000000001</v>
      </c>
      <c r="D439">
        <v>0.6</v>
      </c>
      <c r="E439">
        <v>0.22389999999999999</v>
      </c>
      <c r="F439">
        <v>0</v>
      </c>
      <c r="G439">
        <v>35</v>
      </c>
      <c r="H439">
        <v>35</v>
      </c>
    </row>
    <row r="440" spans="1:8">
      <c r="A440">
        <v>438</v>
      </c>
      <c r="B440">
        <v>439</v>
      </c>
      <c r="C440">
        <v>0.21210000000000001</v>
      </c>
      <c r="D440">
        <v>0.55000000000000004</v>
      </c>
      <c r="E440">
        <v>0.22389999999999999</v>
      </c>
      <c r="F440">
        <v>1</v>
      </c>
      <c r="G440">
        <v>100</v>
      </c>
      <c r="H440">
        <v>101</v>
      </c>
    </row>
    <row r="441" spans="1:8">
      <c r="A441">
        <v>439</v>
      </c>
      <c r="B441">
        <v>440</v>
      </c>
      <c r="C441">
        <v>0.21210000000000001</v>
      </c>
      <c r="D441">
        <v>0.55000000000000004</v>
      </c>
      <c r="E441">
        <v>0.28360000000000002</v>
      </c>
      <c r="F441">
        <v>2</v>
      </c>
      <c r="G441">
        <v>247</v>
      </c>
      <c r="H441">
        <v>249</v>
      </c>
    </row>
    <row r="442" spans="1:8">
      <c r="A442">
        <v>440</v>
      </c>
      <c r="B442">
        <v>441</v>
      </c>
      <c r="C442">
        <v>0.2273</v>
      </c>
      <c r="D442">
        <v>0.52</v>
      </c>
      <c r="E442">
        <v>0.22389999999999999</v>
      </c>
      <c r="F442">
        <v>3</v>
      </c>
      <c r="G442">
        <v>140</v>
      </c>
      <c r="H442">
        <v>143</v>
      </c>
    </row>
    <row r="443" spans="1:8">
      <c r="A443">
        <v>441</v>
      </c>
      <c r="B443">
        <v>442</v>
      </c>
      <c r="C443">
        <v>0.2273</v>
      </c>
      <c r="D443">
        <v>0.48</v>
      </c>
      <c r="E443">
        <v>0.29849999999999999</v>
      </c>
      <c r="F443">
        <v>1</v>
      </c>
      <c r="G443">
        <v>56</v>
      </c>
      <c r="H443">
        <v>57</v>
      </c>
    </row>
    <row r="444" spans="1:8">
      <c r="A444">
        <v>442</v>
      </c>
      <c r="B444">
        <v>443</v>
      </c>
      <c r="C444">
        <v>0.2727</v>
      </c>
      <c r="D444">
        <v>0.45</v>
      </c>
      <c r="E444">
        <v>0.16420000000000001</v>
      </c>
      <c r="F444">
        <v>5</v>
      </c>
      <c r="G444">
        <v>63</v>
      </c>
      <c r="H444">
        <v>68</v>
      </c>
    </row>
    <row r="445" spans="1:8">
      <c r="A445">
        <v>443</v>
      </c>
      <c r="B445">
        <v>444</v>
      </c>
      <c r="C445">
        <v>0.33329999999999999</v>
      </c>
      <c r="D445">
        <v>0.42</v>
      </c>
      <c r="E445">
        <v>0</v>
      </c>
      <c r="F445">
        <v>7</v>
      </c>
      <c r="G445">
        <v>77</v>
      </c>
      <c r="H445">
        <v>84</v>
      </c>
    </row>
    <row r="446" spans="1:8">
      <c r="A446">
        <v>444</v>
      </c>
      <c r="B446">
        <v>445</v>
      </c>
      <c r="C446">
        <v>0.28789999999999999</v>
      </c>
      <c r="D446">
        <v>0.45</v>
      </c>
      <c r="E446">
        <v>0.1045</v>
      </c>
      <c r="F446">
        <v>12</v>
      </c>
      <c r="G446">
        <v>86</v>
      </c>
      <c r="H446">
        <v>98</v>
      </c>
    </row>
    <row r="447" spans="1:8">
      <c r="A447">
        <v>445</v>
      </c>
      <c r="B447">
        <v>446</v>
      </c>
      <c r="C447">
        <v>0.30299999999999999</v>
      </c>
      <c r="D447">
        <v>0.45</v>
      </c>
      <c r="E447">
        <v>0.1343</v>
      </c>
      <c r="F447">
        <v>6</v>
      </c>
      <c r="G447">
        <v>75</v>
      </c>
      <c r="H447">
        <v>81</v>
      </c>
    </row>
    <row r="448" spans="1:8">
      <c r="A448">
        <v>446</v>
      </c>
      <c r="B448">
        <v>447</v>
      </c>
      <c r="C448">
        <v>0.31819999999999998</v>
      </c>
      <c r="D448">
        <v>0.45</v>
      </c>
      <c r="E448">
        <v>0.19400000000000001</v>
      </c>
      <c r="F448">
        <v>8</v>
      </c>
      <c r="G448">
        <v>62</v>
      </c>
      <c r="H448">
        <v>70</v>
      </c>
    </row>
    <row r="449" spans="1:8">
      <c r="A449">
        <v>447</v>
      </c>
      <c r="B449">
        <v>448</v>
      </c>
      <c r="C449">
        <v>0.30299999999999999</v>
      </c>
      <c r="D449">
        <v>0.49</v>
      </c>
      <c r="E449">
        <v>0.1343</v>
      </c>
      <c r="F449">
        <v>8</v>
      </c>
      <c r="G449">
        <v>83</v>
      </c>
      <c r="H449">
        <v>91</v>
      </c>
    </row>
    <row r="450" spans="1:8">
      <c r="A450">
        <v>448</v>
      </c>
      <c r="B450">
        <v>449</v>
      </c>
      <c r="C450">
        <v>0.31819999999999998</v>
      </c>
      <c r="D450">
        <v>0.49</v>
      </c>
      <c r="E450">
        <v>0.1045</v>
      </c>
      <c r="F450">
        <v>8</v>
      </c>
      <c r="G450">
        <v>207</v>
      </c>
      <c r="H450">
        <v>215</v>
      </c>
    </row>
    <row r="451" spans="1:8">
      <c r="A451">
        <v>449</v>
      </c>
      <c r="B451">
        <v>450</v>
      </c>
      <c r="C451">
        <v>0.2576</v>
      </c>
      <c r="D451">
        <v>0.56000000000000005</v>
      </c>
      <c r="E451">
        <v>0.19400000000000001</v>
      </c>
      <c r="F451">
        <v>1</v>
      </c>
      <c r="G451">
        <v>184</v>
      </c>
      <c r="H451">
        <v>185</v>
      </c>
    </row>
    <row r="452" spans="1:8">
      <c r="A452">
        <v>450</v>
      </c>
      <c r="B452">
        <v>451</v>
      </c>
      <c r="C452">
        <v>0.2273</v>
      </c>
      <c r="D452">
        <v>0.56000000000000005</v>
      </c>
      <c r="E452">
        <v>0.32840000000000003</v>
      </c>
      <c r="F452">
        <v>6</v>
      </c>
      <c r="G452">
        <v>146</v>
      </c>
      <c r="H452">
        <v>152</v>
      </c>
    </row>
    <row r="453" spans="1:8">
      <c r="A453">
        <v>451</v>
      </c>
      <c r="B453">
        <v>452</v>
      </c>
      <c r="C453">
        <v>0.2424</v>
      </c>
      <c r="D453">
        <v>0.6</v>
      </c>
      <c r="E453">
        <v>0.28360000000000002</v>
      </c>
      <c r="F453">
        <v>2</v>
      </c>
      <c r="G453">
        <v>124</v>
      </c>
      <c r="H453">
        <v>126</v>
      </c>
    </row>
    <row r="454" spans="1:8">
      <c r="A454">
        <v>452</v>
      </c>
      <c r="B454">
        <v>453</v>
      </c>
      <c r="C454">
        <v>0.2273</v>
      </c>
      <c r="D454">
        <v>0.6</v>
      </c>
      <c r="E454">
        <v>0.25369999999999998</v>
      </c>
      <c r="F454">
        <v>3</v>
      </c>
      <c r="G454">
        <v>54</v>
      </c>
      <c r="H454">
        <v>57</v>
      </c>
    </row>
    <row r="455" spans="1:8">
      <c r="A455">
        <v>453</v>
      </c>
      <c r="B455">
        <v>454</v>
      </c>
      <c r="C455">
        <v>0.21210000000000001</v>
      </c>
      <c r="D455">
        <v>0.65</v>
      </c>
      <c r="E455">
        <v>0.28360000000000002</v>
      </c>
      <c r="F455">
        <v>0</v>
      </c>
      <c r="G455">
        <v>56</v>
      </c>
      <c r="H455">
        <v>56</v>
      </c>
    </row>
    <row r="456" spans="1:8">
      <c r="A456">
        <v>454</v>
      </c>
      <c r="B456">
        <v>455</v>
      </c>
      <c r="C456">
        <v>0.21210000000000001</v>
      </c>
      <c r="D456">
        <v>0.65</v>
      </c>
      <c r="E456">
        <v>0.32840000000000003</v>
      </c>
      <c r="F456">
        <v>3</v>
      </c>
      <c r="G456">
        <v>28</v>
      </c>
      <c r="H456">
        <v>31</v>
      </c>
    </row>
    <row r="457" spans="1:8">
      <c r="A457">
        <v>455</v>
      </c>
      <c r="B457">
        <v>456</v>
      </c>
      <c r="C457">
        <v>0.2273</v>
      </c>
      <c r="D457">
        <v>0.7</v>
      </c>
      <c r="E457">
        <v>0.25369999999999998</v>
      </c>
      <c r="F457">
        <v>1</v>
      </c>
      <c r="G457">
        <v>20</v>
      </c>
      <c r="H457">
        <v>21</v>
      </c>
    </row>
    <row r="458" spans="1:8">
      <c r="A458">
        <v>456</v>
      </c>
      <c r="B458">
        <v>457</v>
      </c>
      <c r="C458">
        <v>0.2273</v>
      </c>
      <c r="D458">
        <v>0.7</v>
      </c>
      <c r="E458">
        <v>0.25369999999999998</v>
      </c>
      <c r="F458">
        <v>0</v>
      </c>
      <c r="G458">
        <v>6</v>
      </c>
      <c r="H458">
        <v>6</v>
      </c>
    </row>
    <row r="459" spans="1:8">
      <c r="A459">
        <v>457</v>
      </c>
      <c r="B459">
        <v>458</v>
      </c>
      <c r="C459">
        <v>0.2424</v>
      </c>
      <c r="D459">
        <v>0.75</v>
      </c>
      <c r="E459">
        <v>0.16420000000000001</v>
      </c>
      <c r="F459">
        <v>0</v>
      </c>
      <c r="G459">
        <v>2</v>
      </c>
      <c r="H459">
        <v>2</v>
      </c>
    </row>
    <row r="460" spans="1:8">
      <c r="A460">
        <v>458</v>
      </c>
      <c r="B460">
        <v>459</v>
      </c>
      <c r="C460">
        <v>0.21210000000000001</v>
      </c>
      <c r="D460">
        <v>0.8</v>
      </c>
      <c r="E460">
        <v>0.29849999999999999</v>
      </c>
      <c r="F460">
        <v>0</v>
      </c>
      <c r="G460">
        <v>1</v>
      </c>
      <c r="H460">
        <v>1</v>
      </c>
    </row>
    <row r="461" spans="1:8">
      <c r="A461">
        <v>459</v>
      </c>
      <c r="B461">
        <v>460</v>
      </c>
      <c r="C461">
        <v>0.2576</v>
      </c>
      <c r="D461">
        <v>0.87</v>
      </c>
      <c r="E461">
        <v>8.9599999999999999E-2</v>
      </c>
      <c r="F461">
        <v>0</v>
      </c>
      <c r="G461">
        <v>1</v>
      </c>
      <c r="H461">
        <v>1</v>
      </c>
    </row>
    <row r="462" spans="1:8">
      <c r="A462">
        <v>460</v>
      </c>
      <c r="B462">
        <v>461</v>
      </c>
      <c r="C462">
        <v>0.19700000000000001</v>
      </c>
      <c r="D462">
        <v>0.6</v>
      </c>
      <c r="E462">
        <v>0.41789999999999999</v>
      </c>
      <c r="F462">
        <v>1</v>
      </c>
      <c r="G462">
        <v>4</v>
      </c>
      <c r="H462">
        <v>5</v>
      </c>
    </row>
    <row r="463" spans="1:8">
      <c r="A463">
        <v>461</v>
      </c>
      <c r="B463">
        <v>462</v>
      </c>
      <c r="C463">
        <v>0.21210000000000001</v>
      </c>
      <c r="D463">
        <v>0.55000000000000004</v>
      </c>
      <c r="E463">
        <v>0.25369999999999998</v>
      </c>
      <c r="F463">
        <v>0</v>
      </c>
      <c r="G463">
        <v>27</v>
      </c>
      <c r="H463">
        <v>27</v>
      </c>
    </row>
    <row r="464" spans="1:8">
      <c r="A464">
        <v>462</v>
      </c>
      <c r="B464">
        <v>463</v>
      </c>
      <c r="C464">
        <v>0.18179999999999999</v>
      </c>
      <c r="D464">
        <v>0.51</v>
      </c>
      <c r="E464">
        <v>0.28360000000000002</v>
      </c>
      <c r="F464">
        <v>2</v>
      </c>
      <c r="G464">
        <v>66</v>
      </c>
      <c r="H464">
        <v>68</v>
      </c>
    </row>
    <row r="465" spans="1:8">
      <c r="A465">
        <v>463</v>
      </c>
      <c r="B465">
        <v>464</v>
      </c>
      <c r="C465">
        <v>0.18179999999999999</v>
      </c>
      <c r="D465">
        <v>0.47</v>
      </c>
      <c r="E465">
        <v>0.32840000000000003</v>
      </c>
      <c r="F465">
        <v>7</v>
      </c>
      <c r="G465">
        <v>210</v>
      </c>
      <c r="H465">
        <v>217</v>
      </c>
    </row>
    <row r="466" spans="1:8">
      <c r="A466">
        <v>464</v>
      </c>
      <c r="B466">
        <v>465</v>
      </c>
      <c r="C466">
        <v>0.18179999999999999</v>
      </c>
      <c r="D466">
        <v>0.51</v>
      </c>
      <c r="E466">
        <v>0.35820000000000002</v>
      </c>
      <c r="F466">
        <v>7</v>
      </c>
      <c r="G466">
        <v>159</v>
      </c>
      <c r="H466">
        <v>166</v>
      </c>
    </row>
    <row r="467" spans="1:8">
      <c r="A467">
        <v>465</v>
      </c>
      <c r="B467">
        <v>466</v>
      </c>
      <c r="C467">
        <v>0.16669999999999999</v>
      </c>
      <c r="D467">
        <v>0.47</v>
      </c>
      <c r="E467">
        <v>0.4627</v>
      </c>
      <c r="F467">
        <v>6</v>
      </c>
      <c r="G467">
        <v>57</v>
      </c>
      <c r="H467">
        <v>63</v>
      </c>
    </row>
    <row r="468" spans="1:8">
      <c r="A468">
        <v>466</v>
      </c>
      <c r="B468">
        <v>467</v>
      </c>
      <c r="C468">
        <v>0.18179999999999999</v>
      </c>
      <c r="D468">
        <v>0.41</v>
      </c>
      <c r="E468">
        <v>0.4627</v>
      </c>
      <c r="F468">
        <v>6</v>
      </c>
      <c r="G468">
        <v>53</v>
      </c>
      <c r="H468">
        <v>59</v>
      </c>
    </row>
    <row r="469" spans="1:8">
      <c r="A469">
        <v>467</v>
      </c>
      <c r="B469">
        <v>468</v>
      </c>
      <c r="C469">
        <v>0.18179999999999999</v>
      </c>
      <c r="D469">
        <v>0.27</v>
      </c>
      <c r="E469">
        <v>0.58209999999999995</v>
      </c>
      <c r="F469">
        <v>11</v>
      </c>
      <c r="G469">
        <v>67</v>
      </c>
      <c r="H469">
        <v>78</v>
      </c>
    </row>
    <row r="470" spans="1:8">
      <c r="A470">
        <v>468</v>
      </c>
      <c r="B470">
        <v>469</v>
      </c>
      <c r="C470">
        <v>0.1515</v>
      </c>
      <c r="D470">
        <v>0.21</v>
      </c>
      <c r="E470">
        <v>0.58209999999999995</v>
      </c>
      <c r="F470">
        <v>8</v>
      </c>
      <c r="G470">
        <v>65</v>
      </c>
      <c r="H470">
        <v>73</v>
      </c>
    </row>
    <row r="471" spans="1:8">
      <c r="A471">
        <v>469</v>
      </c>
      <c r="B471">
        <v>470</v>
      </c>
      <c r="C471">
        <v>0.1515</v>
      </c>
      <c r="D471">
        <v>0.25</v>
      </c>
      <c r="E471">
        <v>0.52239999999999998</v>
      </c>
      <c r="F471">
        <v>6</v>
      </c>
      <c r="G471">
        <v>56</v>
      </c>
      <c r="H471">
        <v>62</v>
      </c>
    </row>
    <row r="472" spans="1:8">
      <c r="A472">
        <v>470</v>
      </c>
      <c r="B472">
        <v>471</v>
      </c>
      <c r="C472">
        <v>0.1212</v>
      </c>
      <c r="D472">
        <v>0.26</v>
      </c>
      <c r="E472">
        <v>0.44779999999999998</v>
      </c>
      <c r="F472">
        <v>4</v>
      </c>
      <c r="G472">
        <v>61</v>
      </c>
      <c r="H472">
        <v>65</v>
      </c>
    </row>
    <row r="473" spans="1:8">
      <c r="A473">
        <v>471</v>
      </c>
      <c r="B473">
        <v>472</v>
      </c>
      <c r="C473">
        <v>0.13639999999999999</v>
      </c>
      <c r="D473">
        <v>0.26</v>
      </c>
      <c r="E473">
        <v>0.35820000000000002</v>
      </c>
      <c r="F473">
        <v>0</v>
      </c>
      <c r="G473">
        <v>97</v>
      </c>
      <c r="H473">
        <v>97</v>
      </c>
    </row>
    <row r="474" spans="1:8">
      <c r="A474">
        <v>472</v>
      </c>
      <c r="B474">
        <v>473</v>
      </c>
      <c r="C474">
        <v>0.1212</v>
      </c>
      <c r="D474">
        <v>0.28000000000000003</v>
      </c>
      <c r="E474">
        <v>0.35820000000000002</v>
      </c>
      <c r="F474">
        <v>10</v>
      </c>
      <c r="G474">
        <v>151</v>
      </c>
      <c r="H474">
        <v>161</v>
      </c>
    </row>
    <row r="475" spans="1:8">
      <c r="A475">
        <v>473</v>
      </c>
      <c r="B475">
        <v>474</v>
      </c>
      <c r="C475">
        <v>0.1212</v>
      </c>
      <c r="D475">
        <v>0.3</v>
      </c>
      <c r="E475">
        <v>0.25369999999999998</v>
      </c>
      <c r="F475">
        <v>1</v>
      </c>
      <c r="G475">
        <v>119</v>
      </c>
      <c r="H475">
        <v>120</v>
      </c>
    </row>
    <row r="476" spans="1:8">
      <c r="A476">
        <v>474</v>
      </c>
      <c r="B476">
        <v>475</v>
      </c>
      <c r="C476">
        <v>0.1061</v>
      </c>
      <c r="D476">
        <v>0.3</v>
      </c>
      <c r="E476">
        <v>0.32840000000000003</v>
      </c>
      <c r="F476">
        <v>3</v>
      </c>
      <c r="G476">
        <v>93</v>
      </c>
      <c r="H476">
        <v>96</v>
      </c>
    </row>
    <row r="477" spans="1:8">
      <c r="A477">
        <v>475</v>
      </c>
      <c r="B477">
        <v>476</v>
      </c>
      <c r="C477">
        <v>7.5800000000000006E-2</v>
      </c>
      <c r="D477">
        <v>0.33</v>
      </c>
      <c r="E477">
        <v>0.41789999999999999</v>
      </c>
      <c r="F477">
        <v>1</v>
      </c>
      <c r="G477">
        <v>52</v>
      </c>
      <c r="H477">
        <v>53</v>
      </c>
    </row>
    <row r="478" spans="1:8">
      <c r="A478">
        <v>476</v>
      </c>
      <c r="B478">
        <v>477</v>
      </c>
      <c r="C478">
        <v>7.5800000000000006E-2</v>
      </c>
      <c r="D478">
        <v>0.38</v>
      </c>
      <c r="E478">
        <v>0.28360000000000002</v>
      </c>
      <c r="F478">
        <v>0</v>
      </c>
      <c r="G478">
        <v>41</v>
      </c>
      <c r="H478">
        <v>41</v>
      </c>
    </row>
    <row r="479" spans="1:8">
      <c r="A479">
        <v>477</v>
      </c>
      <c r="B479">
        <v>478</v>
      </c>
      <c r="C479">
        <v>3.0300000000000001E-2</v>
      </c>
      <c r="D479">
        <v>0.41</v>
      </c>
      <c r="E479">
        <v>0.3881</v>
      </c>
      <c r="F479">
        <v>1</v>
      </c>
      <c r="G479">
        <v>33</v>
      </c>
      <c r="H479">
        <v>34</v>
      </c>
    </row>
    <row r="480" spans="1:8">
      <c r="A480">
        <v>478</v>
      </c>
      <c r="B480">
        <v>479</v>
      </c>
      <c r="C480">
        <v>4.5499999999999999E-2</v>
      </c>
      <c r="D480">
        <v>0.38</v>
      </c>
      <c r="E480">
        <v>0.32840000000000003</v>
      </c>
      <c r="F480">
        <v>0</v>
      </c>
      <c r="G480">
        <v>27</v>
      </c>
      <c r="H480">
        <v>27</v>
      </c>
    </row>
    <row r="481" spans="1:8">
      <c r="A481">
        <v>479</v>
      </c>
      <c r="B481">
        <v>480</v>
      </c>
      <c r="C481">
        <v>3.0300000000000001E-2</v>
      </c>
      <c r="D481">
        <v>0.45</v>
      </c>
      <c r="E481">
        <v>0.25369999999999998</v>
      </c>
      <c r="F481">
        <v>0</v>
      </c>
      <c r="G481">
        <v>13</v>
      </c>
      <c r="H481">
        <v>13</v>
      </c>
    </row>
    <row r="482" spans="1:8">
      <c r="A482">
        <v>480</v>
      </c>
      <c r="B482">
        <v>481</v>
      </c>
      <c r="C482">
        <v>0</v>
      </c>
      <c r="D482">
        <v>0.41</v>
      </c>
      <c r="E482">
        <v>0.3881</v>
      </c>
      <c r="F482">
        <v>3</v>
      </c>
      <c r="G482">
        <v>9</v>
      </c>
      <c r="H482">
        <v>12</v>
      </c>
    </row>
    <row r="483" spans="1:8">
      <c r="A483">
        <v>481</v>
      </c>
      <c r="B483">
        <v>482</v>
      </c>
      <c r="C483">
        <v>3.0300000000000001E-2</v>
      </c>
      <c r="D483">
        <v>0.41</v>
      </c>
      <c r="E483">
        <v>0.25369999999999998</v>
      </c>
      <c r="F483">
        <v>0</v>
      </c>
      <c r="G483">
        <v>11</v>
      </c>
      <c r="H483">
        <v>11</v>
      </c>
    </row>
    <row r="484" spans="1:8">
      <c r="A484">
        <v>482</v>
      </c>
      <c r="B484">
        <v>483</v>
      </c>
      <c r="C484">
        <v>3.0300000000000001E-2</v>
      </c>
      <c r="D484">
        <v>0.41</v>
      </c>
      <c r="E484">
        <v>0.28360000000000002</v>
      </c>
      <c r="F484">
        <v>1</v>
      </c>
      <c r="G484">
        <v>6</v>
      </c>
      <c r="H484">
        <v>7</v>
      </c>
    </row>
    <row r="485" spans="1:8">
      <c r="A485">
        <v>483</v>
      </c>
      <c r="B485">
        <v>484</v>
      </c>
      <c r="C485">
        <v>1.52E-2</v>
      </c>
      <c r="D485">
        <v>0.48</v>
      </c>
      <c r="E485">
        <v>0.29849999999999999</v>
      </c>
      <c r="F485">
        <v>0</v>
      </c>
      <c r="G485">
        <v>3</v>
      </c>
      <c r="H485">
        <v>3</v>
      </c>
    </row>
    <row r="486" spans="1:8">
      <c r="A486">
        <v>484</v>
      </c>
      <c r="B486">
        <v>485</v>
      </c>
      <c r="C486">
        <v>3.0300000000000001E-2</v>
      </c>
      <c r="D486">
        <v>0.44</v>
      </c>
      <c r="E486">
        <v>0.22389999999999999</v>
      </c>
      <c r="F486">
        <v>0</v>
      </c>
      <c r="G486">
        <v>2</v>
      </c>
      <c r="H486">
        <v>2</v>
      </c>
    </row>
    <row r="487" spans="1:8">
      <c r="A487">
        <v>485</v>
      </c>
      <c r="B487">
        <v>486</v>
      </c>
      <c r="C487">
        <v>1.52E-2</v>
      </c>
      <c r="D487">
        <v>0.44</v>
      </c>
      <c r="E487">
        <v>0.28360000000000002</v>
      </c>
      <c r="F487">
        <v>0</v>
      </c>
      <c r="G487">
        <v>8</v>
      </c>
      <c r="H487">
        <v>8</v>
      </c>
    </row>
    <row r="488" spans="1:8">
      <c r="A488">
        <v>486</v>
      </c>
      <c r="B488">
        <v>487</v>
      </c>
      <c r="C488">
        <v>0</v>
      </c>
      <c r="D488">
        <v>0.44</v>
      </c>
      <c r="E488">
        <v>0.32840000000000003</v>
      </c>
      <c r="F488">
        <v>1</v>
      </c>
      <c r="G488">
        <v>26</v>
      </c>
      <c r="H488">
        <v>27</v>
      </c>
    </row>
    <row r="489" spans="1:8">
      <c r="A489">
        <v>487</v>
      </c>
      <c r="B489">
        <v>488</v>
      </c>
      <c r="C489">
        <v>3.0300000000000001E-2</v>
      </c>
      <c r="D489">
        <v>0.41</v>
      </c>
      <c r="E489">
        <v>0.25369999999999998</v>
      </c>
      <c r="F489">
        <v>3</v>
      </c>
      <c r="G489">
        <v>37</v>
      </c>
      <c r="H489">
        <v>40</v>
      </c>
    </row>
    <row r="490" spans="1:8">
      <c r="A490">
        <v>488</v>
      </c>
      <c r="B490">
        <v>489</v>
      </c>
      <c r="C490">
        <v>6.0600000000000001E-2</v>
      </c>
      <c r="D490">
        <v>0.41</v>
      </c>
      <c r="E490">
        <v>0.16420000000000001</v>
      </c>
      <c r="F490">
        <v>3</v>
      </c>
      <c r="G490">
        <v>50</v>
      </c>
      <c r="H490">
        <v>53</v>
      </c>
    </row>
    <row r="491" spans="1:8">
      <c r="A491">
        <v>489</v>
      </c>
      <c r="B491">
        <v>490</v>
      </c>
      <c r="C491">
        <v>7.5800000000000006E-2</v>
      </c>
      <c r="D491">
        <v>0.38</v>
      </c>
      <c r="E491">
        <v>0.1343</v>
      </c>
      <c r="F491">
        <v>4</v>
      </c>
      <c r="G491">
        <v>59</v>
      </c>
      <c r="H491">
        <v>63</v>
      </c>
    </row>
    <row r="492" spans="1:8">
      <c r="A492">
        <v>490</v>
      </c>
      <c r="B492">
        <v>491</v>
      </c>
      <c r="C492">
        <v>0.1061</v>
      </c>
      <c r="D492">
        <v>0.38</v>
      </c>
      <c r="E492">
        <v>0.1045</v>
      </c>
      <c r="F492">
        <v>10</v>
      </c>
      <c r="G492">
        <v>60</v>
      </c>
      <c r="H492">
        <v>70</v>
      </c>
    </row>
    <row r="493" spans="1:8">
      <c r="A493">
        <v>491</v>
      </c>
      <c r="B493">
        <v>492</v>
      </c>
      <c r="C493">
        <v>0.16669999999999999</v>
      </c>
      <c r="D493">
        <v>0.35</v>
      </c>
      <c r="E493">
        <v>0</v>
      </c>
      <c r="F493">
        <v>12</v>
      </c>
      <c r="G493">
        <v>72</v>
      </c>
      <c r="H493">
        <v>84</v>
      </c>
    </row>
    <row r="494" spans="1:8">
      <c r="A494">
        <v>492</v>
      </c>
      <c r="B494">
        <v>493</v>
      </c>
      <c r="C494">
        <v>0.13639999999999999</v>
      </c>
      <c r="D494">
        <v>0.33</v>
      </c>
      <c r="E494">
        <v>0.1045</v>
      </c>
      <c r="F494">
        <v>11</v>
      </c>
      <c r="G494">
        <v>64</v>
      </c>
      <c r="H494">
        <v>75</v>
      </c>
    </row>
    <row r="495" spans="1:8">
      <c r="A495">
        <v>493</v>
      </c>
      <c r="B495">
        <v>494</v>
      </c>
      <c r="C495">
        <v>0.1515</v>
      </c>
      <c r="D495">
        <v>0.28000000000000003</v>
      </c>
      <c r="E495">
        <v>0</v>
      </c>
      <c r="F495">
        <v>10</v>
      </c>
      <c r="G495">
        <v>93</v>
      </c>
      <c r="H495">
        <v>103</v>
      </c>
    </row>
    <row r="496" spans="1:8">
      <c r="A496">
        <v>494</v>
      </c>
      <c r="B496">
        <v>495</v>
      </c>
      <c r="C496">
        <v>0.13639999999999999</v>
      </c>
      <c r="D496">
        <v>0.28000000000000003</v>
      </c>
      <c r="E496">
        <v>0.19400000000000001</v>
      </c>
      <c r="F496">
        <v>11</v>
      </c>
      <c r="G496">
        <v>72</v>
      </c>
      <c r="H496">
        <v>83</v>
      </c>
    </row>
    <row r="497" spans="1:8">
      <c r="A497">
        <v>495</v>
      </c>
      <c r="B497">
        <v>496</v>
      </c>
      <c r="C497">
        <v>0.19700000000000001</v>
      </c>
      <c r="D497">
        <v>0.28000000000000003</v>
      </c>
      <c r="E497">
        <v>0</v>
      </c>
      <c r="F497">
        <v>8</v>
      </c>
      <c r="G497">
        <v>59</v>
      </c>
      <c r="H497">
        <v>67</v>
      </c>
    </row>
    <row r="498" spans="1:8">
      <c r="A498">
        <v>496</v>
      </c>
      <c r="B498">
        <v>497</v>
      </c>
      <c r="C498">
        <v>9.0899999999999995E-2</v>
      </c>
      <c r="D498">
        <v>0.35</v>
      </c>
      <c r="E498">
        <v>0.19400000000000001</v>
      </c>
      <c r="F498">
        <v>0</v>
      </c>
      <c r="G498">
        <v>54</v>
      </c>
      <c r="H498">
        <v>54</v>
      </c>
    </row>
    <row r="499" spans="1:8">
      <c r="A499">
        <v>497</v>
      </c>
      <c r="B499">
        <v>498</v>
      </c>
      <c r="C499">
        <v>0.1061</v>
      </c>
      <c r="D499">
        <v>0.35</v>
      </c>
      <c r="E499">
        <v>0.1343</v>
      </c>
      <c r="F499">
        <v>6</v>
      </c>
      <c r="G499">
        <v>53</v>
      </c>
      <c r="H499">
        <v>59</v>
      </c>
    </row>
    <row r="500" spans="1:8">
      <c r="A500">
        <v>498</v>
      </c>
      <c r="B500">
        <v>499</v>
      </c>
      <c r="C500">
        <v>7.5800000000000006E-2</v>
      </c>
      <c r="D500">
        <v>0.45</v>
      </c>
      <c r="E500">
        <v>0.16420000000000001</v>
      </c>
      <c r="F500">
        <v>1</v>
      </c>
      <c r="G500">
        <v>44</v>
      </c>
      <c r="H500">
        <v>45</v>
      </c>
    </row>
    <row r="501" spans="1:8">
      <c r="A501">
        <v>499</v>
      </c>
      <c r="B501">
        <v>500</v>
      </c>
      <c r="C501">
        <v>0.1061</v>
      </c>
      <c r="D501">
        <v>0.41</v>
      </c>
      <c r="E501">
        <v>8.9599999999999999E-2</v>
      </c>
      <c r="F501">
        <v>0</v>
      </c>
      <c r="G501">
        <v>39</v>
      </c>
      <c r="H501">
        <v>39</v>
      </c>
    </row>
    <row r="502" spans="1:8">
      <c r="A502">
        <v>500</v>
      </c>
      <c r="B502">
        <v>501</v>
      </c>
      <c r="C502">
        <v>0.1515</v>
      </c>
      <c r="D502">
        <v>0.49</v>
      </c>
      <c r="E502">
        <v>0</v>
      </c>
      <c r="F502">
        <v>7</v>
      </c>
      <c r="G502">
        <v>23</v>
      </c>
      <c r="H502">
        <v>30</v>
      </c>
    </row>
    <row r="503" spans="1:8">
      <c r="A503">
        <v>501</v>
      </c>
      <c r="B503">
        <v>502</v>
      </c>
      <c r="C503">
        <v>7.5800000000000006E-2</v>
      </c>
      <c r="D503">
        <v>0.56999999999999995</v>
      </c>
      <c r="E503">
        <v>0.1045</v>
      </c>
      <c r="F503">
        <v>2</v>
      </c>
      <c r="G503">
        <v>31</v>
      </c>
      <c r="H503">
        <v>33</v>
      </c>
    </row>
    <row r="504" spans="1:8">
      <c r="A504">
        <v>502</v>
      </c>
      <c r="B504">
        <v>503</v>
      </c>
      <c r="C504">
        <v>7.5800000000000006E-2</v>
      </c>
      <c r="D504">
        <v>0.56999999999999995</v>
      </c>
      <c r="E504">
        <v>0.1045</v>
      </c>
      <c r="F504">
        <v>2</v>
      </c>
      <c r="G504">
        <v>20</v>
      </c>
      <c r="H504">
        <v>22</v>
      </c>
    </row>
    <row r="505" spans="1:8">
      <c r="A505">
        <v>503</v>
      </c>
      <c r="B505">
        <v>504</v>
      </c>
      <c r="C505">
        <v>7.5800000000000006E-2</v>
      </c>
      <c r="D505">
        <v>0.56999999999999995</v>
      </c>
      <c r="E505">
        <v>0.1045</v>
      </c>
      <c r="F505">
        <v>1</v>
      </c>
      <c r="G505">
        <v>12</v>
      </c>
      <c r="H505">
        <v>13</v>
      </c>
    </row>
    <row r="506" spans="1:8">
      <c r="A506">
        <v>504</v>
      </c>
      <c r="B506">
        <v>505</v>
      </c>
      <c r="C506">
        <v>6.0600000000000001E-2</v>
      </c>
      <c r="D506">
        <v>0.62</v>
      </c>
      <c r="E506">
        <v>0.1343</v>
      </c>
      <c r="F506">
        <v>3</v>
      </c>
      <c r="G506">
        <v>15</v>
      </c>
      <c r="H506">
        <v>18</v>
      </c>
    </row>
    <row r="507" spans="1:8">
      <c r="A507">
        <v>505</v>
      </c>
      <c r="B507">
        <v>506</v>
      </c>
      <c r="C507">
        <v>6.0600000000000001E-2</v>
      </c>
      <c r="D507">
        <v>0.62</v>
      </c>
      <c r="E507">
        <v>0.1343</v>
      </c>
      <c r="F507">
        <v>1</v>
      </c>
      <c r="G507">
        <v>4</v>
      </c>
      <c r="H507">
        <v>5</v>
      </c>
    </row>
    <row r="508" spans="1:8">
      <c r="A508">
        <v>506</v>
      </c>
      <c r="B508">
        <v>507</v>
      </c>
      <c r="C508">
        <v>7.5800000000000006E-2</v>
      </c>
      <c r="D508">
        <v>0.56999999999999995</v>
      </c>
      <c r="E508">
        <v>0.1045</v>
      </c>
      <c r="F508">
        <v>0</v>
      </c>
      <c r="G508">
        <v>3</v>
      </c>
      <c r="H508">
        <v>3</v>
      </c>
    </row>
    <row r="509" spans="1:8">
      <c r="A509">
        <v>507</v>
      </c>
      <c r="B509">
        <v>508</v>
      </c>
      <c r="C509">
        <v>7.5800000000000006E-2</v>
      </c>
      <c r="D509">
        <v>0.56999999999999995</v>
      </c>
      <c r="E509">
        <v>0.1045</v>
      </c>
      <c r="F509">
        <v>0</v>
      </c>
      <c r="G509">
        <v>1</v>
      </c>
      <c r="H509">
        <v>1</v>
      </c>
    </row>
    <row r="510" spans="1:8">
      <c r="A510">
        <v>508</v>
      </c>
      <c r="B510">
        <v>509</v>
      </c>
      <c r="C510">
        <v>0.1061</v>
      </c>
      <c r="D510">
        <v>0.57999999999999996</v>
      </c>
      <c r="E510">
        <v>0.16420000000000001</v>
      </c>
      <c r="F510">
        <v>1</v>
      </c>
      <c r="G510">
        <v>1</v>
      </c>
      <c r="H510">
        <v>2</v>
      </c>
    </row>
    <row r="511" spans="1:8">
      <c r="A511">
        <v>509</v>
      </c>
      <c r="B511">
        <v>510</v>
      </c>
      <c r="C511">
        <v>7.5800000000000006E-2</v>
      </c>
      <c r="D511">
        <v>0.62</v>
      </c>
      <c r="E511">
        <v>0.16420000000000001</v>
      </c>
      <c r="F511">
        <v>2</v>
      </c>
      <c r="G511">
        <v>17</v>
      </c>
      <c r="H511">
        <v>19</v>
      </c>
    </row>
    <row r="512" spans="1:8">
      <c r="A512">
        <v>510</v>
      </c>
      <c r="B512">
        <v>511</v>
      </c>
      <c r="C512">
        <v>7.5800000000000006E-2</v>
      </c>
      <c r="D512">
        <v>0.54</v>
      </c>
      <c r="E512">
        <v>0.35820000000000002</v>
      </c>
      <c r="F512">
        <v>3</v>
      </c>
      <c r="G512">
        <v>25</v>
      </c>
      <c r="H512">
        <v>28</v>
      </c>
    </row>
    <row r="513" spans="1:8">
      <c r="A513">
        <v>511</v>
      </c>
      <c r="B513">
        <v>512</v>
      </c>
      <c r="C513">
        <v>0.1061</v>
      </c>
      <c r="D513">
        <v>0.46</v>
      </c>
      <c r="E513">
        <v>0.3881</v>
      </c>
      <c r="F513">
        <v>7</v>
      </c>
      <c r="G513">
        <v>51</v>
      </c>
      <c r="H513">
        <v>58</v>
      </c>
    </row>
    <row r="514" spans="1:8">
      <c r="A514">
        <v>512</v>
      </c>
      <c r="B514">
        <v>513</v>
      </c>
      <c r="C514">
        <v>0.13639999999999999</v>
      </c>
      <c r="D514">
        <v>0.43</v>
      </c>
      <c r="E514">
        <v>0.22389999999999999</v>
      </c>
      <c r="F514">
        <v>22</v>
      </c>
      <c r="G514">
        <v>77</v>
      </c>
      <c r="H514">
        <v>99</v>
      </c>
    </row>
    <row r="515" spans="1:8">
      <c r="A515">
        <v>513</v>
      </c>
      <c r="B515">
        <v>514</v>
      </c>
      <c r="C515">
        <v>0.1212</v>
      </c>
      <c r="D515">
        <v>0.37</v>
      </c>
      <c r="E515">
        <v>0.4627</v>
      </c>
      <c r="F515">
        <v>24</v>
      </c>
      <c r="G515">
        <v>92</v>
      </c>
      <c r="H515">
        <v>116</v>
      </c>
    </row>
    <row r="516" spans="1:8">
      <c r="A516">
        <v>514</v>
      </c>
      <c r="B516">
        <v>515</v>
      </c>
      <c r="C516">
        <v>0.1061</v>
      </c>
      <c r="D516">
        <v>0.33</v>
      </c>
      <c r="E516">
        <v>0.3881</v>
      </c>
      <c r="F516">
        <v>12</v>
      </c>
      <c r="G516">
        <v>75</v>
      </c>
      <c r="H516">
        <v>87</v>
      </c>
    </row>
    <row r="517" spans="1:8">
      <c r="A517">
        <v>515</v>
      </c>
      <c r="B517">
        <v>516</v>
      </c>
      <c r="C517">
        <v>0.13639999999999999</v>
      </c>
      <c r="D517">
        <v>0.28000000000000003</v>
      </c>
      <c r="E517">
        <v>0.35820000000000002</v>
      </c>
      <c r="F517">
        <v>17</v>
      </c>
      <c r="G517">
        <v>93</v>
      </c>
      <c r="H517">
        <v>110</v>
      </c>
    </row>
    <row r="518" spans="1:8">
      <c r="A518">
        <v>516</v>
      </c>
      <c r="B518">
        <v>517</v>
      </c>
      <c r="C518">
        <v>0.13639999999999999</v>
      </c>
      <c r="D518">
        <v>0.28000000000000003</v>
      </c>
      <c r="E518">
        <v>0.35820000000000002</v>
      </c>
      <c r="F518">
        <v>13</v>
      </c>
      <c r="G518">
        <v>64</v>
      </c>
      <c r="H518">
        <v>77</v>
      </c>
    </row>
    <row r="519" spans="1:8">
      <c r="A519">
        <v>517</v>
      </c>
      <c r="B519">
        <v>518</v>
      </c>
      <c r="C519">
        <v>0.13639999999999999</v>
      </c>
      <c r="D519">
        <v>0.26</v>
      </c>
      <c r="E519">
        <v>0.32840000000000003</v>
      </c>
      <c r="F519">
        <v>9</v>
      </c>
      <c r="G519">
        <v>56</v>
      </c>
      <c r="H519">
        <v>65</v>
      </c>
    </row>
    <row r="520" spans="1:8">
      <c r="A520">
        <v>518</v>
      </c>
      <c r="B520">
        <v>519</v>
      </c>
      <c r="C520">
        <v>0.1061</v>
      </c>
      <c r="D520">
        <v>0.26</v>
      </c>
      <c r="E520">
        <v>0.3881</v>
      </c>
      <c r="F520">
        <v>5</v>
      </c>
      <c r="G520">
        <v>50</v>
      </c>
      <c r="H520">
        <v>55</v>
      </c>
    </row>
    <row r="521" spans="1:8">
      <c r="A521">
        <v>519</v>
      </c>
      <c r="B521">
        <v>520</v>
      </c>
      <c r="C521">
        <v>0.1212</v>
      </c>
      <c r="D521">
        <v>0.3</v>
      </c>
      <c r="E521">
        <v>0.25369999999999998</v>
      </c>
      <c r="F521">
        <v>5</v>
      </c>
      <c r="G521">
        <v>44</v>
      </c>
      <c r="H521">
        <v>49</v>
      </c>
    </row>
    <row r="522" spans="1:8">
      <c r="A522">
        <v>520</v>
      </c>
      <c r="B522">
        <v>521</v>
      </c>
      <c r="C522">
        <v>0.1212</v>
      </c>
      <c r="D522">
        <v>0.3</v>
      </c>
      <c r="E522">
        <v>0.28360000000000002</v>
      </c>
      <c r="F522">
        <v>5</v>
      </c>
      <c r="G522">
        <v>45</v>
      </c>
      <c r="H522">
        <v>50</v>
      </c>
    </row>
    <row r="523" spans="1:8">
      <c r="A523">
        <v>521</v>
      </c>
      <c r="B523">
        <v>522</v>
      </c>
      <c r="C523">
        <v>0.1061</v>
      </c>
      <c r="D523">
        <v>0.36</v>
      </c>
      <c r="E523">
        <v>0.25369999999999998</v>
      </c>
      <c r="F523">
        <v>4</v>
      </c>
      <c r="G523">
        <v>31</v>
      </c>
      <c r="H523">
        <v>35</v>
      </c>
    </row>
    <row r="524" spans="1:8">
      <c r="A524">
        <v>522</v>
      </c>
      <c r="B524">
        <v>523</v>
      </c>
      <c r="C524">
        <v>0.1061</v>
      </c>
      <c r="D524">
        <v>0.36</v>
      </c>
      <c r="E524">
        <v>0.19400000000000001</v>
      </c>
      <c r="F524">
        <v>5</v>
      </c>
      <c r="G524">
        <v>20</v>
      </c>
      <c r="H524">
        <v>25</v>
      </c>
    </row>
    <row r="525" spans="1:8">
      <c r="A525">
        <v>523</v>
      </c>
      <c r="B525">
        <v>524</v>
      </c>
      <c r="C525">
        <v>9.0899999999999995E-2</v>
      </c>
      <c r="D525">
        <v>0.38</v>
      </c>
      <c r="E525">
        <v>0.19400000000000001</v>
      </c>
      <c r="F525">
        <v>5</v>
      </c>
      <c r="G525">
        <v>23</v>
      </c>
      <c r="H525">
        <v>28</v>
      </c>
    </row>
    <row r="526" spans="1:8">
      <c r="A526">
        <v>524</v>
      </c>
      <c r="B526">
        <v>525</v>
      </c>
      <c r="C526">
        <v>6.0600000000000001E-2</v>
      </c>
      <c r="D526">
        <v>0.41</v>
      </c>
      <c r="E526">
        <v>0.22389999999999999</v>
      </c>
      <c r="F526">
        <v>4</v>
      </c>
      <c r="G526">
        <v>17</v>
      </c>
      <c r="H526">
        <v>21</v>
      </c>
    </row>
    <row r="527" spans="1:8">
      <c r="A527">
        <v>525</v>
      </c>
      <c r="B527">
        <v>526</v>
      </c>
      <c r="C527">
        <v>6.0600000000000001E-2</v>
      </c>
      <c r="D527">
        <v>0.41</v>
      </c>
      <c r="E527">
        <v>0.19400000000000001</v>
      </c>
      <c r="F527">
        <v>0</v>
      </c>
      <c r="G527">
        <v>7</v>
      </c>
      <c r="H527">
        <v>7</v>
      </c>
    </row>
    <row r="528" spans="1:8">
      <c r="A528">
        <v>526</v>
      </c>
      <c r="B528">
        <v>527</v>
      </c>
      <c r="C528">
        <v>4.5499999999999999E-2</v>
      </c>
      <c r="D528">
        <v>0.45</v>
      </c>
      <c r="E528">
        <v>0.19400000000000001</v>
      </c>
      <c r="F528">
        <v>0</v>
      </c>
      <c r="G528">
        <v>1</v>
      </c>
      <c r="H528">
        <v>1</v>
      </c>
    </row>
    <row r="529" spans="1:8">
      <c r="A529">
        <v>527</v>
      </c>
      <c r="B529">
        <v>528</v>
      </c>
      <c r="C529">
        <v>3.0300000000000001E-2</v>
      </c>
      <c r="D529">
        <v>0.45</v>
      </c>
      <c r="E529">
        <v>0.25369999999999998</v>
      </c>
      <c r="F529">
        <v>0</v>
      </c>
      <c r="G529">
        <v>1</v>
      </c>
      <c r="H529">
        <v>1</v>
      </c>
    </row>
    <row r="530" spans="1:8">
      <c r="A530">
        <v>528</v>
      </c>
      <c r="B530">
        <v>529</v>
      </c>
      <c r="C530">
        <v>6.0600000000000001E-2</v>
      </c>
      <c r="D530">
        <v>0.48</v>
      </c>
      <c r="E530">
        <v>0.1343</v>
      </c>
      <c r="F530">
        <v>0</v>
      </c>
      <c r="G530">
        <v>1</v>
      </c>
      <c r="H530">
        <v>1</v>
      </c>
    </row>
    <row r="531" spans="1:8">
      <c r="A531">
        <v>529</v>
      </c>
      <c r="B531">
        <v>530</v>
      </c>
      <c r="C531">
        <v>6.0600000000000001E-2</v>
      </c>
      <c r="D531">
        <v>0.48</v>
      </c>
      <c r="E531">
        <v>0.1343</v>
      </c>
      <c r="F531">
        <v>0</v>
      </c>
      <c r="G531">
        <v>5</v>
      </c>
      <c r="H531">
        <v>5</v>
      </c>
    </row>
    <row r="532" spans="1:8">
      <c r="A532">
        <v>530</v>
      </c>
      <c r="B532">
        <v>531</v>
      </c>
      <c r="C532">
        <v>7.5800000000000006E-2</v>
      </c>
      <c r="D532">
        <v>0.48</v>
      </c>
      <c r="E532">
        <v>8.9599999999999999E-2</v>
      </c>
      <c r="F532">
        <v>0</v>
      </c>
      <c r="G532">
        <v>15</v>
      </c>
      <c r="H532">
        <v>15</v>
      </c>
    </row>
    <row r="533" spans="1:8">
      <c r="A533">
        <v>531</v>
      </c>
      <c r="B533">
        <v>532</v>
      </c>
      <c r="C533">
        <v>0.1212</v>
      </c>
      <c r="D533">
        <v>0.48</v>
      </c>
      <c r="E533">
        <v>0</v>
      </c>
      <c r="F533">
        <v>5</v>
      </c>
      <c r="G533">
        <v>79</v>
      </c>
      <c r="H533">
        <v>84</v>
      </c>
    </row>
    <row r="534" spans="1:8">
      <c r="A534">
        <v>532</v>
      </c>
      <c r="B534">
        <v>533</v>
      </c>
      <c r="C534">
        <v>0.13639999999999999</v>
      </c>
      <c r="D534">
        <v>0.49</v>
      </c>
      <c r="E534">
        <v>0</v>
      </c>
      <c r="F534">
        <v>6</v>
      </c>
      <c r="G534">
        <v>171</v>
      </c>
      <c r="H534">
        <v>177</v>
      </c>
    </row>
    <row r="535" spans="1:8">
      <c r="A535">
        <v>533</v>
      </c>
      <c r="B535">
        <v>534</v>
      </c>
      <c r="C535">
        <v>0.1515</v>
      </c>
      <c r="D535">
        <v>0.41</v>
      </c>
      <c r="E535">
        <v>0</v>
      </c>
      <c r="F535">
        <v>4</v>
      </c>
      <c r="G535">
        <v>98</v>
      </c>
      <c r="H535">
        <v>102</v>
      </c>
    </row>
    <row r="536" spans="1:8">
      <c r="A536">
        <v>534</v>
      </c>
      <c r="B536">
        <v>535</v>
      </c>
      <c r="C536">
        <v>0.13639999999999999</v>
      </c>
      <c r="D536">
        <v>0.42</v>
      </c>
      <c r="E536">
        <v>0</v>
      </c>
      <c r="F536">
        <v>6</v>
      </c>
      <c r="G536">
        <v>34</v>
      </c>
      <c r="H536">
        <v>40</v>
      </c>
    </row>
    <row r="537" spans="1:8">
      <c r="A537">
        <v>535</v>
      </c>
      <c r="B537">
        <v>536</v>
      </c>
      <c r="C537">
        <v>0.1212</v>
      </c>
      <c r="D537">
        <v>0.46</v>
      </c>
      <c r="E537">
        <v>0.1343</v>
      </c>
      <c r="F537">
        <v>3</v>
      </c>
      <c r="G537">
        <v>43</v>
      </c>
      <c r="H537">
        <v>46</v>
      </c>
    </row>
    <row r="538" spans="1:8">
      <c r="A538">
        <v>536</v>
      </c>
      <c r="B538">
        <v>537</v>
      </c>
      <c r="C538">
        <v>0.13639999999999999</v>
      </c>
      <c r="D538">
        <v>0.42</v>
      </c>
      <c r="E538">
        <v>0.19400000000000001</v>
      </c>
      <c r="F538">
        <v>11</v>
      </c>
      <c r="G538">
        <v>52</v>
      </c>
      <c r="H538">
        <v>63</v>
      </c>
    </row>
    <row r="539" spans="1:8">
      <c r="A539">
        <v>537</v>
      </c>
      <c r="B539">
        <v>538</v>
      </c>
      <c r="C539">
        <v>0.13639999999999999</v>
      </c>
      <c r="D539">
        <v>0.43</v>
      </c>
      <c r="E539">
        <v>0.22389999999999999</v>
      </c>
      <c r="F539">
        <v>6</v>
      </c>
      <c r="G539">
        <v>54</v>
      </c>
      <c r="H539">
        <v>60</v>
      </c>
    </row>
    <row r="540" spans="1:8">
      <c r="A540">
        <v>538</v>
      </c>
      <c r="B540">
        <v>539</v>
      </c>
      <c r="C540">
        <v>0.13639999999999999</v>
      </c>
      <c r="D540">
        <v>0.46</v>
      </c>
      <c r="E540">
        <v>0.22389999999999999</v>
      </c>
      <c r="F540">
        <v>2</v>
      </c>
      <c r="G540">
        <v>43</v>
      </c>
      <c r="H540">
        <v>45</v>
      </c>
    </row>
    <row r="541" spans="1:8">
      <c r="A541">
        <v>539</v>
      </c>
      <c r="B541">
        <v>540</v>
      </c>
      <c r="C541">
        <v>0.16669999999999999</v>
      </c>
      <c r="D541">
        <v>0.4</v>
      </c>
      <c r="E541">
        <v>0.16420000000000001</v>
      </c>
      <c r="F541">
        <v>7</v>
      </c>
      <c r="G541">
        <v>50</v>
      </c>
      <c r="H541">
        <v>57</v>
      </c>
    </row>
    <row r="542" spans="1:8">
      <c r="A542">
        <v>540</v>
      </c>
      <c r="B542">
        <v>541</v>
      </c>
      <c r="C542">
        <v>0.1515</v>
      </c>
      <c r="D542">
        <v>0.47</v>
      </c>
      <c r="E542">
        <v>0.25369999999999998</v>
      </c>
      <c r="F542">
        <v>4</v>
      </c>
      <c r="G542">
        <v>66</v>
      </c>
      <c r="H542">
        <v>70</v>
      </c>
    </row>
    <row r="543" spans="1:8">
      <c r="A543">
        <v>541</v>
      </c>
      <c r="B543">
        <v>542</v>
      </c>
      <c r="C543">
        <v>0.1212</v>
      </c>
      <c r="D543">
        <v>0.5</v>
      </c>
      <c r="E543">
        <v>0.25369999999999998</v>
      </c>
      <c r="F543">
        <v>6</v>
      </c>
      <c r="G543">
        <v>178</v>
      </c>
      <c r="H543">
        <v>184</v>
      </c>
    </row>
    <row r="544" spans="1:8">
      <c r="A544">
        <v>542</v>
      </c>
      <c r="B544">
        <v>543</v>
      </c>
      <c r="C544">
        <v>0.13639999999999999</v>
      </c>
      <c r="D544">
        <v>0.59</v>
      </c>
      <c r="E544">
        <v>0.19400000000000001</v>
      </c>
      <c r="F544">
        <v>8</v>
      </c>
      <c r="G544">
        <v>145</v>
      </c>
      <c r="H544">
        <v>153</v>
      </c>
    </row>
    <row r="545" spans="1:8">
      <c r="A545">
        <v>543</v>
      </c>
      <c r="B545">
        <v>544</v>
      </c>
      <c r="C545">
        <v>0.1515</v>
      </c>
      <c r="D545">
        <v>0.54</v>
      </c>
      <c r="E545">
        <v>0.16420000000000001</v>
      </c>
      <c r="F545">
        <v>5</v>
      </c>
      <c r="G545">
        <v>101</v>
      </c>
      <c r="H545">
        <v>106</v>
      </c>
    </row>
    <row r="546" spans="1:8">
      <c r="A546">
        <v>544</v>
      </c>
      <c r="B546">
        <v>545</v>
      </c>
      <c r="C546">
        <v>0.13639999999999999</v>
      </c>
      <c r="D546">
        <v>0.59</v>
      </c>
      <c r="E546">
        <v>0.19400000000000001</v>
      </c>
      <c r="F546">
        <v>1</v>
      </c>
      <c r="G546">
        <v>80</v>
      </c>
      <c r="H546">
        <v>81</v>
      </c>
    </row>
    <row r="547" spans="1:8">
      <c r="A547">
        <v>545</v>
      </c>
      <c r="B547">
        <v>546</v>
      </c>
      <c r="C547">
        <v>0.1515</v>
      </c>
      <c r="D547">
        <v>0.63</v>
      </c>
      <c r="E547">
        <v>0.16420000000000001</v>
      </c>
      <c r="F547">
        <v>6</v>
      </c>
      <c r="G547">
        <v>53</v>
      </c>
      <c r="H547">
        <v>59</v>
      </c>
    </row>
    <row r="548" spans="1:8">
      <c r="A548">
        <v>546</v>
      </c>
      <c r="B548">
        <v>547</v>
      </c>
      <c r="C548">
        <v>0.13639999999999999</v>
      </c>
      <c r="D548">
        <v>0.63</v>
      </c>
      <c r="E548">
        <v>0.22389999999999999</v>
      </c>
      <c r="F548">
        <v>3</v>
      </c>
      <c r="G548">
        <v>32</v>
      </c>
      <c r="H548">
        <v>35</v>
      </c>
    </row>
    <row r="549" spans="1:8">
      <c r="A549">
        <v>547</v>
      </c>
      <c r="B549">
        <v>548</v>
      </c>
      <c r="C549">
        <v>0.1515</v>
      </c>
      <c r="D549">
        <v>0.64</v>
      </c>
      <c r="E549">
        <v>0.25369999999999998</v>
      </c>
      <c r="F549">
        <v>3</v>
      </c>
      <c r="G549">
        <v>21</v>
      </c>
      <c r="H549">
        <v>24</v>
      </c>
    </row>
    <row r="550" spans="1:8">
      <c r="A550">
        <v>548</v>
      </c>
      <c r="B550">
        <v>549</v>
      </c>
      <c r="C550">
        <v>0.13639999999999999</v>
      </c>
      <c r="D550">
        <v>0.69</v>
      </c>
      <c r="E550">
        <v>0.28360000000000002</v>
      </c>
      <c r="F550">
        <v>3</v>
      </c>
      <c r="G550">
        <v>6</v>
      </c>
      <c r="H550">
        <v>9</v>
      </c>
    </row>
    <row r="551" spans="1:8">
      <c r="A551">
        <v>549</v>
      </c>
      <c r="B551">
        <v>550</v>
      </c>
      <c r="C551">
        <v>0.16669999999999999</v>
      </c>
      <c r="D551">
        <v>0.69</v>
      </c>
      <c r="E551">
        <v>0.16420000000000001</v>
      </c>
      <c r="F551">
        <v>0</v>
      </c>
      <c r="G551">
        <v>5</v>
      </c>
      <c r="H551">
        <v>5</v>
      </c>
    </row>
    <row r="552" spans="1:8">
      <c r="A552">
        <v>550</v>
      </c>
      <c r="B552">
        <v>551</v>
      </c>
      <c r="C552">
        <v>0.1515</v>
      </c>
      <c r="D552">
        <v>0.69</v>
      </c>
      <c r="E552">
        <v>0.22389999999999999</v>
      </c>
      <c r="F552">
        <v>0</v>
      </c>
      <c r="G552">
        <v>2</v>
      </c>
      <c r="H552">
        <v>2</v>
      </c>
    </row>
    <row r="553" spans="1:8">
      <c r="A553">
        <v>551</v>
      </c>
      <c r="B553">
        <v>552</v>
      </c>
      <c r="C553">
        <v>0.16669999999999999</v>
      </c>
      <c r="D553">
        <v>0.74</v>
      </c>
      <c r="E553">
        <v>0.1045</v>
      </c>
      <c r="F553">
        <v>0</v>
      </c>
      <c r="G553">
        <v>1</v>
      </c>
      <c r="H553">
        <v>1</v>
      </c>
    </row>
    <row r="554" spans="1:8">
      <c r="A554">
        <v>552</v>
      </c>
      <c r="B554">
        <v>553</v>
      </c>
      <c r="C554">
        <v>0.13639999999999999</v>
      </c>
      <c r="D554">
        <v>0.74</v>
      </c>
      <c r="E554">
        <v>0.22389999999999999</v>
      </c>
      <c r="F554">
        <v>0</v>
      </c>
      <c r="G554">
        <v>9</v>
      </c>
      <c r="H554">
        <v>9</v>
      </c>
    </row>
    <row r="555" spans="1:8">
      <c r="A555">
        <v>553</v>
      </c>
      <c r="B555">
        <v>554</v>
      </c>
      <c r="C555">
        <v>0.18179999999999999</v>
      </c>
      <c r="D555">
        <v>0.74</v>
      </c>
      <c r="E555">
        <v>0.1045</v>
      </c>
      <c r="F555">
        <v>1</v>
      </c>
      <c r="G555">
        <v>35</v>
      </c>
      <c r="H555">
        <v>36</v>
      </c>
    </row>
    <row r="556" spans="1:8">
      <c r="A556">
        <v>554</v>
      </c>
      <c r="B556">
        <v>555</v>
      </c>
      <c r="C556">
        <v>0.1515</v>
      </c>
      <c r="D556">
        <v>0.74</v>
      </c>
      <c r="E556">
        <v>0.22389999999999999</v>
      </c>
      <c r="F556">
        <v>5</v>
      </c>
      <c r="G556">
        <v>103</v>
      </c>
      <c r="H556">
        <v>108</v>
      </c>
    </row>
    <row r="557" spans="1:8">
      <c r="A557">
        <v>555</v>
      </c>
      <c r="B557">
        <v>556</v>
      </c>
      <c r="C557">
        <v>0.18179999999999999</v>
      </c>
      <c r="D557">
        <v>0.74</v>
      </c>
      <c r="E557">
        <v>0.1343</v>
      </c>
      <c r="F557">
        <v>5</v>
      </c>
      <c r="G557">
        <v>233</v>
      </c>
      <c r="H557">
        <v>238</v>
      </c>
    </row>
    <row r="558" spans="1:8">
      <c r="A558">
        <v>556</v>
      </c>
      <c r="B558">
        <v>557</v>
      </c>
      <c r="C558">
        <v>0.2273</v>
      </c>
      <c r="D558">
        <v>0.64</v>
      </c>
      <c r="E558">
        <v>8.9599999999999999E-2</v>
      </c>
      <c r="F558">
        <v>10</v>
      </c>
      <c r="G558">
        <v>134</v>
      </c>
      <c r="H558">
        <v>144</v>
      </c>
    </row>
    <row r="559" spans="1:8">
      <c r="A559">
        <v>557</v>
      </c>
      <c r="B559">
        <v>558</v>
      </c>
      <c r="C559">
        <v>0.2424</v>
      </c>
      <c r="D559">
        <v>0.6</v>
      </c>
      <c r="E559">
        <v>0.1045</v>
      </c>
      <c r="F559">
        <v>6</v>
      </c>
      <c r="G559">
        <v>49</v>
      </c>
      <c r="H559">
        <v>55</v>
      </c>
    </row>
    <row r="560" spans="1:8">
      <c r="A560">
        <v>558</v>
      </c>
      <c r="B560">
        <v>559</v>
      </c>
      <c r="C560">
        <v>0.2424</v>
      </c>
      <c r="D560">
        <v>0.6</v>
      </c>
      <c r="E560">
        <v>0.1343</v>
      </c>
      <c r="F560">
        <v>6</v>
      </c>
      <c r="G560">
        <v>55</v>
      </c>
      <c r="H560">
        <v>61</v>
      </c>
    </row>
    <row r="561" spans="1:8">
      <c r="A561">
        <v>559</v>
      </c>
      <c r="B561">
        <v>560</v>
      </c>
      <c r="C561">
        <v>0.28789999999999999</v>
      </c>
      <c r="D561">
        <v>0.56000000000000005</v>
      </c>
      <c r="E561">
        <v>8.9599999999999999E-2</v>
      </c>
      <c r="F561">
        <v>21</v>
      </c>
      <c r="G561">
        <v>85</v>
      </c>
      <c r="H561">
        <v>106</v>
      </c>
    </row>
    <row r="562" spans="1:8">
      <c r="A562">
        <v>560</v>
      </c>
      <c r="B562">
        <v>561</v>
      </c>
      <c r="C562">
        <v>0.2727</v>
      </c>
      <c r="D562">
        <v>0.56000000000000005</v>
      </c>
      <c r="E562">
        <v>0.1343</v>
      </c>
      <c r="F562">
        <v>21</v>
      </c>
      <c r="G562">
        <v>72</v>
      </c>
      <c r="H562">
        <v>93</v>
      </c>
    </row>
    <row r="563" spans="1:8">
      <c r="A563">
        <v>561</v>
      </c>
      <c r="B563">
        <v>562</v>
      </c>
      <c r="C563">
        <v>0.33329999999999999</v>
      </c>
      <c r="D563">
        <v>0.45</v>
      </c>
      <c r="E563">
        <v>0</v>
      </c>
      <c r="F563">
        <v>11</v>
      </c>
      <c r="G563">
        <v>57</v>
      </c>
      <c r="H563">
        <v>68</v>
      </c>
    </row>
    <row r="564" spans="1:8">
      <c r="A564">
        <v>562</v>
      </c>
      <c r="B564">
        <v>563</v>
      </c>
      <c r="C564">
        <v>0.34849999999999998</v>
      </c>
      <c r="D564">
        <v>0.42</v>
      </c>
      <c r="E564">
        <v>0</v>
      </c>
      <c r="F564">
        <v>21</v>
      </c>
      <c r="G564">
        <v>63</v>
      </c>
      <c r="H564">
        <v>84</v>
      </c>
    </row>
    <row r="565" spans="1:8">
      <c r="A565">
        <v>563</v>
      </c>
      <c r="B565">
        <v>564</v>
      </c>
      <c r="C565">
        <v>0.34849999999999998</v>
      </c>
      <c r="D565">
        <v>0.42</v>
      </c>
      <c r="E565">
        <v>0</v>
      </c>
      <c r="F565">
        <v>14</v>
      </c>
      <c r="G565">
        <v>102</v>
      </c>
      <c r="H565">
        <v>116</v>
      </c>
    </row>
    <row r="566" spans="1:8">
      <c r="A566">
        <v>564</v>
      </c>
      <c r="B566">
        <v>565</v>
      </c>
      <c r="C566">
        <v>0.33329999999999999</v>
      </c>
      <c r="D566">
        <v>0.45</v>
      </c>
      <c r="E566">
        <v>0</v>
      </c>
      <c r="F566">
        <v>14</v>
      </c>
      <c r="G566">
        <v>208</v>
      </c>
      <c r="H566">
        <v>222</v>
      </c>
    </row>
    <row r="567" spans="1:8">
      <c r="A567">
        <v>565</v>
      </c>
      <c r="B567">
        <v>566</v>
      </c>
      <c r="C567">
        <v>0.31819999999999998</v>
      </c>
      <c r="D567">
        <v>0.49</v>
      </c>
      <c r="E567">
        <v>8.9599999999999999E-2</v>
      </c>
      <c r="F567">
        <v>7</v>
      </c>
      <c r="G567">
        <v>218</v>
      </c>
      <c r="H567">
        <v>225</v>
      </c>
    </row>
    <row r="568" spans="1:8">
      <c r="A568">
        <v>566</v>
      </c>
      <c r="B568">
        <v>567</v>
      </c>
      <c r="C568">
        <v>0.2576</v>
      </c>
      <c r="D568">
        <v>0.65</v>
      </c>
      <c r="E568">
        <v>0.16420000000000001</v>
      </c>
      <c r="F568">
        <v>13</v>
      </c>
      <c r="G568">
        <v>133</v>
      </c>
      <c r="H568">
        <v>146</v>
      </c>
    </row>
    <row r="569" spans="1:8">
      <c r="A569">
        <v>567</v>
      </c>
      <c r="B569">
        <v>568</v>
      </c>
      <c r="C569">
        <v>0.2273</v>
      </c>
      <c r="D569">
        <v>0.65</v>
      </c>
      <c r="E569">
        <v>0.19400000000000001</v>
      </c>
      <c r="F569">
        <v>16</v>
      </c>
      <c r="G569">
        <v>103</v>
      </c>
      <c r="H569">
        <v>119</v>
      </c>
    </row>
    <row r="570" spans="1:8">
      <c r="A570">
        <v>568</v>
      </c>
      <c r="B570">
        <v>569</v>
      </c>
      <c r="C570">
        <v>0.2273</v>
      </c>
      <c r="D570">
        <v>0.65</v>
      </c>
      <c r="E570">
        <v>0.19400000000000001</v>
      </c>
      <c r="F570">
        <v>5</v>
      </c>
      <c r="G570">
        <v>40</v>
      </c>
      <c r="H570">
        <v>45</v>
      </c>
    </row>
    <row r="571" spans="1:8">
      <c r="A571">
        <v>569</v>
      </c>
      <c r="B571">
        <v>570</v>
      </c>
      <c r="C571">
        <v>0.2273</v>
      </c>
      <c r="D571">
        <v>0.64</v>
      </c>
      <c r="E571">
        <v>0.16420000000000001</v>
      </c>
      <c r="F571">
        <v>4</v>
      </c>
      <c r="G571">
        <v>49</v>
      </c>
      <c r="H571">
        <v>53</v>
      </c>
    </row>
    <row r="572" spans="1:8">
      <c r="A572">
        <v>570</v>
      </c>
      <c r="B572">
        <v>571</v>
      </c>
      <c r="C572">
        <v>0.2273</v>
      </c>
      <c r="D572">
        <v>0.64</v>
      </c>
      <c r="E572">
        <v>0.16420000000000001</v>
      </c>
      <c r="F572">
        <v>3</v>
      </c>
      <c r="G572">
        <v>37</v>
      </c>
      <c r="H572">
        <v>40</v>
      </c>
    </row>
    <row r="573" spans="1:8">
      <c r="A573">
        <v>571</v>
      </c>
      <c r="B573">
        <v>572</v>
      </c>
      <c r="C573">
        <v>0.2273</v>
      </c>
      <c r="D573">
        <v>0.69</v>
      </c>
      <c r="E573">
        <v>0.1343</v>
      </c>
      <c r="F573">
        <v>3</v>
      </c>
      <c r="G573">
        <v>14</v>
      </c>
      <c r="H573">
        <v>17</v>
      </c>
    </row>
    <row r="574" spans="1:8">
      <c r="A574">
        <v>572</v>
      </c>
      <c r="B574">
        <v>573</v>
      </c>
      <c r="C574">
        <v>0.2424</v>
      </c>
      <c r="D574">
        <v>0.65</v>
      </c>
      <c r="E574">
        <v>0.1343</v>
      </c>
      <c r="F574">
        <v>0</v>
      </c>
      <c r="G574">
        <v>5</v>
      </c>
      <c r="H574">
        <v>5</v>
      </c>
    </row>
    <row r="575" spans="1:8">
      <c r="A575">
        <v>573</v>
      </c>
      <c r="B575">
        <v>574</v>
      </c>
      <c r="C575">
        <v>0.2273</v>
      </c>
      <c r="D575">
        <v>0.69</v>
      </c>
      <c r="E575">
        <v>0.19400000000000001</v>
      </c>
      <c r="F575">
        <v>3</v>
      </c>
      <c r="G575">
        <v>7</v>
      </c>
      <c r="H575">
        <v>10</v>
      </c>
    </row>
    <row r="576" spans="1:8">
      <c r="A576">
        <v>574</v>
      </c>
      <c r="B576">
        <v>575</v>
      </c>
      <c r="C576">
        <v>0.18179999999999999</v>
      </c>
      <c r="D576">
        <v>0.86</v>
      </c>
      <c r="E576">
        <v>0.28360000000000002</v>
      </c>
      <c r="F576">
        <v>0</v>
      </c>
      <c r="G576">
        <v>1</v>
      </c>
      <c r="H576">
        <v>1</v>
      </c>
    </row>
    <row r="577" spans="1:8">
      <c r="A577">
        <v>575</v>
      </c>
      <c r="B577">
        <v>576</v>
      </c>
      <c r="C577">
        <v>0.18179999999999999</v>
      </c>
      <c r="D577">
        <v>0.86</v>
      </c>
      <c r="E577">
        <v>0.28360000000000002</v>
      </c>
      <c r="F577">
        <v>0</v>
      </c>
      <c r="G577">
        <v>8</v>
      </c>
      <c r="H577">
        <v>8</v>
      </c>
    </row>
    <row r="578" spans="1:8">
      <c r="A578">
        <v>576</v>
      </c>
      <c r="B578">
        <v>577</v>
      </c>
      <c r="C578">
        <v>0.21210000000000001</v>
      </c>
      <c r="D578">
        <v>0.87</v>
      </c>
      <c r="E578">
        <v>0.29849999999999999</v>
      </c>
      <c r="F578">
        <v>1</v>
      </c>
      <c r="G578">
        <v>29</v>
      </c>
      <c r="H578">
        <v>30</v>
      </c>
    </row>
    <row r="579" spans="1:8">
      <c r="A579">
        <v>577</v>
      </c>
      <c r="B579">
        <v>578</v>
      </c>
      <c r="C579">
        <v>0.21210000000000001</v>
      </c>
      <c r="D579">
        <v>0.87</v>
      </c>
      <c r="E579">
        <v>0.29849999999999999</v>
      </c>
      <c r="F579">
        <v>3</v>
      </c>
      <c r="G579">
        <v>69</v>
      </c>
      <c r="H579">
        <v>72</v>
      </c>
    </row>
    <row r="580" spans="1:8">
      <c r="A580">
        <v>578</v>
      </c>
      <c r="B580">
        <v>579</v>
      </c>
      <c r="C580">
        <v>0.21210000000000001</v>
      </c>
      <c r="D580">
        <v>0.87</v>
      </c>
      <c r="E580">
        <v>0.29849999999999999</v>
      </c>
      <c r="F580">
        <v>3</v>
      </c>
      <c r="G580">
        <v>55</v>
      </c>
      <c r="H580">
        <v>58</v>
      </c>
    </row>
    <row r="581" spans="1:8">
      <c r="A581">
        <v>579</v>
      </c>
      <c r="B581">
        <v>580</v>
      </c>
      <c r="C581">
        <v>0.21210000000000001</v>
      </c>
      <c r="D581">
        <v>0.93</v>
      </c>
      <c r="E581">
        <v>0.28360000000000002</v>
      </c>
      <c r="F581">
        <v>2</v>
      </c>
      <c r="G581">
        <v>26</v>
      </c>
      <c r="H581">
        <v>28</v>
      </c>
    </row>
    <row r="582" spans="1:8">
      <c r="A582">
        <v>580</v>
      </c>
      <c r="B582">
        <v>581</v>
      </c>
      <c r="C582">
        <v>0.19700000000000001</v>
      </c>
      <c r="D582">
        <v>0.93</v>
      </c>
      <c r="E582">
        <v>0.32840000000000003</v>
      </c>
      <c r="F582">
        <v>6</v>
      </c>
      <c r="G582">
        <v>35</v>
      </c>
      <c r="H582">
        <v>41</v>
      </c>
    </row>
    <row r="583" spans="1:8">
      <c r="A583">
        <v>581</v>
      </c>
      <c r="B583">
        <v>582</v>
      </c>
      <c r="C583">
        <v>0.19700000000000001</v>
      </c>
      <c r="D583">
        <v>0.93</v>
      </c>
      <c r="E583">
        <v>0.32840000000000003</v>
      </c>
      <c r="F583">
        <v>7</v>
      </c>
      <c r="G583">
        <v>41</v>
      </c>
      <c r="H583">
        <v>48</v>
      </c>
    </row>
    <row r="584" spans="1:8">
      <c r="A584">
        <v>582</v>
      </c>
      <c r="B584">
        <v>583</v>
      </c>
      <c r="C584">
        <v>0.19700000000000001</v>
      </c>
      <c r="D584">
        <v>0.93</v>
      </c>
      <c r="E584">
        <v>0.32840000000000003</v>
      </c>
      <c r="F584">
        <v>4</v>
      </c>
      <c r="G584">
        <v>43</v>
      </c>
      <c r="H584">
        <v>47</v>
      </c>
    </row>
    <row r="585" spans="1:8">
      <c r="A585">
        <v>583</v>
      </c>
      <c r="B585">
        <v>584</v>
      </c>
      <c r="C585">
        <v>0.19700000000000001</v>
      </c>
      <c r="D585">
        <v>0.93</v>
      </c>
      <c r="E585">
        <v>0.35820000000000002</v>
      </c>
      <c r="F585">
        <v>0</v>
      </c>
      <c r="G585">
        <v>36</v>
      </c>
      <c r="H585">
        <v>36</v>
      </c>
    </row>
    <row r="586" spans="1:8">
      <c r="A586">
        <v>584</v>
      </c>
      <c r="B586">
        <v>585</v>
      </c>
      <c r="C586">
        <v>0.18179999999999999</v>
      </c>
      <c r="D586">
        <v>0.93</v>
      </c>
      <c r="E586">
        <v>0.4627</v>
      </c>
      <c r="F586">
        <v>1</v>
      </c>
      <c r="G586">
        <v>42</v>
      </c>
      <c r="H586">
        <v>43</v>
      </c>
    </row>
    <row r="587" spans="1:8">
      <c r="A587">
        <v>585</v>
      </c>
      <c r="B587">
        <v>586</v>
      </c>
      <c r="C587">
        <v>0.19700000000000001</v>
      </c>
      <c r="D587">
        <v>0.93</v>
      </c>
      <c r="E587">
        <v>0.32840000000000003</v>
      </c>
      <c r="F587">
        <v>1</v>
      </c>
      <c r="G587">
        <v>35</v>
      </c>
      <c r="H587">
        <v>36</v>
      </c>
    </row>
    <row r="588" spans="1:8">
      <c r="A588">
        <v>586</v>
      </c>
      <c r="B588">
        <v>587</v>
      </c>
      <c r="C588">
        <v>0.18179999999999999</v>
      </c>
      <c r="D588">
        <v>0.93</v>
      </c>
      <c r="E588">
        <v>0.35820000000000002</v>
      </c>
      <c r="F588">
        <v>0</v>
      </c>
      <c r="G588">
        <v>26</v>
      </c>
      <c r="H588">
        <v>26</v>
      </c>
    </row>
    <row r="589" spans="1:8">
      <c r="A589">
        <v>587</v>
      </c>
      <c r="B589">
        <v>588</v>
      </c>
      <c r="C589">
        <v>0.2273</v>
      </c>
      <c r="D589">
        <v>0.55000000000000004</v>
      </c>
      <c r="E589">
        <v>0.19400000000000001</v>
      </c>
      <c r="F589">
        <v>1</v>
      </c>
      <c r="G589">
        <v>23</v>
      </c>
      <c r="H589">
        <v>24</v>
      </c>
    </row>
    <row r="590" spans="1:8">
      <c r="A590">
        <v>588</v>
      </c>
      <c r="B590">
        <v>589</v>
      </c>
      <c r="C590">
        <v>0.2424</v>
      </c>
      <c r="D590">
        <v>0.55000000000000004</v>
      </c>
      <c r="E590">
        <v>0.1045</v>
      </c>
      <c r="F590">
        <v>2</v>
      </c>
      <c r="G590">
        <v>82</v>
      </c>
      <c r="H590">
        <v>84</v>
      </c>
    </row>
    <row r="591" spans="1:8">
      <c r="A591">
        <v>589</v>
      </c>
      <c r="B591">
        <v>590</v>
      </c>
      <c r="C591">
        <v>0.2273</v>
      </c>
      <c r="D591">
        <v>0.69</v>
      </c>
      <c r="E591">
        <v>8.9599999999999999E-2</v>
      </c>
      <c r="F591">
        <v>3</v>
      </c>
      <c r="G591">
        <v>101</v>
      </c>
      <c r="H591">
        <v>104</v>
      </c>
    </row>
    <row r="592" spans="1:8">
      <c r="A592">
        <v>590</v>
      </c>
      <c r="B592">
        <v>591</v>
      </c>
      <c r="C592">
        <v>0.2273</v>
      </c>
      <c r="D592">
        <v>0.69</v>
      </c>
      <c r="E592">
        <v>8.9599999999999999E-2</v>
      </c>
      <c r="F592">
        <v>3</v>
      </c>
      <c r="G592">
        <v>76</v>
      </c>
      <c r="H592">
        <v>79</v>
      </c>
    </row>
    <row r="593" spans="1:8">
      <c r="A593">
        <v>591</v>
      </c>
      <c r="B593">
        <v>592</v>
      </c>
      <c r="C593">
        <v>0.21210000000000001</v>
      </c>
      <c r="D593">
        <v>0.74</v>
      </c>
      <c r="E593">
        <v>8.9599999999999999E-2</v>
      </c>
      <c r="F593">
        <v>4</v>
      </c>
      <c r="G593">
        <v>55</v>
      </c>
      <c r="H593">
        <v>59</v>
      </c>
    </row>
    <row r="594" spans="1:8">
      <c r="A594">
        <v>592</v>
      </c>
      <c r="B594">
        <v>593</v>
      </c>
      <c r="C594">
        <v>0.21210000000000001</v>
      </c>
      <c r="D594">
        <v>0.74</v>
      </c>
      <c r="E594">
        <v>8.9599999999999999E-2</v>
      </c>
      <c r="F594">
        <v>2</v>
      </c>
      <c r="G594">
        <v>36</v>
      </c>
      <c r="H594">
        <v>38</v>
      </c>
    </row>
    <row r="595" spans="1:8">
      <c r="A595">
        <v>593</v>
      </c>
      <c r="B595">
        <v>594</v>
      </c>
      <c r="C595">
        <v>0.21210000000000001</v>
      </c>
      <c r="D595">
        <v>0.74</v>
      </c>
      <c r="E595">
        <v>8.9599999999999999E-2</v>
      </c>
      <c r="F595">
        <v>0</v>
      </c>
      <c r="G595">
        <v>27</v>
      </c>
      <c r="H595">
        <v>27</v>
      </c>
    </row>
    <row r="596" spans="1:8">
      <c r="A596">
        <v>594</v>
      </c>
      <c r="B596">
        <v>595</v>
      </c>
      <c r="C596">
        <v>0.19700000000000001</v>
      </c>
      <c r="D596">
        <v>0.8</v>
      </c>
      <c r="E596">
        <v>0.16420000000000001</v>
      </c>
      <c r="F596">
        <v>0</v>
      </c>
      <c r="G596">
        <v>16</v>
      </c>
      <c r="H596">
        <v>16</v>
      </c>
    </row>
    <row r="597" spans="1:8">
      <c r="A597">
        <v>595</v>
      </c>
      <c r="B597">
        <v>596</v>
      </c>
      <c r="C597">
        <v>0.21210000000000001</v>
      </c>
      <c r="D597">
        <v>0.75</v>
      </c>
      <c r="E597">
        <v>0.1343</v>
      </c>
      <c r="F597">
        <v>0</v>
      </c>
      <c r="G597">
        <v>9</v>
      </c>
      <c r="H597">
        <v>9</v>
      </c>
    </row>
    <row r="598" spans="1:8">
      <c r="A598">
        <v>596</v>
      </c>
      <c r="B598">
        <v>597</v>
      </c>
      <c r="C598">
        <v>0.21210000000000001</v>
      </c>
      <c r="D598">
        <v>0.75</v>
      </c>
      <c r="E598">
        <v>0.1343</v>
      </c>
      <c r="F598">
        <v>1</v>
      </c>
      <c r="G598">
        <v>2</v>
      </c>
      <c r="H598">
        <v>3</v>
      </c>
    </row>
    <row r="599" spans="1:8">
      <c r="A599">
        <v>597</v>
      </c>
      <c r="B599">
        <v>598</v>
      </c>
      <c r="C599">
        <v>0.21210000000000001</v>
      </c>
      <c r="D599">
        <v>0.75</v>
      </c>
      <c r="E599">
        <v>0.16420000000000001</v>
      </c>
      <c r="F599">
        <v>0</v>
      </c>
      <c r="G599">
        <v>2</v>
      </c>
      <c r="H599">
        <v>2</v>
      </c>
    </row>
    <row r="600" spans="1:8">
      <c r="A600">
        <v>598</v>
      </c>
      <c r="B600">
        <v>599</v>
      </c>
      <c r="C600">
        <v>0.2273</v>
      </c>
      <c r="D600">
        <v>0.75</v>
      </c>
      <c r="E600">
        <v>0.1045</v>
      </c>
      <c r="F600">
        <v>1</v>
      </c>
      <c r="G600">
        <v>0</v>
      </c>
      <c r="H600">
        <v>1</v>
      </c>
    </row>
    <row r="601" spans="1:8">
      <c r="A601">
        <v>599</v>
      </c>
      <c r="B601">
        <v>600</v>
      </c>
      <c r="C601">
        <v>0.21210000000000001</v>
      </c>
      <c r="D601">
        <v>0.8</v>
      </c>
      <c r="E601">
        <v>0.1045</v>
      </c>
      <c r="F601">
        <v>0</v>
      </c>
      <c r="G601">
        <v>4</v>
      </c>
      <c r="H601">
        <v>4</v>
      </c>
    </row>
    <row r="602" spans="1:8">
      <c r="A602">
        <v>600</v>
      </c>
      <c r="B602">
        <v>601</v>
      </c>
      <c r="C602">
        <v>0.19700000000000001</v>
      </c>
      <c r="D602">
        <v>0.8</v>
      </c>
      <c r="E602">
        <v>0.1343</v>
      </c>
      <c r="F602">
        <v>0</v>
      </c>
      <c r="G602">
        <v>16</v>
      </c>
      <c r="H602">
        <v>16</v>
      </c>
    </row>
    <row r="603" spans="1:8">
      <c r="A603">
        <v>601</v>
      </c>
      <c r="B603">
        <v>602</v>
      </c>
      <c r="C603">
        <v>0.19700000000000001</v>
      </c>
      <c r="D603">
        <v>0.86</v>
      </c>
      <c r="E603">
        <v>8.9599999999999999E-2</v>
      </c>
      <c r="F603">
        <v>2</v>
      </c>
      <c r="G603">
        <v>58</v>
      </c>
      <c r="H603">
        <v>60</v>
      </c>
    </row>
    <row r="604" spans="1:8">
      <c r="A604">
        <v>602</v>
      </c>
      <c r="B604">
        <v>603</v>
      </c>
      <c r="C604">
        <v>0.19700000000000001</v>
      </c>
      <c r="D604">
        <v>0.86</v>
      </c>
      <c r="E604">
        <v>8.9599999999999999E-2</v>
      </c>
      <c r="F604">
        <v>2</v>
      </c>
      <c r="G604">
        <v>155</v>
      </c>
      <c r="H604">
        <v>157</v>
      </c>
    </row>
    <row r="605" spans="1:8">
      <c r="A605">
        <v>603</v>
      </c>
      <c r="B605">
        <v>604</v>
      </c>
      <c r="C605">
        <v>0.21210000000000001</v>
      </c>
      <c r="D605">
        <v>0.86</v>
      </c>
      <c r="E605">
        <v>8.9599999999999999E-2</v>
      </c>
      <c r="F605">
        <v>6</v>
      </c>
      <c r="G605">
        <v>95</v>
      </c>
      <c r="H605">
        <v>101</v>
      </c>
    </row>
    <row r="606" spans="1:8">
      <c r="A606">
        <v>604</v>
      </c>
      <c r="B606">
        <v>605</v>
      </c>
      <c r="C606">
        <v>0.21210000000000001</v>
      </c>
      <c r="D606">
        <v>0.86</v>
      </c>
      <c r="E606">
        <v>0.1045</v>
      </c>
      <c r="F606">
        <v>0</v>
      </c>
      <c r="G606">
        <v>49</v>
      </c>
      <c r="H606">
        <v>49</v>
      </c>
    </row>
    <row r="607" spans="1:8">
      <c r="A607">
        <v>605</v>
      </c>
      <c r="B607">
        <v>606</v>
      </c>
      <c r="C607">
        <v>0.21210000000000001</v>
      </c>
      <c r="D607">
        <v>0.93</v>
      </c>
      <c r="E607">
        <v>0.1045</v>
      </c>
      <c r="F607">
        <v>0</v>
      </c>
      <c r="G607">
        <v>30</v>
      </c>
      <c r="H607">
        <v>30</v>
      </c>
    </row>
    <row r="608" spans="1:8">
      <c r="A608">
        <v>606</v>
      </c>
      <c r="B608">
        <v>607</v>
      </c>
      <c r="C608">
        <v>0.21210000000000001</v>
      </c>
      <c r="D608">
        <v>0.93</v>
      </c>
      <c r="E608">
        <v>0.1045</v>
      </c>
      <c r="F608">
        <v>1</v>
      </c>
      <c r="G608">
        <v>28</v>
      </c>
      <c r="H608">
        <v>29</v>
      </c>
    </row>
    <row r="609" spans="1:8">
      <c r="A609">
        <v>607</v>
      </c>
      <c r="B609">
        <v>608</v>
      </c>
      <c r="C609">
        <v>0.21210000000000001</v>
      </c>
      <c r="D609">
        <v>0.93</v>
      </c>
      <c r="E609">
        <v>0.1045</v>
      </c>
      <c r="F609">
        <v>0</v>
      </c>
      <c r="G609">
        <v>31</v>
      </c>
      <c r="H609">
        <v>31</v>
      </c>
    </row>
    <row r="610" spans="1:8">
      <c r="A610">
        <v>608</v>
      </c>
      <c r="B610">
        <v>609</v>
      </c>
      <c r="C610">
        <v>0.2727</v>
      </c>
      <c r="D610">
        <v>0.8</v>
      </c>
      <c r="E610">
        <v>0</v>
      </c>
      <c r="F610">
        <v>2</v>
      </c>
      <c r="G610">
        <v>36</v>
      </c>
      <c r="H610">
        <v>38</v>
      </c>
    </row>
    <row r="611" spans="1:8">
      <c r="A611">
        <v>609</v>
      </c>
      <c r="B611">
        <v>610</v>
      </c>
      <c r="C611">
        <v>0.2576</v>
      </c>
      <c r="D611">
        <v>0.86</v>
      </c>
      <c r="E611">
        <v>0</v>
      </c>
      <c r="F611">
        <v>1</v>
      </c>
      <c r="G611">
        <v>40</v>
      </c>
      <c r="H611">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5208-44FF-40BD-9A53-9445BED45520}">
  <dimension ref="A1:P391"/>
  <sheetViews>
    <sheetView workbookViewId="0">
      <selection activeCell="A11" sqref="A11"/>
    </sheetView>
  </sheetViews>
  <sheetFormatPr defaultRowHeight="14.4"/>
  <cols>
    <col min="1" max="1" width="9" bestFit="1" customWidth="1"/>
    <col min="2" max="2" width="13.66406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c r="A1" t="s">
        <v>0</v>
      </c>
      <c r="B1" t="s">
        <v>1</v>
      </c>
      <c r="C1" t="s">
        <v>2</v>
      </c>
      <c r="D1" t="s">
        <v>3</v>
      </c>
      <c r="E1" t="s">
        <v>4</v>
      </c>
      <c r="F1" t="s">
        <v>5</v>
      </c>
      <c r="G1" t="s">
        <v>6</v>
      </c>
      <c r="H1" t="s">
        <v>7</v>
      </c>
      <c r="I1" t="s">
        <v>8</v>
      </c>
      <c r="J1" t="s">
        <v>9</v>
      </c>
      <c r="K1" t="s">
        <v>11</v>
      </c>
      <c r="L1" t="s">
        <v>12</v>
      </c>
      <c r="M1" t="s">
        <v>13</v>
      </c>
      <c r="N1" t="s">
        <v>14</v>
      </c>
      <c r="O1" t="s">
        <v>15</v>
      </c>
      <c r="P1" t="s">
        <v>16</v>
      </c>
    </row>
    <row r="2" spans="1:16">
      <c r="A2">
        <v>620</v>
      </c>
      <c r="B2" s="1">
        <v>40572</v>
      </c>
      <c r="C2">
        <v>1</v>
      </c>
      <c r="D2">
        <v>0</v>
      </c>
      <c r="E2">
        <v>1</v>
      </c>
      <c r="F2">
        <v>1</v>
      </c>
      <c r="G2" t="b">
        <v>0</v>
      </c>
      <c r="H2">
        <v>6</v>
      </c>
      <c r="I2">
        <v>1</v>
      </c>
      <c r="J2">
        <v>0.22</v>
      </c>
      <c r="K2">
        <v>0.2273</v>
      </c>
      <c r="L2">
        <v>0.64</v>
      </c>
      <c r="M2">
        <v>0.19400000000000001</v>
      </c>
      <c r="N2">
        <v>0</v>
      </c>
      <c r="O2">
        <v>20</v>
      </c>
      <c r="P2">
        <v>20</v>
      </c>
    </row>
    <row r="3" spans="1:16">
      <c r="A3">
        <v>621</v>
      </c>
      <c r="B3" s="1">
        <v>40572</v>
      </c>
      <c r="C3">
        <v>1</v>
      </c>
      <c r="D3">
        <v>0</v>
      </c>
      <c r="E3">
        <v>1</v>
      </c>
      <c r="F3">
        <v>2</v>
      </c>
      <c r="G3" t="b">
        <v>0</v>
      </c>
      <c r="H3">
        <v>6</v>
      </c>
      <c r="I3">
        <v>1</v>
      </c>
      <c r="J3">
        <v>0.22</v>
      </c>
      <c r="K3">
        <v>0.2273</v>
      </c>
      <c r="L3">
        <v>0.64</v>
      </c>
      <c r="M3">
        <v>0.16420000000000001</v>
      </c>
      <c r="N3">
        <v>0</v>
      </c>
      <c r="O3">
        <v>15</v>
      </c>
      <c r="P3">
        <v>15</v>
      </c>
    </row>
    <row r="4" spans="1:16">
      <c r="A4">
        <v>622</v>
      </c>
      <c r="B4" s="1">
        <v>40572</v>
      </c>
      <c r="C4">
        <v>1</v>
      </c>
      <c r="D4">
        <v>0</v>
      </c>
      <c r="E4">
        <v>1</v>
      </c>
      <c r="F4">
        <v>3</v>
      </c>
      <c r="G4" t="b">
        <v>0</v>
      </c>
      <c r="H4">
        <v>6</v>
      </c>
      <c r="I4">
        <v>1</v>
      </c>
      <c r="J4">
        <v>0.2</v>
      </c>
      <c r="K4">
        <v>0.21210000000000001</v>
      </c>
      <c r="L4">
        <v>0.64</v>
      </c>
      <c r="M4">
        <v>0.1343</v>
      </c>
      <c r="N4">
        <v>3</v>
      </c>
      <c r="O4">
        <v>5</v>
      </c>
      <c r="P4">
        <v>8</v>
      </c>
    </row>
    <row r="5" spans="1:16">
      <c r="A5">
        <v>623</v>
      </c>
      <c r="B5" s="1">
        <v>40572</v>
      </c>
      <c r="C5">
        <v>1</v>
      </c>
      <c r="D5">
        <v>0</v>
      </c>
      <c r="E5">
        <v>1</v>
      </c>
      <c r="F5">
        <v>4</v>
      </c>
      <c r="G5" t="b">
        <v>0</v>
      </c>
      <c r="H5">
        <v>6</v>
      </c>
      <c r="I5">
        <v>1</v>
      </c>
      <c r="J5">
        <v>0.16</v>
      </c>
      <c r="K5">
        <v>0.18179999999999999</v>
      </c>
      <c r="L5">
        <v>0.69</v>
      </c>
      <c r="M5">
        <v>0.1045</v>
      </c>
      <c r="N5">
        <v>1</v>
      </c>
      <c r="O5">
        <v>2</v>
      </c>
      <c r="P5">
        <v>3</v>
      </c>
    </row>
    <row r="6" spans="1:16">
      <c r="A6">
        <v>624</v>
      </c>
      <c r="B6" s="1">
        <v>40572</v>
      </c>
      <c r="C6">
        <v>1</v>
      </c>
      <c r="D6">
        <v>0</v>
      </c>
      <c r="E6">
        <v>1</v>
      </c>
      <c r="F6">
        <v>6</v>
      </c>
      <c r="G6" t="b">
        <v>0</v>
      </c>
      <c r="H6">
        <v>6</v>
      </c>
      <c r="I6">
        <v>1</v>
      </c>
      <c r="J6">
        <v>0.16</v>
      </c>
      <c r="K6">
        <v>0.18179999999999999</v>
      </c>
      <c r="L6">
        <v>0.64</v>
      </c>
      <c r="M6">
        <v>0.1343</v>
      </c>
      <c r="N6">
        <v>0</v>
      </c>
      <c r="O6">
        <v>2</v>
      </c>
      <c r="P6">
        <v>2</v>
      </c>
    </row>
    <row r="7" spans="1:16">
      <c r="A7">
        <v>625</v>
      </c>
      <c r="B7" s="1">
        <v>40572</v>
      </c>
      <c r="C7">
        <v>1</v>
      </c>
      <c r="D7">
        <v>0</v>
      </c>
      <c r="E7">
        <v>1</v>
      </c>
      <c r="F7">
        <v>7</v>
      </c>
      <c r="G7" t="b">
        <v>0</v>
      </c>
      <c r="H7">
        <v>6</v>
      </c>
      <c r="I7">
        <v>1</v>
      </c>
      <c r="J7">
        <v>0.16</v>
      </c>
      <c r="K7">
        <v>0.18179999999999999</v>
      </c>
      <c r="L7">
        <v>0.59</v>
      </c>
      <c r="M7">
        <v>0.1045</v>
      </c>
      <c r="N7">
        <v>1</v>
      </c>
      <c r="O7">
        <v>4</v>
      </c>
      <c r="P7">
        <v>5</v>
      </c>
    </row>
    <row r="8" spans="1:16">
      <c r="A8">
        <v>626</v>
      </c>
      <c r="B8" s="1">
        <v>40572</v>
      </c>
      <c r="C8">
        <v>1</v>
      </c>
      <c r="D8">
        <v>0</v>
      </c>
      <c r="E8">
        <v>1</v>
      </c>
      <c r="F8">
        <v>8</v>
      </c>
      <c r="G8" t="b">
        <v>0</v>
      </c>
      <c r="H8">
        <v>6</v>
      </c>
      <c r="I8">
        <v>1</v>
      </c>
      <c r="J8">
        <v>0.18</v>
      </c>
      <c r="K8">
        <v>0.19700000000000001</v>
      </c>
      <c r="L8">
        <v>0.55000000000000004</v>
      </c>
      <c r="M8">
        <v>0.16420000000000001</v>
      </c>
      <c r="N8">
        <v>3</v>
      </c>
      <c r="O8">
        <v>31</v>
      </c>
      <c r="P8">
        <v>34</v>
      </c>
    </row>
    <row r="9" spans="1:16">
      <c r="A9">
        <v>627</v>
      </c>
      <c r="B9" s="1">
        <v>40572</v>
      </c>
      <c r="C9">
        <v>1</v>
      </c>
      <c r="D9">
        <v>0</v>
      </c>
      <c r="E9">
        <v>1</v>
      </c>
      <c r="F9">
        <v>9</v>
      </c>
      <c r="G9" t="b">
        <v>0</v>
      </c>
      <c r="H9">
        <v>6</v>
      </c>
      <c r="I9">
        <v>1</v>
      </c>
      <c r="J9">
        <v>0.18</v>
      </c>
      <c r="K9">
        <v>0.21210000000000001</v>
      </c>
      <c r="L9">
        <v>0.59</v>
      </c>
      <c r="M9">
        <v>8.9599999999999999E-2</v>
      </c>
      <c r="N9">
        <v>0</v>
      </c>
      <c r="O9">
        <v>34</v>
      </c>
      <c r="P9">
        <v>34</v>
      </c>
    </row>
    <row r="10" spans="1:16">
      <c r="A10">
        <v>628</v>
      </c>
      <c r="B10" s="1">
        <v>40572</v>
      </c>
      <c r="C10">
        <v>1</v>
      </c>
      <c r="D10">
        <v>0</v>
      </c>
      <c r="E10">
        <v>1</v>
      </c>
      <c r="F10">
        <v>10</v>
      </c>
      <c r="G10" t="b">
        <v>0</v>
      </c>
      <c r="H10">
        <v>6</v>
      </c>
      <c r="I10">
        <v>2</v>
      </c>
      <c r="J10">
        <v>0.18</v>
      </c>
      <c r="K10">
        <v>0.21210000000000001</v>
      </c>
      <c r="L10">
        <v>0.64</v>
      </c>
      <c r="M10">
        <v>0.1045</v>
      </c>
      <c r="N10">
        <v>4</v>
      </c>
      <c r="O10">
        <v>51</v>
      </c>
      <c r="P10">
        <v>55</v>
      </c>
    </row>
    <row r="11" spans="1:16">
      <c r="A11">
        <v>629</v>
      </c>
      <c r="B11" s="1">
        <v>40572</v>
      </c>
      <c r="C11">
        <v>1</v>
      </c>
      <c r="D11">
        <v>0</v>
      </c>
      <c r="E11">
        <v>1</v>
      </c>
      <c r="F11">
        <v>11</v>
      </c>
      <c r="G11" t="b">
        <v>0</v>
      </c>
      <c r="H11">
        <v>6</v>
      </c>
      <c r="I11">
        <v>2</v>
      </c>
      <c r="J11">
        <v>0.18</v>
      </c>
      <c r="K11">
        <v>0.19700000000000001</v>
      </c>
      <c r="L11">
        <v>0.64</v>
      </c>
      <c r="M11">
        <v>0.1343</v>
      </c>
      <c r="N11">
        <v>4</v>
      </c>
      <c r="O11">
        <v>60</v>
      </c>
      <c r="P11">
        <v>64</v>
      </c>
    </row>
    <row r="12" spans="1:16">
      <c r="A12">
        <v>630</v>
      </c>
      <c r="B12" s="1">
        <v>40572</v>
      </c>
      <c r="C12">
        <v>1</v>
      </c>
      <c r="D12">
        <v>0</v>
      </c>
      <c r="E12">
        <v>1</v>
      </c>
      <c r="F12">
        <v>12</v>
      </c>
      <c r="G12" t="b">
        <v>0</v>
      </c>
      <c r="H12">
        <v>6</v>
      </c>
      <c r="I12">
        <v>2</v>
      </c>
      <c r="J12">
        <v>0.2</v>
      </c>
      <c r="K12">
        <v>0.19700000000000001</v>
      </c>
      <c r="L12">
        <v>0.59</v>
      </c>
      <c r="M12">
        <v>0.19400000000000001</v>
      </c>
      <c r="N12">
        <v>12</v>
      </c>
      <c r="O12">
        <v>66</v>
      </c>
      <c r="P12">
        <v>78</v>
      </c>
    </row>
    <row r="13" spans="1:16">
      <c r="A13">
        <v>631</v>
      </c>
      <c r="B13" s="1">
        <v>40572</v>
      </c>
      <c r="C13">
        <v>1</v>
      </c>
      <c r="D13">
        <v>0</v>
      </c>
      <c r="E13">
        <v>1</v>
      </c>
      <c r="F13">
        <v>13</v>
      </c>
      <c r="G13" t="b">
        <v>0</v>
      </c>
      <c r="H13">
        <v>6</v>
      </c>
      <c r="I13">
        <v>2</v>
      </c>
      <c r="J13">
        <v>0.22</v>
      </c>
      <c r="K13">
        <v>0.2273</v>
      </c>
      <c r="L13">
        <v>0.55000000000000004</v>
      </c>
      <c r="M13">
        <v>0.16420000000000001</v>
      </c>
      <c r="N13">
        <v>9</v>
      </c>
      <c r="O13">
        <v>56</v>
      </c>
      <c r="P13">
        <v>65</v>
      </c>
    </row>
    <row r="14" spans="1:16">
      <c r="A14">
        <v>632</v>
      </c>
      <c r="B14" s="1">
        <v>40572</v>
      </c>
      <c r="C14">
        <v>1</v>
      </c>
      <c r="D14">
        <v>0</v>
      </c>
      <c r="E14">
        <v>1</v>
      </c>
      <c r="F14">
        <v>14</v>
      </c>
      <c r="G14" t="b">
        <v>0</v>
      </c>
      <c r="H14">
        <v>6</v>
      </c>
      <c r="I14">
        <v>2</v>
      </c>
      <c r="J14">
        <v>0.22</v>
      </c>
      <c r="K14">
        <v>0.2273</v>
      </c>
      <c r="L14">
        <v>0.6</v>
      </c>
      <c r="M14">
        <v>0.1343</v>
      </c>
      <c r="N14">
        <v>10</v>
      </c>
      <c r="O14">
        <v>89</v>
      </c>
      <c r="P14">
        <v>99</v>
      </c>
    </row>
    <row r="15" spans="1:16">
      <c r="A15">
        <v>633</v>
      </c>
      <c r="B15" s="1">
        <v>40572</v>
      </c>
      <c r="C15">
        <v>1</v>
      </c>
      <c r="D15">
        <v>0</v>
      </c>
      <c r="E15">
        <v>1</v>
      </c>
      <c r="F15">
        <v>15</v>
      </c>
      <c r="G15" t="b">
        <v>0</v>
      </c>
      <c r="H15">
        <v>6</v>
      </c>
      <c r="I15">
        <v>1</v>
      </c>
      <c r="J15">
        <v>0.22</v>
      </c>
      <c r="K15">
        <v>0.21210000000000001</v>
      </c>
      <c r="L15">
        <v>0.69</v>
      </c>
      <c r="M15">
        <v>0.25369999999999998</v>
      </c>
      <c r="N15">
        <v>22</v>
      </c>
      <c r="O15">
        <v>98</v>
      </c>
      <c r="P15">
        <v>120</v>
      </c>
    </row>
    <row r="16" spans="1:16">
      <c r="A16">
        <v>634</v>
      </c>
      <c r="B16" s="1">
        <v>40572</v>
      </c>
      <c r="C16">
        <v>1</v>
      </c>
      <c r="D16">
        <v>0</v>
      </c>
      <c r="E16">
        <v>1</v>
      </c>
      <c r="F16">
        <v>16</v>
      </c>
      <c r="G16" t="b">
        <v>0</v>
      </c>
      <c r="H16">
        <v>6</v>
      </c>
      <c r="I16">
        <v>1</v>
      </c>
      <c r="J16">
        <v>0.24</v>
      </c>
      <c r="K16">
        <v>0.2424</v>
      </c>
      <c r="L16">
        <v>0.6</v>
      </c>
      <c r="M16">
        <v>0.16420000000000001</v>
      </c>
      <c r="N16">
        <v>19</v>
      </c>
      <c r="O16">
        <v>88</v>
      </c>
      <c r="P16">
        <v>107</v>
      </c>
    </row>
    <row r="17" spans="1:16">
      <c r="A17">
        <v>635</v>
      </c>
      <c r="B17" s="1">
        <v>40572</v>
      </c>
      <c r="C17">
        <v>1</v>
      </c>
      <c r="D17">
        <v>0</v>
      </c>
      <c r="E17">
        <v>1</v>
      </c>
      <c r="F17">
        <v>17</v>
      </c>
      <c r="G17" t="b">
        <v>0</v>
      </c>
      <c r="H17">
        <v>6</v>
      </c>
      <c r="I17">
        <v>1</v>
      </c>
      <c r="J17">
        <v>0.24</v>
      </c>
      <c r="K17">
        <v>0.28789999999999999</v>
      </c>
      <c r="L17">
        <v>0.6</v>
      </c>
      <c r="M17">
        <v>0</v>
      </c>
      <c r="N17">
        <v>9</v>
      </c>
      <c r="O17">
        <v>82</v>
      </c>
      <c r="P17">
        <v>91</v>
      </c>
    </row>
    <row r="18" spans="1:16">
      <c r="A18">
        <v>636</v>
      </c>
      <c r="B18" s="1">
        <v>40572</v>
      </c>
      <c r="C18">
        <v>1</v>
      </c>
      <c r="D18">
        <v>0</v>
      </c>
      <c r="E18">
        <v>1</v>
      </c>
      <c r="F18">
        <v>18</v>
      </c>
      <c r="G18" t="b">
        <v>0</v>
      </c>
      <c r="H18">
        <v>6</v>
      </c>
      <c r="I18">
        <v>1</v>
      </c>
      <c r="J18">
        <v>0.22</v>
      </c>
      <c r="K18">
        <v>0.2273</v>
      </c>
      <c r="L18">
        <v>0.69</v>
      </c>
      <c r="M18">
        <v>0.1343</v>
      </c>
      <c r="N18">
        <v>9</v>
      </c>
      <c r="O18">
        <v>59</v>
      </c>
      <c r="P18">
        <v>68</v>
      </c>
    </row>
    <row r="19" spans="1:16">
      <c r="A19">
        <v>637</v>
      </c>
      <c r="B19" s="1">
        <v>40572</v>
      </c>
      <c r="C19">
        <v>1</v>
      </c>
      <c r="D19">
        <v>0</v>
      </c>
      <c r="E19">
        <v>1</v>
      </c>
      <c r="F19">
        <v>19</v>
      </c>
      <c r="G19" t="b">
        <v>0</v>
      </c>
      <c r="H19">
        <v>6</v>
      </c>
      <c r="I19">
        <v>2</v>
      </c>
      <c r="J19">
        <v>0.22</v>
      </c>
      <c r="K19">
        <v>0.21210000000000001</v>
      </c>
      <c r="L19">
        <v>0.69</v>
      </c>
      <c r="M19">
        <v>0.25369999999999998</v>
      </c>
      <c r="N19">
        <v>6</v>
      </c>
      <c r="O19">
        <v>52</v>
      </c>
      <c r="P19">
        <v>58</v>
      </c>
    </row>
    <row r="20" spans="1:16">
      <c r="A20">
        <v>638</v>
      </c>
      <c r="B20" s="1">
        <v>40572</v>
      </c>
      <c r="C20">
        <v>1</v>
      </c>
      <c r="D20">
        <v>0</v>
      </c>
      <c r="E20">
        <v>1</v>
      </c>
      <c r="F20">
        <v>20</v>
      </c>
      <c r="G20" t="b">
        <v>0</v>
      </c>
      <c r="H20">
        <v>6</v>
      </c>
      <c r="I20">
        <v>1</v>
      </c>
      <c r="J20">
        <v>0.18</v>
      </c>
      <c r="K20">
        <v>0.21210000000000001</v>
      </c>
      <c r="L20">
        <v>0.74</v>
      </c>
      <c r="M20">
        <v>8.9599999999999999E-2</v>
      </c>
      <c r="N20">
        <v>1</v>
      </c>
      <c r="O20">
        <v>42</v>
      </c>
      <c r="P20">
        <v>43</v>
      </c>
    </row>
    <row r="21" spans="1:16">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c r="A22">
        <v>640</v>
      </c>
      <c r="B22" s="1">
        <v>40572</v>
      </c>
      <c r="C22">
        <v>1</v>
      </c>
      <c r="D22">
        <v>0</v>
      </c>
      <c r="E22">
        <v>1</v>
      </c>
      <c r="F22">
        <v>22</v>
      </c>
      <c r="G22" t="b">
        <v>0</v>
      </c>
      <c r="H22">
        <v>6</v>
      </c>
      <c r="I22">
        <v>1</v>
      </c>
      <c r="J22">
        <v>0.16</v>
      </c>
      <c r="K22">
        <v>0.19700000000000001</v>
      </c>
      <c r="L22">
        <v>0.8</v>
      </c>
      <c r="M22">
        <v>8.9599999999999999E-2</v>
      </c>
      <c r="N22">
        <v>4</v>
      </c>
      <c r="O22">
        <v>28</v>
      </c>
      <c r="P22">
        <v>32</v>
      </c>
    </row>
    <row r="23" spans="1:16">
      <c r="A23">
        <v>641</v>
      </c>
      <c r="B23" s="1">
        <v>40572</v>
      </c>
      <c r="C23">
        <v>1</v>
      </c>
      <c r="D23">
        <v>0</v>
      </c>
      <c r="E23">
        <v>1</v>
      </c>
      <c r="F23">
        <v>23</v>
      </c>
      <c r="G23" t="b">
        <v>0</v>
      </c>
      <c r="H23">
        <v>6</v>
      </c>
      <c r="I23">
        <v>1</v>
      </c>
      <c r="J23">
        <v>0.16</v>
      </c>
      <c r="K23">
        <v>0.19700000000000001</v>
      </c>
      <c r="L23">
        <v>0.8</v>
      </c>
      <c r="M23">
        <v>8.9599999999999999E-2</v>
      </c>
      <c r="N23">
        <v>3</v>
      </c>
      <c r="O23">
        <v>30</v>
      </c>
      <c r="P23">
        <v>33</v>
      </c>
    </row>
    <row r="24" spans="1:16">
      <c r="A24">
        <v>642</v>
      </c>
      <c r="B24" s="1">
        <v>40573</v>
      </c>
      <c r="C24">
        <v>1</v>
      </c>
      <c r="D24">
        <v>0</v>
      </c>
      <c r="E24">
        <v>1</v>
      </c>
      <c r="F24">
        <v>0</v>
      </c>
      <c r="G24" t="b">
        <v>0</v>
      </c>
      <c r="H24">
        <v>0</v>
      </c>
      <c r="I24">
        <v>1</v>
      </c>
      <c r="J24">
        <v>0.16</v>
      </c>
      <c r="K24">
        <v>0.18179999999999999</v>
      </c>
      <c r="L24">
        <v>0.8</v>
      </c>
      <c r="M24">
        <v>0.1045</v>
      </c>
      <c r="N24">
        <v>0</v>
      </c>
      <c r="O24">
        <v>33</v>
      </c>
      <c r="P24">
        <v>33</v>
      </c>
    </row>
    <row r="25" spans="1:16">
      <c r="A25">
        <v>643</v>
      </c>
      <c r="B25" s="1">
        <v>40573</v>
      </c>
      <c r="C25">
        <v>1</v>
      </c>
      <c r="D25">
        <v>0</v>
      </c>
      <c r="E25">
        <v>1</v>
      </c>
      <c r="F25">
        <v>1</v>
      </c>
      <c r="G25" t="b">
        <v>0</v>
      </c>
      <c r="H25">
        <v>0</v>
      </c>
      <c r="I25">
        <v>1</v>
      </c>
      <c r="J25">
        <v>0.14000000000000001</v>
      </c>
      <c r="K25">
        <v>0.21210000000000001</v>
      </c>
      <c r="L25">
        <v>0.8</v>
      </c>
      <c r="M25">
        <v>0</v>
      </c>
      <c r="N25">
        <v>7</v>
      </c>
      <c r="O25">
        <v>22</v>
      </c>
      <c r="P25">
        <v>29</v>
      </c>
    </row>
    <row r="26" spans="1:16">
      <c r="A26">
        <v>644</v>
      </c>
      <c r="B26" s="1">
        <v>40573</v>
      </c>
      <c r="C26">
        <v>1</v>
      </c>
      <c r="D26">
        <v>0</v>
      </c>
      <c r="E26">
        <v>1</v>
      </c>
      <c r="F26">
        <v>2</v>
      </c>
      <c r="G26" t="b">
        <v>0</v>
      </c>
      <c r="H26">
        <v>0</v>
      </c>
      <c r="I26">
        <v>1</v>
      </c>
      <c r="J26">
        <v>0.16</v>
      </c>
      <c r="K26">
        <v>0.2273</v>
      </c>
      <c r="L26">
        <v>0.8</v>
      </c>
      <c r="M26">
        <v>0</v>
      </c>
      <c r="N26">
        <v>1</v>
      </c>
      <c r="O26">
        <v>10</v>
      </c>
      <c r="P26">
        <v>11</v>
      </c>
    </row>
    <row r="27" spans="1:16">
      <c r="A27">
        <v>645</v>
      </c>
      <c r="B27" s="1">
        <v>40573</v>
      </c>
      <c r="C27">
        <v>1</v>
      </c>
      <c r="D27">
        <v>0</v>
      </c>
      <c r="E27">
        <v>1</v>
      </c>
      <c r="F27">
        <v>3</v>
      </c>
      <c r="G27" t="b">
        <v>0</v>
      </c>
      <c r="H27">
        <v>0</v>
      </c>
      <c r="I27">
        <v>1</v>
      </c>
      <c r="J27">
        <v>0.14000000000000001</v>
      </c>
      <c r="K27">
        <v>0.21210000000000001</v>
      </c>
      <c r="L27">
        <v>0.93</v>
      </c>
      <c r="M27">
        <v>0</v>
      </c>
      <c r="N27">
        <v>1</v>
      </c>
      <c r="O27">
        <v>7</v>
      </c>
      <c r="P27">
        <v>8</v>
      </c>
    </row>
    <row r="28" spans="1:16">
      <c r="A28">
        <v>646</v>
      </c>
      <c r="B28" s="1">
        <v>40573</v>
      </c>
      <c r="C28">
        <v>1</v>
      </c>
      <c r="D28">
        <v>0</v>
      </c>
      <c r="E28">
        <v>1</v>
      </c>
      <c r="F28">
        <v>4</v>
      </c>
      <c r="G28" t="b">
        <v>0</v>
      </c>
      <c r="H28">
        <v>0</v>
      </c>
      <c r="I28">
        <v>1</v>
      </c>
      <c r="J28">
        <v>0.14000000000000001</v>
      </c>
      <c r="K28">
        <v>0.21210000000000001</v>
      </c>
      <c r="L28">
        <v>0.93</v>
      </c>
      <c r="M28">
        <v>0</v>
      </c>
      <c r="N28">
        <v>0</v>
      </c>
      <c r="O28">
        <v>1</v>
      </c>
      <c r="P28">
        <v>1</v>
      </c>
    </row>
    <row r="29" spans="1:16">
      <c r="A29">
        <v>647</v>
      </c>
      <c r="B29" s="1">
        <v>40573</v>
      </c>
      <c r="C29">
        <v>1</v>
      </c>
      <c r="D29">
        <v>0</v>
      </c>
      <c r="E29">
        <v>1</v>
      </c>
      <c r="F29">
        <v>5</v>
      </c>
      <c r="G29" t="b">
        <v>0</v>
      </c>
      <c r="H29">
        <v>0</v>
      </c>
      <c r="I29">
        <v>1</v>
      </c>
      <c r="J29">
        <v>0.14000000000000001</v>
      </c>
      <c r="K29">
        <v>0.21210000000000001</v>
      </c>
      <c r="L29">
        <v>0.86</v>
      </c>
      <c r="M29">
        <v>0</v>
      </c>
      <c r="N29">
        <v>0</v>
      </c>
      <c r="O29">
        <v>3</v>
      </c>
      <c r="P29">
        <v>3</v>
      </c>
    </row>
    <row r="30" spans="1:16">
      <c r="A30">
        <v>648</v>
      </c>
      <c r="B30" s="1">
        <v>40573</v>
      </c>
      <c r="C30">
        <v>1</v>
      </c>
      <c r="D30">
        <v>0</v>
      </c>
      <c r="E30">
        <v>1</v>
      </c>
      <c r="F30">
        <v>7</v>
      </c>
      <c r="G30" t="b">
        <v>0</v>
      </c>
      <c r="H30">
        <v>0</v>
      </c>
      <c r="I30">
        <v>1</v>
      </c>
      <c r="J30">
        <v>0.14000000000000001</v>
      </c>
      <c r="K30">
        <v>0.21210000000000001</v>
      </c>
      <c r="L30">
        <v>0.86</v>
      </c>
      <c r="M30">
        <v>0</v>
      </c>
      <c r="N30">
        <v>0</v>
      </c>
      <c r="O30">
        <v>3</v>
      </c>
      <c r="P30">
        <v>3</v>
      </c>
    </row>
    <row r="31" spans="1:16">
      <c r="A31">
        <v>649</v>
      </c>
      <c r="B31" s="1">
        <v>40573</v>
      </c>
      <c r="C31">
        <v>1</v>
      </c>
      <c r="D31">
        <v>0</v>
      </c>
      <c r="E31">
        <v>1</v>
      </c>
      <c r="F31">
        <v>8</v>
      </c>
      <c r="G31" t="b">
        <v>0</v>
      </c>
      <c r="H31">
        <v>0</v>
      </c>
      <c r="I31">
        <v>2</v>
      </c>
      <c r="J31">
        <v>0.14000000000000001</v>
      </c>
      <c r="K31">
        <v>0.21210000000000001</v>
      </c>
      <c r="L31">
        <v>0.86</v>
      </c>
      <c r="M31">
        <v>0</v>
      </c>
      <c r="N31">
        <v>1</v>
      </c>
      <c r="O31">
        <v>11</v>
      </c>
      <c r="P31">
        <v>12</v>
      </c>
    </row>
    <row r="32" spans="1:16">
      <c r="A32">
        <v>650</v>
      </c>
      <c r="B32" s="1">
        <v>40573</v>
      </c>
      <c r="C32">
        <v>1</v>
      </c>
      <c r="D32">
        <v>0</v>
      </c>
      <c r="E32">
        <v>1</v>
      </c>
      <c r="F32">
        <v>9</v>
      </c>
      <c r="G32" t="b">
        <v>0</v>
      </c>
      <c r="H32">
        <v>0</v>
      </c>
      <c r="I32">
        <v>2</v>
      </c>
      <c r="J32">
        <v>0.16</v>
      </c>
      <c r="K32">
        <v>0.2273</v>
      </c>
      <c r="L32">
        <v>0.8</v>
      </c>
      <c r="M32">
        <v>0</v>
      </c>
      <c r="N32">
        <v>4</v>
      </c>
      <c r="O32">
        <v>34</v>
      </c>
      <c r="P32">
        <v>38</v>
      </c>
    </row>
    <row r="33" spans="1:16">
      <c r="A33">
        <v>651</v>
      </c>
      <c r="B33" s="1">
        <v>40573</v>
      </c>
      <c r="C33">
        <v>1</v>
      </c>
      <c r="D33">
        <v>0</v>
      </c>
      <c r="E33">
        <v>1</v>
      </c>
      <c r="F33">
        <v>10</v>
      </c>
      <c r="G33" t="b">
        <v>0</v>
      </c>
      <c r="H33">
        <v>0</v>
      </c>
      <c r="I33">
        <v>2</v>
      </c>
      <c r="J33">
        <v>0.18</v>
      </c>
      <c r="K33">
        <v>0.2424</v>
      </c>
      <c r="L33">
        <v>0.8</v>
      </c>
      <c r="M33">
        <v>0</v>
      </c>
      <c r="N33">
        <v>7</v>
      </c>
      <c r="O33">
        <v>57</v>
      </c>
      <c r="P33">
        <v>64</v>
      </c>
    </row>
    <row r="34" spans="1:16">
      <c r="A34">
        <v>652</v>
      </c>
      <c r="B34" s="1">
        <v>40573</v>
      </c>
      <c r="C34">
        <v>1</v>
      </c>
      <c r="D34">
        <v>0</v>
      </c>
      <c r="E34">
        <v>1</v>
      </c>
      <c r="F34">
        <v>11</v>
      </c>
      <c r="G34" t="b">
        <v>0</v>
      </c>
      <c r="H34">
        <v>0</v>
      </c>
      <c r="I34">
        <v>1</v>
      </c>
      <c r="J34">
        <v>0.22</v>
      </c>
      <c r="K34">
        <v>0.2727</v>
      </c>
      <c r="L34">
        <v>0.75</v>
      </c>
      <c r="M34">
        <v>0</v>
      </c>
      <c r="N34">
        <v>9</v>
      </c>
      <c r="O34">
        <v>50</v>
      </c>
      <c r="P34">
        <v>59</v>
      </c>
    </row>
    <row r="35" spans="1:16">
      <c r="A35">
        <v>653</v>
      </c>
      <c r="B35" s="1">
        <v>40573</v>
      </c>
      <c r="C35">
        <v>1</v>
      </c>
      <c r="D35">
        <v>0</v>
      </c>
      <c r="E35">
        <v>1</v>
      </c>
      <c r="F35">
        <v>12</v>
      </c>
      <c r="G35" t="b">
        <v>0</v>
      </c>
      <c r="H35">
        <v>0</v>
      </c>
      <c r="I35">
        <v>1</v>
      </c>
      <c r="J35">
        <v>0.3</v>
      </c>
      <c r="K35">
        <v>0.31819999999999998</v>
      </c>
      <c r="L35">
        <v>0.52</v>
      </c>
      <c r="M35">
        <v>0.1045</v>
      </c>
      <c r="N35">
        <v>10</v>
      </c>
      <c r="O35">
        <v>87</v>
      </c>
      <c r="P35">
        <v>97</v>
      </c>
    </row>
    <row r="36" spans="1:16">
      <c r="A36">
        <v>654</v>
      </c>
      <c r="B36" s="1">
        <v>40573</v>
      </c>
      <c r="C36">
        <v>1</v>
      </c>
      <c r="D36">
        <v>0</v>
      </c>
      <c r="E36">
        <v>1</v>
      </c>
      <c r="F36">
        <v>13</v>
      </c>
      <c r="G36" t="b">
        <v>0</v>
      </c>
      <c r="H36">
        <v>0</v>
      </c>
      <c r="I36">
        <v>1</v>
      </c>
      <c r="J36">
        <v>0.28000000000000003</v>
      </c>
      <c r="K36">
        <v>0.28789999999999999</v>
      </c>
      <c r="L36">
        <v>0.61</v>
      </c>
      <c r="M36">
        <v>0.1045</v>
      </c>
      <c r="N36">
        <v>13</v>
      </c>
      <c r="O36">
        <v>71</v>
      </c>
      <c r="P36">
        <v>84</v>
      </c>
    </row>
    <row r="37" spans="1:16">
      <c r="A37">
        <v>655</v>
      </c>
      <c r="B37" s="1">
        <v>40573</v>
      </c>
      <c r="C37">
        <v>1</v>
      </c>
      <c r="D37">
        <v>0</v>
      </c>
      <c r="E37">
        <v>1</v>
      </c>
      <c r="F37">
        <v>14</v>
      </c>
      <c r="G37" t="b">
        <v>0</v>
      </c>
      <c r="H37">
        <v>0</v>
      </c>
      <c r="I37">
        <v>1</v>
      </c>
      <c r="J37">
        <v>0.28000000000000003</v>
      </c>
      <c r="K37">
        <v>0.30299999999999999</v>
      </c>
      <c r="L37">
        <v>0.61</v>
      </c>
      <c r="M37">
        <v>8.9599999999999999E-2</v>
      </c>
      <c r="N37">
        <v>18</v>
      </c>
      <c r="O37">
        <v>104</v>
      </c>
      <c r="P37">
        <v>122</v>
      </c>
    </row>
    <row r="38" spans="1:16">
      <c r="A38">
        <v>656</v>
      </c>
      <c r="B38" s="1">
        <v>40573</v>
      </c>
      <c r="C38">
        <v>1</v>
      </c>
      <c r="D38">
        <v>0</v>
      </c>
      <c r="E38">
        <v>1</v>
      </c>
      <c r="F38">
        <v>15</v>
      </c>
      <c r="G38" t="b">
        <v>0</v>
      </c>
      <c r="H38">
        <v>0</v>
      </c>
      <c r="I38">
        <v>1</v>
      </c>
      <c r="J38">
        <v>0.3</v>
      </c>
      <c r="K38">
        <v>0.33329999999999999</v>
      </c>
      <c r="L38">
        <v>0.56000000000000005</v>
      </c>
      <c r="M38">
        <v>0</v>
      </c>
      <c r="N38">
        <v>14</v>
      </c>
      <c r="O38">
        <v>95</v>
      </c>
      <c r="P38">
        <v>109</v>
      </c>
    </row>
    <row r="39" spans="1:16">
      <c r="A39">
        <v>657</v>
      </c>
      <c r="B39" s="1">
        <v>40573</v>
      </c>
      <c r="C39">
        <v>1</v>
      </c>
      <c r="D39">
        <v>0</v>
      </c>
      <c r="E39">
        <v>1</v>
      </c>
      <c r="F39">
        <v>16</v>
      </c>
      <c r="G39" t="b">
        <v>0</v>
      </c>
      <c r="H39">
        <v>0</v>
      </c>
      <c r="I39">
        <v>1</v>
      </c>
      <c r="J39">
        <v>0.3</v>
      </c>
      <c r="K39">
        <v>0.33329999999999999</v>
      </c>
      <c r="L39">
        <v>0.56000000000000005</v>
      </c>
      <c r="M39">
        <v>0</v>
      </c>
      <c r="N39">
        <v>19</v>
      </c>
      <c r="O39">
        <v>104</v>
      </c>
      <c r="P39">
        <v>123</v>
      </c>
    </row>
    <row r="40" spans="1:16">
      <c r="A40">
        <v>658</v>
      </c>
      <c r="B40" s="1">
        <v>40573</v>
      </c>
      <c r="C40">
        <v>1</v>
      </c>
      <c r="D40">
        <v>0</v>
      </c>
      <c r="E40">
        <v>1</v>
      </c>
      <c r="F40">
        <v>17</v>
      </c>
      <c r="G40" t="b">
        <v>0</v>
      </c>
      <c r="H40">
        <v>0</v>
      </c>
      <c r="I40">
        <v>1</v>
      </c>
      <c r="J40">
        <v>0.3</v>
      </c>
      <c r="K40">
        <v>0.28789999999999999</v>
      </c>
      <c r="L40">
        <v>0.56000000000000005</v>
      </c>
      <c r="M40">
        <v>0.19400000000000001</v>
      </c>
      <c r="N40">
        <v>6</v>
      </c>
      <c r="O40">
        <v>71</v>
      </c>
      <c r="P40">
        <v>77</v>
      </c>
    </row>
    <row r="41" spans="1:16">
      <c r="A41">
        <v>659</v>
      </c>
      <c r="B41" s="1">
        <v>40573</v>
      </c>
      <c r="C41">
        <v>1</v>
      </c>
      <c r="D41">
        <v>0</v>
      </c>
      <c r="E41">
        <v>1</v>
      </c>
      <c r="F41">
        <v>18</v>
      </c>
      <c r="G41" t="b">
        <v>0</v>
      </c>
      <c r="H41">
        <v>0</v>
      </c>
      <c r="I41">
        <v>1</v>
      </c>
      <c r="J41">
        <v>0.26</v>
      </c>
      <c r="K41">
        <v>0.2576</v>
      </c>
      <c r="L41">
        <v>0.65</v>
      </c>
      <c r="M41">
        <v>0.16420000000000001</v>
      </c>
      <c r="N41">
        <v>8</v>
      </c>
      <c r="O41">
        <v>57</v>
      </c>
      <c r="P41">
        <v>65</v>
      </c>
    </row>
    <row r="42" spans="1:16">
      <c r="A42">
        <v>660</v>
      </c>
      <c r="B42" s="1">
        <v>40573</v>
      </c>
      <c r="C42">
        <v>1</v>
      </c>
      <c r="D42">
        <v>0</v>
      </c>
      <c r="E42">
        <v>1</v>
      </c>
      <c r="F42">
        <v>19</v>
      </c>
      <c r="G42" t="b">
        <v>0</v>
      </c>
      <c r="H42">
        <v>0</v>
      </c>
      <c r="I42">
        <v>1</v>
      </c>
      <c r="J42">
        <v>0.26</v>
      </c>
      <c r="K42">
        <v>0.2576</v>
      </c>
      <c r="L42">
        <v>0.65</v>
      </c>
      <c r="M42">
        <v>0.19400000000000001</v>
      </c>
      <c r="N42">
        <v>9</v>
      </c>
      <c r="O42">
        <v>46</v>
      </c>
      <c r="P42">
        <v>55</v>
      </c>
    </row>
    <row r="43" spans="1:16">
      <c r="A43">
        <v>661</v>
      </c>
      <c r="B43" s="1">
        <v>40573</v>
      </c>
      <c r="C43">
        <v>1</v>
      </c>
      <c r="D43">
        <v>0</v>
      </c>
      <c r="E43">
        <v>1</v>
      </c>
      <c r="F43">
        <v>20</v>
      </c>
      <c r="G43" t="b">
        <v>0</v>
      </c>
      <c r="H43">
        <v>0</v>
      </c>
      <c r="I43">
        <v>2</v>
      </c>
      <c r="J43">
        <v>0.26</v>
      </c>
      <c r="K43">
        <v>0.2727</v>
      </c>
      <c r="L43">
        <v>0.65</v>
      </c>
      <c r="M43">
        <v>0.1045</v>
      </c>
      <c r="N43">
        <v>3</v>
      </c>
      <c r="O43">
        <v>30</v>
      </c>
      <c r="P43">
        <v>33</v>
      </c>
    </row>
    <row r="44" spans="1:16">
      <c r="A44">
        <v>662</v>
      </c>
      <c r="B44" s="1">
        <v>40573</v>
      </c>
      <c r="C44">
        <v>1</v>
      </c>
      <c r="D44">
        <v>0</v>
      </c>
      <c r="E44">
        <v>1</v>
      </c>
      <c r="F44">
        <v>21</v>
      </c>
      <c r="G44" t="b">
        <v>0</v>
      </c>
      <c r="H44">
        <v>0</v>
      </c>
      <c r="I44">
        <v>2</v>
      </c>
      <c r="J44">
        <v>0.24</v>
      </c>
      <c r="K44">
        <v>0.2424</v>
      </c>
      <c r="L44">
        <v>0.7</v>
      </c>
      <c r="M44">
        <v>0.16420000000000001</v>
      </c>
      <c r="N44">
        <v>3</v>
      </c>
      <c r="O44">
        <v>25</v>
      </c>
      <c r="P44">
        <v>28</v>
      </c>
    </row>
    <row r="45" spans="1:16">
      <c r="A45">
        <v>663</v>
      </c>
      <c r="B45" s="1">
        <v>40573</v>
      </c>
      <c r="C45">
        <v>1</v>
      </c>
      <c r="D45">
        <v>0</v>
      </c>
      <c r="E45">
        <v>1</v>
      </c>
      <c r="F45">
        <v>22</v>
      </c>
      <c r="G45" t="b">
        <v>0</v>
      </c>
      <c r="H45">
        <v>0</v>
      </c>
      <c r="I45">
        <v>2</v>
      </c>
      <c r="J45">
        <v>0.24</v>
      </c>
      <c r="K45">
        <v>0.2273</v>
      </c>
      <c r="L45">
        <v>0.7</v>
      </c>
      <c r="M45">
        <v>0.19400000000000001</v>
      </c>
      <c r="N45">
        <v>2</v>
      </c>
      <c r="O45">
        <v>19</v>
      </c>
      <c r="P45">
        <v>21</v>
      </c>
    </row>
    <row r="46" spans="1:16">
      <c r="A46">
        <v>664</v>
      </c>
      <c r="B46" s="1">
        <v>40573</v>
      </c>
      <c r="C46">
        <v>1</v>
      </c>
      <c r="D46">
        <v>0</v>
      </c>
      <c r="E46">
        <v>1</v>
      </c>
      <c r="F46">
        <v>23</v>
      </c>
      <c r="G46" t="b">
        <v>0</v>
      </c>
      <c r="H46">
        <v>0</v>
      </c>
      <c r="I46">
        <v>2</v>
      </c>
      <c r="J46">
        <v>0.24</v>
      </c>
      <c r="K46">
        <v>0.21210000000000001</v>
      </c>
      <c r="L46">
        <v>0.65</v>
      </c>
      <c r="M46">
        <v>0.28360000000000002</v>
      </c>
      <c r="N46">
        <v>5</v>
      </c>
      <c r="O46">
        <v>16</v>
      </c>
      <c r="P46">
        <v>21</v>
      </c>
    </row>
    <row r="47" spans="1:16">
      <c r="A47">
        <v>665</v>
      </c>
      <c r="B47" s="1">
        <v>40574</v>
      </c>
      <c r="C47">
        <v>1</v>
      </c>
      <c r="D47">
        <v>0</v>
      </c>
      <c r="E47">
        <v>1</v>
      </c>
      <c r="F47">
        <v>0</v>
      </c>
      <c r="G47" t="b">
        <v>0</v>
      </c>
      <c r="H47">
        <v>1</v>
      </c>
      <c r="I47">
        <v>2</v>
      </c>
      <c r="J47">
        <v>0.24</v>
      </c>
      <c r="K47">
        <v>0.2273</v>
      </c>
      <c r="L47">
        <v>0.65</v>
      </c>
      <c r="M47">
        <v>0.22389999999999999</v>
      </c>
      <c r="N47">
        <v>1</v>
      </c>
      <c r="O47">
        <v>6</v>
      </c>
      <c r="P47">
        <v>7</v>
      </c>
    </row>
    <row r="48" spans="1:16">
      <c r="A48">
        <v>666</v>
      </c>
      <c r="B48" s="1">
        <v>40574</v>
      </c>
      <c r="C48">
        <v>1</v>
      </c>
      <c r="D48">
        <v>0</v>
      </c>
      <c r="E48">
        <v>1</v>
      </c>
      <c r="F48">
        <v>1</v>
      </c>
      <c r="G48" t="b">
        <v>0</v>
      </c>
      <c r="H48">
        <v>1</v>
      </c>
      <c r="I48">
        <v>1</v>
      </c>
      <c r="J48">
        <v>0.22</v>
      </c>
      <c r="K48">
        <v>0.21210000000000001</v>
      </c>
      <c r="L48">
        <v>0.64</v>
      </c>
      <c r="M48">
        <v>0.25369999999999998</v>
      </c>
      <c r="N48">
        <v>2</v>
      </c>
      <c r="O48">
        <v>5</v>
      </c>
      <c r="P48">
        <v>7</v>
      </c>
    </row>
    <row r="49" spans="1:16">
      <c r="A49">
        <v>667</v>
      </c>
      <c r="B49" s="1">
        <v>40574</v>
      </c>
      <c r="C49">
        <v>1</v>
      </c>
      <c r="D49">
        <v>0</v>
      </c>
      <c r="E49">
        <v>1</v>
      </c>
      <c r="F49">
        <v>2</v>
      </c>
      <c r="G49" t="b">
        <v>0</v>
      </c>
      <c r="H49">
        <v>1</v>
      </c>
      <c r="I49">
        <v>1</v>
      </c>
      <c r="J49">
        <v>0.22</v>
      </c>
      <c r="K49">
        <v>0.2273</v>
      </c>
      <c r="L49">
        <v>0.64</v>
      </c>
      <c r="M49">
        <v>0.19400000000000001</v>
      </c>
      <c r="N49">
        <v>0</v>
      </c>
      <c r="O49">
        <v>1</v>
      </c>
      <c r="P49">
        <v>1</v>
      </c>
    </row>
    <row r="50" spans="1:16">
      <c r="A50">
        <v>668</v>
      </c>
      <c r="B50" s="1">
        <v>40574</v>
      </c>
      <c r="C50">
        <v>1</v>
      </c>
      <c r="D50">
        <v>0</v>
      </c>
      <c r="E50">
        <v>1</v>
      </c>
      <c r="F50">
        <v>3</v>
      </c>
      <c r="G50" t="b">
        <v>0</v>
      </c>
      <c r="H50">
        <v>1</v>
      </c>
      <c r="I50">
        <v>1</v>
      </c>
      <c r="J50">
        <v>0.22</v>
      </c>
      <c r="K50">
        <v>0.2273</v>
      </c>
      <c r="L50">
        <v>0.64</v>
      </c>
      <c r="M50">
        <v>0.19400000000000001</v>
      </c>
      <c r="N50">
        <v>0</v>
      </c>
      <c r="O50">
        <v>2</v>
      </c>
      <c r="P50">
        <v>2</v>
      </c>
    </row>
    <row r="51" spans="1:16">
      <c r="A51">
        <v>669</v>
      </c>
      <c r="B51" s="1">
        <v>40574</v>
      </c>
      <c r="C51">
        <v>1</v>
      </c>
      <c r="D51">
        <v>0</v>
      </c>
      <c r="E51">
        <v>1</v>
      </c>
      <c r="F51">
        <v>4</v>
      </c>
      <c r="G51" t="b">
        <v>0</v>
      </c>
      <c r="H51">
        <v>1</v>
      </c>
      <c r="I51">
        <v>1</v>
      </c>
      <c r="J51">
        <v>0.2</v>
      </c>
      <c r="K51">
        <v>0.19700000000000001</v>
      </c>
      <c r="L51">
        <v>0.59</v>
      </c>
      <c r="M51">
        <v>0.22389999999999999</v>
      </c>
      <c r="N51">
        <v>0</v>
      </c>
      <c r="O51">
        <v>2</v>
      </c>
      <c r="P51">
        <v>2</v>
      </c>
    </row>
    <row r="52" spans="1:16">
      <c r="A52">
        <v>670</v>
      </c>
      <c r="B52" s="1">
        <v>40574</v>
      </c>
      <c r="C52">
        <v>1</v>
      </c>
      <c r="D52">
        <v>0</v>
      </c>
      <c r="E52">
        <v>1</v>
      </c>
      <c r="F52">
        <v>5</v>
      </c>
      <c r="G52" t="b">
        <v>0</v>
      </c>
      <c r="H52">
        <v>1</v>
      </c>
      <c r="I52">
        <v>1</v>
      </c>
      <c r="J52">
        <v>0.18</v>
      </c>
      <c r="K52">
        <v>0.16669999999999999</v>
      </c>
      <c r="L52">
        <v>0.64</v>
      </c>
      <c r="M52">
        <v>0.28360000000000002</v>
      </c>
      <c r="N52">
        <v>0</v>
      </c>
      <c r="O52">
        <v>8</v>
      </c>
      <c r="P52">
        <v>8</v>
      </c>
    </row>
    <row r="53" spans="1:16">
      <c r="A53">
        <v>671</v>
      </c>
      <c r="B53" s="1">
        <v>40574</v>
      </c>
      <c r="C53">
        <v>1</v>
      </c>
      <c r="D53">
        <v>0</v>
      </c>
      <c r="E53">
        <v>1</v>
      </c>
      <c r="F53">
        <v>6</v>
      </c>
      <c r="G53" t="b">
        <v>0</v>
      </c>
      <c r="H53">
        <v>1</v>
      </c>
      <c r="I53">
        <v>1</v>
      </c>
      <c r="J53">
        <v>0.16</v>
      </c>
      <c r="K53">
        <v>0.13639999999999999</v>
      </c>
      <c r="L53">
        <v>0.69</v>
      </c>
      <c r="M53">
        <v>0.32840000000000003</v>
      </c>
      <c r="N53">
        <v>0</v>
      </c>
      <c r="O53">
        <v>37</v>
      </c>
      <c r="P53">
        <v>37</v>
      </c>
    </row>
    <row r="54" spans="1:16">
      <c r="A54">
        <v>672</v>
      </c>
      <c r="B54" s="1">
        <v>40574</v>
      </c>
      <c r="C54">
        <v>1</v>
      </c>
      <c r="D54">
        <v>0</v>
      </c>
      <c r="E54">
        <v>1</v>
      </c>
      <c r="F54">
        <v>7</v>
      </c>
      <c r="G54" t="b">
        <v>0</v>
      </c>
      <c r="H54">
        <v>1</v>
      </c>
      <c r="I54">
        <v>2</v>
      </c>
      <c r="J54">
        <v>0.16</v>
      </c>
      <c r="K54">
        <v>0.13639999999999999</v>
      </c>
      <c r="L54">
        <v>0.64</v>
      </c>
      <c r="M54">
        <v>0.28360000000000002</v>
      </c>
      <c r="N54">
        <v>1</v>
      </c>
      <c r="O54">
        <v>71</v>
      </c>
      <c r="P54">
        <v>72</v>
      </c>
    </row>
    <row r="55" spans="1:16">
      <c r="A55">
        <v>673</v>
      </c>
      <c r="B55" s="1">
        <v>40574</v>
      </c>
      <c r="C55">
        <v>1</v>
      </c>
      <c r="D55">
        <v>0</v>
      </c>
      <c r="E55">
        <v>1</v>
      </c>
      <c r="F55">
        <v>8</v>
      </c>
      <c r="G55" t="b">
        <v>0</v>
      </c>
      <c r="H55">
        <v>1</v>
      </c>
      <c r="I55">
        <v>2</v>
      </c>
      <c r="J55">
        <v>0.16</v>
      </c>
      <c r="K55">
        <v>0.13639999999999999</v>
      </c>
      <c r="L55">
        <v>0.59</v>
      </c>
      <c r="M55">
        <v>0.28360000000000002</v>
      </c>
      <c r="N55">
        <v>3</v>
      </c>
      <c r="O55">
        <v>182</v>
      </c>
      <c r="P55">
        <v>185</v>
      </c>
    </row>
    <row r="56" spans="1:16">
      <c r="A56">
        <v>674</v>
      </c>
      <c r="B56" s="1">
        <v>40574</v>
      </c>
      <c r="C56">
        <v>1</v>
      </c>
      <c r="D56">
        <v>0</v>
      </c>
      <c r="E56">
        <v>1</v>
      </c>
      <c r="F56">
        <v>9</v>
      </c>
      <c r="G56" t="b">
        <v>0</v>
      </c>
      <c r="H56">
        <v>1</v>
      </c>
      <c r="I56">
        <v>2</v>
      </c>
      <c r="J56">
        <v>0.16</v>
      </c>
      <c r="K56">
        <v>0.13639999999999999</v>
      </c>
      <c r="L56">
        <v>0.59</v>
      </c>
      <c r="M56">
        <v>0.29849999999999999</v>
      </c>
      <c r="N56">
        <v>0</v>
      </c>
      <c r="O56">
        <v>112</v>
      </c>
      <c r="P56">
        <v>112</v>
      </c>
    </row>
    <row r="57" spans="1:16">
      <c r="A57">
        <v>675</v>
      </c>
      <c r="B57" s="1">
        <v>40574</v>
      </c>
      <c r="C57">
        <v>1</v>
      </c>
      <c r="D57">
        <v>0</v>
      </c>
      <c r="E57">
        <v>1</v>
      </c>
      <c r="F57">
        <v>10</v>
      </c>
      <c r="G57" t="b">
        <v>0</v>
      </c>
      <c r="H57">
        <v>1</v>
      </c>
      <c r="I57">
        <v>2</v>
      </c>
      <c r="J57">
        <v>0.16</v>
      </c>
      <c r="K57">
        <v>0.1515</v>
      </c>
      <c r="L57">
        <v>0.59</v>
      </c>
      <c r="M57">
        <v>0.19400000000000001</v>
      </c>
      <c r="N57">
        <v>1</v>
      </c>
      <c r="O57">
        <v>68</v>
      </c>
      <c r="P57">
        <v>69</v>
      </c>
    </row>
    <row r="58" spans="1:16">
      <c r="A58">
        <v>676</v>
      </c>
      <c r="B58" s="1">
        <v>40574</v>
      </c>
      <c r="C58">
        <v>1</v>
      </c>
      <c r="D58">
        <v>0</v>
      </c>
      <c r="E58">
        <v>1</v>
      </c>
      <c r="F58">
        <v>11</v>
      </c>
      <c r="G58" t="b">
        <v>0</v>
      </c>
      <c r="H58">
        <v>1</v>
      </c>
      <c r="I58">
        <v>2</v>
      </c>
      <c r="J58">
        <v>0.16</v>
      </c>
      <c r="K58">
        <v>0.1515</v>
      </c>
      <c r="L58">
        <v>0.59</v>
      </c>
      <c r="M58">
        <v>0.19400000000000001</v>
      </c>
      <c r="N58">
        <v>2</v>
      </c>
      <c r="O58">
        <v>46</v>
      </c>
      <c r="P58">
        <v>48</v>
      </c>
    </row>
    <row r="59" spans="1:16">
      <c r="A59">
        <v>677</v>
      </c>
      <c r="B59" s="1">
        <v>40574</v>
      </c>
      <c r="C59">
        <v>1</v>
      </c>
      <c r="D59">
        <v>0</v>
      </c>
      <c r="E59">
        <v>1</v>
      </c>
      <c r="F59">
        <v>12</v>
      </c>
      <c r="G59" t="b">
        <v>0</v>
      </c>
      <c r="H59">
        <v>1</v>
      </c>
      <c r="I59">
        <v>2</v>
      </c>
      <c r="J59">
        <v>0.18</v>
      </c>
      <c r="K59">
        <v>0.21210000000000001</v>
      </c>
      <c r="L59">
        <v>0.55000000000000004</v>
      </c>
      <c r="M59">
        <v>0.1045</v>
      </c>
      <c r="N59">
        <v>6</v>
      </c>
      <c r="O59">
        <v>62</v>
      </c>
      <c r="P59">
        <v>68</v>
      </c>
    </row>
    <row r="60" spans="1:16">
      <c r="A60">
        <v>678</v>
      </c>
      <c r="B60" s="1">
        <v>40574</v>
      </c>
      <c r="C60">
        <v>1</v>
      </c>
      <c r="D60">
        <v>0</v>
      </c>
      <c r="E60">
        <v>1</v>
      </c>
      <c r="F60">
        <v>13</v>
      </c>
      <c r="G60" t="b">
        <v>0</v>
      </c>
      <c r="H60">
        <v>1</v>
      </c>
      <c r="I60">
        <v>2</v>
      </c>
      <c r="J60">
        <v>0.16</v>
      </c>
      <c r="K60">
        <v>0.2273</v>
      </c>
      <c r="L60">
        <v>0.59</v>
      </c>
      <c r="M60">
        <v>0</v>
      </c>
      <c r="N60">
        <v>2</v>
      </c>
      <c r="O60">
        <v>52</v>
      </c>
      <c r="P60">
        <v>54</v>
      </c>
    </row>
    <row r="61" spans="1:16">
      <c r="A61">
        <v>679</v>
      </c>
      <c r="B61" s="1">
        <v>40574</v>
      </c>
      <c r="C61">
        <v>1</v>
      </c>
      <c r="D61">
        <v>0</v>
      </c>
      <c r="E61">
        <v>1</v>
      </c>
      <c r="F61">
        <v>14</v>
      </c>
      <c r="G61" t="b">
        <v>0</v>
      </c>
      <c r="H61">
        <v>1</v>
      </c>
      <c r="I61">
        <v>2</v>
      </c>
      <c r="J61">
        <v>0.18</v>
      </c>
      <c r="K61">
        <v>0.19700000000000001</v>
      </c>
      <c r="L61">
        <v>0.55000000000000004</v>
      </c>
      <c r="M61">
        <v>0.1343</v>
      </c>
      <c r="N61">
        <v>1</v>
      </c>
      <c r="O61">
        <v>85</v>
      </c>
      <c r="P61">
        <v>86</v>
      </c>
    </row>
    <row r="62" spans="1:16">
      <c r="A62">
        <v>680</v>
      </c>
      <c r="B62" s="1">
        <v>40574</v>
      </c>
      <c r="C62">
        <v>1</v>
      </c>
      <c r="D62">
        <v>0</v>
      </c>
      <c r="E62">
        <v>1</v>
      </c>
      <c r="F62">
        <v>15</v>
      </c>
      <c r="G62" t="b">
        <v>0</v>
      </c>
      <c r="H62">
        <v>1</v>
      </c>
      <c r="I62">
        <v>2</v>
      </c>
      <c r="J62">
        <v>0.16</v>
      </c>
      <c r="K62">
        <v>0.18179999999999999</v>
      </c>
      <c r="L62">
        <v>0.59</v>
      </c>
      <c r="M62">
        <v>0.1343</v>
      </c>
      <c r="N62">
        <v>3</v>
      </c>
      <c r="O62">
        <v>41</v>
      </c>
      <c r="P62">
        <v>44</v>
      </c>
    </row>
    <row r="63" spans="1:16">
      <c r="A63">
        <v>681</v>
      </c>
      <c r="B63" s="1">
        <v>40574</v>
      </c>
      <c r="C63">
        <v>1</v>
      </c>
      <c r="D63">
        <v>0</v>
      </c>
      <c r="E63">
        <v>1</v>
      </c>
      <c r="F63">
        <v>16</v>
      </c>
      <c r="G63" t="b">
        <v>0</v>
      </c>
      <c r="H63">
        <v>1</v>
      </c>
      <c r="I63">
        <v>2</v>
      </c>
      <c r="J63">
        <v>0.16</v>
      </c>
      <c r="K63">
        <v>0.18179999999999999</v>
      </c>
      <c r="L63">
        <v>0.56000000000000005</v>
      </c>
      <c r="M63">
        <v>0.19400000000000001</v>
      </c>
      <c r="N63">
        <v>3</v>
      </c>
      <c r="O63">
        <v>83</v>
      </c>
      <c r="P63">
        <v>86</v>
      </c>
    </row>
    <row r="64" spans="1:16">
      <c r="A64">
        <v>682</v>
      </c>
      <c r="B64" s="1">
        <v>40574</v>
      </c>
      <c r="C64">
        <v>1</v>
      </c>
      <c r="D64">
        <v>0</v>
      </c>
      <c r="E64">
        <v>1</v>
      </c>
      <c r="F64">
        <v>17</v>
      </c>
      <c r="G64" t="b">
        <v>0</v>
      </c>
      <c r="H64">
        <v>1</v>
      </c>
      <c r="I64">
        <v>2</v>
      </c>
      <c r="J64">
        <v>0.16</v>
      </c>
      <c r="K64">
        <v>0.1515</v>
      </c>
      <c r="L64">
        <v>0.59</v>
      </c>
      <c r="M64">
        <v>0.19400000000000001</v>
      </c>
      <c r="N64">
        <v>6</v>
      </c>
      <c r="O64">
        <v>155</v>
      </c>
      <c r="P64">
        <v>161</v>
      </c>
    </row>
    <row r="65" spans="1:16">
      <c r="A65">
        <v>683</v>
      </c>
      <c r="B65" s="1">
        <v>40574</v>
      </c>
      <c r="C65">
        <v>1</v>
      </c>
      <c r="D65">
        <v>0</v>
      </c>
      <c r="E65">
        <v>1</v>
      </c>
      <c r="F65">
        <v>18</v>
      </c>
      <c r="G65" t="b">
        <v>0</v>
      </c>
      <c r="H65">
        <v>1</v>
      </c>
      <c r="I65">
        <v>2</v>
      </c>
      <c r="J65">
        <v>0.16</v>
      </c>
      <c r="K65">
        <v>0.1515</v>
      </c>
      <c r="L65">
        <v>0.55000000000000004</v>
      </c>
      <c r="M65">
        <v>0.22389999999999999</v>
      </c>
      <c r="N65">
        <v>3</v>
      </c>
      <c r="O65">
        <v>153</v>
      </c>
      <c r="P65">
        <v>156</v>
      </c>
    </row>
    <row r="66" spans="1:16">
      <c r="A66">
        <v>684</v>
      </c>
      <c r="B66" s="1">
        <v>40574</v>
      </c>
      <c r="C66">
        <v>1</v>
      </c>
      <c r="D66">
        <v>0</v>
      </c>
      <c r="E66">
        <v>1</v>
      </c>
      <c r="F66">
        <v>19</v>
      </c>
      <c r="G66" t="b">
        <v>0</v>
      </c>
      <c r="H66">
        <v>1</v>
      </c>
      <c r="I66">
        <v>1</v>
      </c>
      <c r="J66">
        <v>0.3</v>
      </c>
      <c r="K66">
        <v>0.31819999999999998</v>
      </c>
      <c r="L66">
        <v>0.61</v>
      </c>
      <c r="M66">
        <v>0.1045</v>
      </c>
      <c r="N66">
        <v>3</v>
      </c>
      <c r="O66">
        <v>108</v>
      </c>
      <c r="P66">
        <v>111</v>
      </c>
    </row>
    <row r="67" spans="1:16">
      <c r="A67">
        <v>685</v>
      </c>
      <c r="B67" s="1">
        <v>40574</v>
      </c>
      <c r="C67">
        <v>1</v>
      </c>
      <c r="D67">
        <v>0</v>
      </c>
      <c r="E67">
        <v>1</v>
      </c>
      <c r="F67">
        <v>20</v>
      </c>
      <c r="G67" t="b">
        <v>0</v>
      </c>
      <c r="H67">
        <v>1</v>
      </c>
      <c r="I67">
        <v>3</v>
      </c>
      <c r="J67">
        <v>0.16</v>
      </c>
      <c r="K67">
        <v>0.16669999999999999</v>
      </c>
      <c r="L67">
        <v>0.59</v>
      </c>
      <c r="M67">
        <v>0.16420000000000001</v>
      </c>
      <c r="N67">
        <v>0</v>
      </c>
      <c r="O67">
        <v>78</v>
      </c>
      <c r="P67">
        <v>78</v>
      </c>
    </row>
    <row r="68" spans="1:16">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c r="A69">
        <v>687</v>
      </c>
      <c r="B69" s="1">
        <v>40574</v>
      </c>
      <c r="C69">
        <v>1</v>
      </c>
      <c r="D69">
        <v>0</v>
      </c>
      <c r="E69">
        <v>1</v>
      </c>
      <c r="F69">
        <v>22</v>
      </c>
      <c r="G69" t="b">
        <v>0</v>
      </c>
      <c r="H69">
        <v>1</v>
      </c>
      <c r="I69">
        <v>2</v>
      </c>
      <c r="J69">
        <v>0.16</v>
      </c>
      <c r="K69">
        <v>0.18179999999999999</v>
      </c>
      <c r="L69">
        <v>0.59</v>
      </c>
      <c r="M69">
        <v>0.1045</v>
      </c>
      <c r="N69">
        <v>0</v>
      </c>
      <c r="O69">
        <v>34</v>
      </c>
      <c r="P69">
        <v>34</v>
      </c>
    </row>
    <row r="70" spans="1:16">
      <c r="A70">
        <v>688</v>
      </c>
      <c r="B70" s="1">
        <v>40574</v>
      </c>
      <c r="C70">
        <v>1</v>
      </c>
      <c r="D70">
        <v>0</v>
      </c>
      <c r="E70">
        <v>1</v>
      </c>
      <c r="F70">
        <v>23</v>
      </c>
      <c r="G70" t="b">
        <v>0</v>
      </c>
      <c r="H70">
        <v>1</v>
      </c>
      <c r="I70">
        <v>2</v>
      </c>
      <c r="J70">
        <v>0.16</v>
      </c>
      <c r="K70">
        <v>0.19700000000000001</v>
      </c>
      <c r="L70">
        <v>0.64</v>
      </c>
      <c r="M70">
        <v>8.9599999999999999E-2</v>
      </c>
      <c r="N70">
        <v>2</v>
      </c>
      <c r="O70">
        <v>15</v>
      </c>
      <c r="P70">
        <v>17</v>
      </c>
    </row>
    <row r="71" spans="1:16">
      <c r="A71">
        <v>689</v>
      </c>
      <c r="B71" s="1">
        <v>40575</v>
      </c>
      <c r="C71">
        <v>1</v>
      </c>
      <c r="D71">
        <v>0</v>
      </c>
      <c r="E71">
        <v>2</v>
      </c>
      <c r="F71">
        <v>0</v>
      </c>
      <c r="G71" t="b">
        <v>0</v>
      </c>
      <c r="H71">
        <v>2</v>
      </c>
      <c r="I71">
        <v>2</v>
      </c>
      <c r="J71">
        <v>0.16</v>
      </c>
      <c r="K71">
        <v>0.18179999999999999</v>
      </c>
      <c r="L71">
        <v>0.64</v>
      </c>
      <c r="M71">
        <v>0.1045</v>
      </c>
      <c r="N71">
        <v>2</v>
      </c>
      <c r="O71">
        <v>6</v>
      </c>
      <c r="P71">
        <v>8</v>
      </c>
    </row>
    <row r="72" spans="1:16">
      <c r="A72">
        <v>690</v>
      </c>
      <c r="B72" s="1">
        <v>40575</v>
      </c>
      <c r="C72">
        <v>1</v>
      </c>
      <c r="D72">
        <v>0</v>
      </c>
      <c r="E72">
        <v>2</v>
      </c>
      <c r="F72">
        <v>1</v>
      </c>
      <c r="G72" t="b">
        <v>0</v>
      </c>
      <c r="H72">
        <v>2</v>
      </c>
      <c r="I72">
        <v>2</v>
      </c>
      <c r="J72">
        <v>0.16</v>
      </c>
      <c r="K72">
        <v>0.18179999999999999</v>
      </c>
      <c r="L72">
        <v>0.69</v>
      </c>
      <c r="M72">
        <v>0.1045</v>
      </c>
      <c r="N72">
        <v>0</v>
      </c>
      <c r="O72">
        <v>3</v>
      </c>
      <c r="P72">
        <v>3</v>
      </c>
    </row>
    <row r="73" spans="1:16">
      <c r="A73">
        <v>691</v>
      </c>
      <c r="B73" s="1">
        <v>40575</v>
      </c>
      <c r="C73">
        <v>1</v>
      </c>
      <c r="D73">
        <v>0</v>
      </c>
      <c r="E73">
        <v>2</v>
      </c>
      <c r="F73">
        <v>2</v>
      </c>
      <c r="G73" t="b">
        <v>0</v>
      </c>
      <c r="H73">
        <v>2</v>
      </c>
      <c r="I73">
        <v>2</v>
      </c>
      <c r="J73">
        <v>0.16</v>
      </c>
      <c r="K73">
        <v>0.2273</v>
      </c>
      <c r="L73">
        <v>0.69</v>
      </c>
      <c r="M73">
        <v>0</v>
      </c>
      <c r="N73">
        <v>0</v>
      </c>
      <c r="O73">
        <v>2</v>
      </c>
      <c r="P73">
        <v>2</v>
      </c>
    </row>
    <row r="74" spans="1:16">
      <c r="A74">
        <v>692</v>
      </c>
      <c r="B74" s="1">
        <v>40575</v>
      </c>
      <c r="C74">
        <v>1</v>
      </c>
      <c r="D74">
        <v>0</v>
      </c>
      <c r="E74">
        <v>2</v>
      </c>
      <c r="F74">
        <v>3</v>
      </c>
      <c r="G74" t="b">
        <v>0</v>
      </c>
      <c r="H74">
        <v>2</v>
      </c>
      <c r="I74">
        <v>2</v>
      </c>
      <c r="J74">
        <v>0.16</v>
      </c>
      <c r="K74">
        <v>0.2273</v>
      </c>
      <c r="L74">
        <v>0.69</v>
      </c>
      <c r="M74">
        <v>0</v>
      </c>
      <c r="N74">
        <v>0</v>
      </c>
      <c r="O74">
        <v>2</v>
      </c>
      <c r="P74">
        <v>2</v>
      </c>
    </row>
    <row r="75" spans="1:16">
      <c r="A75">
        <v>693</v>
      </c>
      <c r="B75" s="1">
        <v>40575</v>
      </c>
      <c r="C75">
        <v>1</v>
      </c>
      <c r="D75">
        <v>0</v>
      </c>
      <c r="E75">
        <v>2</v>
      </c>
      <c r="F75">
        <v>5</v>
      </c>
      <c r="G75" t="b">
        <v>0</v>
      </c>
      <c r="H75">
        <v>2</v>
      </c>
      <c r="I75">
        <v>3</v>
      </c>
      <c r="J75">
        <v>0.14000000000000001</v>
      </c>
      <c r="K75">
        <v>0.21210000000000001</v>
      </c>
      <c r="L75">
        <v>0.93</v>
      </c>
      <c r="M75">
        <v>0</v>
      </c>
      <c r="N75">
        <v>0</v>
      </c>
      <c r="O75">
        <v>3</v>
      </c>
      <c r="P75">
        <v>3</v>
      </c>
    </row>
    <row r="76" spans="1:16">
      <c r="A76">
        <v>694</v>
      </c>
      <c r="B76" s="1">
        <v>40575</v>
      </c>
      <c r="C76">
        <v>1</v>
      </c>
      <c r="D76">
        <v>0</v>
      </c>
      <c r="E76">
        <v>2</v>
      </c>
      <c r="F76">
        <v>6</v>
      </c>
      <c r="G76" t="b">
        <v>0</v>
      </c>
      <c r="H76">
        <v>2</v>
      </c>
      <c r="I76">
        <v>3</v>
      </c>
      <c r="J76">
        <v>0.14000000000000001</v>
      </c>
      <c r="K76">
        <v>0.21210000000000001</v>
      </c>
      <c r="L76">
        <v>0.93</v>
      </c>
      <c r="M76">
        <v>0</v>
      </c>
      <c r="N76">
        <v>0</v>
      </c>
      <c r="O76">
        <v>22</v>
      </c>
      <c r="P76">
        <v>22</v>
      </c>
    </row>
    <row r="77" spans="1:16">
      <c r="A77">
        <v>695</v>
      </c>
      <c r="B77" s="1">
        <v>40575</v>
      </c>
      <c r="C77">
        <v>1</v>
      </c>
      <c r="D77">
        <v>0</v>
      </c>
      <c r="E77">
        <v>2</v>
      </c>
      <c r="F77">
        <v>7</v>
      </c>
      <c r="G77" t="b">
        <v>0</v>
      </c>
      <c r="H77">
        <v>2</v>
      </c>
      <c r="I77">
        <v>3</v>
      </c>
      <c r="J77">
        <v>0.16</v>
      </c>
      <c r="K77">
        <v>0.2273</v>
      </c>
      <c r="L77">
        <v>0.93</v>
      </c>
      <c r="M77">
        <v>0</v>
      </c>
      <c r="N77">
        <v>0</v>
      </c>
      <c r="O77">
        <v>52</v>
      </c>
      <c r="P77">
        <v>52</v>
      </c>
    </row>
    <row r="78" spans="1:16">
      <c r="A78">
        <v>696</v>
      </c>
      <c r="B78" s="1">
        <v>40575</v>
      </c>
      <c r="C78">
        <v>1</v>
      </c>
      <c r="D78">
        <v>0</v>
      </c>
      <c r="E78">
        <v>2</v>
      </c>
      <c r="F78">
        <v>8</v>
      </c>
      <c r="G78" t="b">
        <v>0</v>
      </c>
      <c r="H78">
        <v>2</v>
      </c>
      <c r="I78">
        <v>3</v>
      </c>
      <c r="J78">
        <v>0.16</v>
      </c>
      <c r="K78">
        <v>0.2273</v>
      </c>
      <c r="L78">
        <v>0.93</v>
      </c>
      <c r="M78">
        <v>0</v>
      </c>
      <c r="N78">
        <v>3</v>
      </c>
      <c r="O78">
        <v>132</v>
      </c>
      <c r="P78">
        <v>135</v>
      </c>
    </row>
    <row r="79" spans="1:16">
      <c r="A79">
        <v>697</v>
      </c>
      <c r="B79" s="1">
        <v>40575</v>
      </c>
      <c r="C79">
        <v>1</v>
      </c>
      <c r="D79">
        <v>0</v>
      </c>
      <c r="E79">
        <v>2</v>
      </c>
      <c r="F79">
        <v>9</v>
      </c>
      <c r="G79" t="b">
        <v>0</v>
      </c>
      <c r="H79">
        <v>2</v>
      </c>
      <c r="I79">
        <v>2</v>
      </c>
      <c r="J79">
        <v>0.16</v>
      </c>
      <c r="K79">
        <v>0.2273</v>
      </c>
      <c r="L79">
        <v>0.93</v>
      </c>
      <c r="M79">
        <v>0</v>
      </c>
      <c r="N79">
        <v>2</v>
      </c>
      <c r="O79">
        <v>114</v>
      </c>
      <c r="P79">
        <v>116</v>
      </c>
    </row>
    <row r="80" spans="1:16">
      <c r="A80">
        <v>698</v>
      </c>
      <c r="B80" s="1">
        <v>40575</v>
      </c>
      <c r="C80">
        <v>1</v>
      </c>
      <c r="D80">
        <v>0</v>
      </c>
      <c r="E80">
        <v>2</v>
      </c>
      <c r="F80">
        <v>10</v>
      </c>
      <c r="G80" t="b">
        <v>0</v>
      </c>
      <c r="H80">
        <v>2</v>
      </c>
      <c r="I80">
        <v>2</v>
      </c>
      <c r="J80">
        <v>0.16</v>
      </c>
      <c r="K80">
        <v>0.2273</v>
      </c>
      <c r="L80">
        <v>0.93</v>
      </c>
      <c r="M80">
        <v>0</v>
      </c>
      <c r="N80">
        <v>0</v>
      </c>
      <c r="O80">
        <v>47</v>
      </c>
      <c r="P80">
        <v>47</v>
      </c>
    </row>
    <row r="81" spans="1:16">
      <c r="A81">
        <v>699</v>
      </c>
      <c r="B81" s="1">
        <v>40575</v>
      </c>
      <c r="C81">
        <v>1</v>
      </c>
      <c r="D81">
        <v>0</v>
      </c>
      <c r="E81">
        <v>2</v>
      </c>
      <c r="F81">
        <v>11</v>
      </c>
      <c r="G81" t="b">
        <v>0</v>
      </c>
      <c r="H81">
        <v>2</v>
      </c>
      <c r="I81">
        <v>2</v>
      </c>
      <c r="J81">
        <v>0.18</v>
      </c>
      <c r="K81">
        <v>0.2424</v>
      </c>
      <c r="L81">
        <v>0.86</v>
      </c>
      <c r="M81">
        <v>0</v>
      </c>
      <c r="N81">
        <v>2</v>
      </c>
      <c r="O81">
        <v>49</v>
      </c>
      <c r="P81">
        <v>51</v>
      </c>
    </row>
    <row r="82" spans="1:16">
      <c r="A82">
        <v>700</v>
      </c>
      <c r="B82" s="1">
        <v>40575</v>
      </c>
      <c r="C82">
        <v>1</v>
      </c>
      <c r="D82">
        <v>0</v>
      </c>
      <c r="E82">
        <v>2</v>
      </c>
      <c r="F82">
        <v>12</v>
      </c>
      <c r="G82" t="b">
        <v>0</v>
      </c>
      <c r="H82">
        <v>2</v>
      </c>
      <c r="I82">
        <v>2</v>
      </c>
      <c r="J82">
        <v>0.2</v>
      </c>
      <c r="K82">
        <v>0.2576</v>
      </c>
      <c r="L82">
        <v>0.86</v>
      </c>
      <c r="M82">
        <v>0</v>
      </c>
      <c r="N82">
        <v>2</v>
      </c>
      <c r="O82">
        <v>53</v>
      </c>
      <c r="P82">
        <v>55</v>
      </c>
    </row>
    <row r="83" spans="1:16">
      <c r="A83">
        <v>701</v>
      </c>
      <c r="B83" s="1">
        <v>40575</v>
      </c>
      <c r="C83">
        <v>1</v>
      </c>
      <c r="D83">
        <v>0</v>
      </c>
      <c r="E83">
        <v>2</v>
      </c>
      <c r="F83">
        <v>13</v>
      </c>
      <c r="G83" t="b">
        <v>0</v>
      </c>
      <c r="H83">
        <v>2</v>
      </c>
      <c r="I83">
        <v>2</v>
      </c>
      <c r="J83">
        <v>0.2</v>
      </c>
      <c r="K83">
        <v>0.2576</v>
      </c>
      <c r="L83">
        <v>0.86</v>
      </c>
      <c r="M83">
        <v>0</v>
      </c>
      <c r="N83">
        <v>3</v>
      </c>
      <c r="O83">
        <v>49</v>
      </c>
      <c r="P83">
        <v>52</v>
      </c>
    </row>
    <row r="84" spans="1:16">
      <c r="A84">
        <v>702</v>
      </c>
      <c r="B84" s="1">
        <v>40575</v>
      </c>
      <c r="C84">
        <v>1</v>
      </c>
      <c r="D84">
        <v>0</v>
      </c>
      <c r="E84">
        <v>2</v>
      </c>
      <c r="F84">
        <v>14</v>
      </c>
      <c r="G84" t="b">
        <v>0</v>
      </c>
      <c r="H84">
        <v>2</v>
      </c>
      <c r="I84">
        <v>2</v>
      </c>
      <c r="J84">
        <v>0.22</v>
      </c>
      <c r="K84">
        <v>0.2576</v>
      </c>
      <c r="L84">
        <v>0.8</v>
      </c>
      <c r="M84">
        <v>8.9599999999999999E-2</v>
      </c>
      <c r="N84">
        <v>5</v>
      </c>
      <c r="O84">
        <v>49</v>
      </c>
      <c r="P84">
        <v>54</v>
      </c>
    </row>
    <row r="85" spans="1:16">
      <c r="A85">
        <v>703</v>
      </c>
      <c r="B85" s="1">
        <v>40575</v>
      </c>
      <c r="C85">
        <v>1</v>
      </c>
      <c r="D85">
        <v>0</v>
      </c>
      <c r="E85">
        <v>2</v>
      </c>
      <c r="F85">
        <v>15</v>
      </c>
      <c r="G85" t="b">
        <v>0</v>
      </c>
      <c r="H85">
        <v>2</v>
      </c>
      <c r="I85">
        <v>2</v>
      </c>
      <c r="J85">
        <v>0.24</v>
      </c>
      <c r="K85">
        <v>0.28789999999999999</v>
      </c>
      <c r="L85">
        <v>0.75</v>
      </c>
      <c r="M85">
        <v>0</v>
      </c>
      <c r="N85">
        <v>7</v>
      </c>
      <c r="O85">
        <v>45</v>
      </c>
      <c r="P85">
        <v>52</v>
      </c>
    </row>
    <row r="86" spans="1:16">
      <c r="A86">
        <v>704</v>
      </c>
      <c r="B86" s="1">
        <v>40575</v>
      </c>
      <c r="C86">
        <v>1</v>
      </c>
      <c r="D86">
        <v>0</v>
      </c>
      <c r="E86">
        <v>2</v>
      </c>
      <c r="F86">
        <v>16</v>
      </c>
      <c r="G86" t="b">
        <v>0</v>
      </c>
      <c r="H86">
        <v>2</v>
      </c>
      <c r="I86">
        <v>2</v>
      </c>
      <c r="J86">
        <v>0.24</v>
      </c>
      <c r="K86">
        <v>0.2424</v>
      </c>
      <c r="L86">
        <v>0.75</v>
      </c>
      <c r="M86">
        <v>0.1343</v>
      </c>
      <c r="N86">
        <v>3</v>
      </c>
      <c r="O86">
        <v>61</v>
      </c>
      <c r="P86">
        <v>64</v>
      </c>
    </row>
    <row r="87" spans="1:16">
      <c r="A87">
        <v>705</v>
      </c>
      <c r="B87" s="1">
        <v>40575</v>
      </c>
      <c r="C87">
        <v>1</v>
      </c>
      <c r="D87">
        <v>0</v>
      </c>
      <c r="E87">
        <v>2</v>
      </c>
      <c r="F87">
        <v>17</v>
      </c>
      <c r="G87" t="b">
        <v>0</v>
      </c>
      <c r="H87">
        <v>2</v>
      </c>
      <c r="I87">
        <v>2</v>
      </c>
      <c r="J87">
        <v>0.24</v>
      </c>
      <c r="K87">
        <v>0.28789999999999999</v>
      </c>
      <c r="L87">
        <v>0.75</v>
      </c>
      <c r="M87">
        <v>0</v>
      </c>
      <c r="N87">
        <v>4</v>
      </c>
      <c r="O87">
        <v>172</v>
      </c>
      <c r="P87">
        <v>176</v>
      </c>
    </row>
    <row r="88" spans="1:16">
      <c r="A88">
        <v>706</v>
      </c>
      <c r="B88" s="1">
        <v>40575</v>
      </c>
      <c r="C88">
        <v>1</v>
      </c>
      <c r="D88">
        <v>0</v>
      </c>
      <c r="E88">
        <v>2</v>
      </c>
      <c r="F88">
        <v>18</v>
      </c>
      <c r="G88" t="b">
        <v>0</v>
      </c>
      <c r="H88">
        <v>2</v>
      </c>
      <c r="I88">
        <v>2</v>
      </c>
      <c r="J88">
        <v>0.24</v>
      </c>
      <c r="K88">
        <v>0.2576</v>
      </c>
      <c r="L88">
        <v>0.81</v>
      </c>
      <c r="M88">
        <v>0.1045</v>
      </c>
      <c r="N88">
        <v>3</v>
      </c>
      <c r="O88">
        <v>165</v>
      </c>
      <c r="P88">
        <v>168</v>
      </c>
    </row>
    <row r="89" spans="1:16">
      <c r="A89">
        <v>707</v>
      </c>
      <c r="B89" s="1">
        <v>40575</v>
      </c>
      <c r="C89">
        <v>1</v>
      </c>
      <c r="D89">
        <v>0</v>
      </c>
      <c r="E89">
        <v>2</v>
      </c>
      <c r="F89">
        <v>19</v>
      </c>
      <c r="G89" t="b">
        <v>0</v>
      </c>
      <c r="H89">
        <v>2</v>
      </c>
      <c r="I89">
        <v>2</v>
      </c>
      <c r="J89">
        <v>0.24</v>
      </c>
      <c r="K89">
        <v>0.2424</v>
      </c>
      <c r="L89">
        <v>0.81</v>
      </c>
      <c r="M89">
        <v>0.1343</v>
      </c>
      <c r="N89">
        <v>3</v>
      </c>
      <c r="O89">
        <v>105</v>
      </c>
      <c r="P89">
        <v>108</v>
      </c>
    </row>
    <row r="90" spans="1:16">
      <c r="A90">
        <v>708</v>
      </c>
      <c r="B90" s="1">
        <v>40575</v>
      </c>
      <c r="C90">
        <v>1</v>
      </c>
      <c r="D90">
        <v>0</v>
      </c>
      <c r="E90">
        <v>2</v>
      </c>
      <c r="F90">
        <v>20</v>
      </c>
      <c r="G90" t="b">
        <v>0</v>
      </c>
      <c r="H90">
        <v>2</v>
      </c>
      <c r="I90">
        <v>2</v>
      </c>
      <c r="J90">
        <v>0.22</v>
      </c>
      <c r="K90">
        <v>0.2273</v>
      </c>
      <c r="L90">
        <v>0.87</v>
      </c>
      <c r="M90">
        <v>0.1343</v>
      </c>
      <c r="N90">
        <v>5</v>
      </c>
      <c r="O90">
        <v>69</v>
      </c>
      <c r="P90">
        <v>74</v>
      </c>
    </row>
    <row r="91" spans="1:16">
      <c r="A91">
        <v>709</v>
      </c>
      <c r="B91" s="1">
        <v>40575</v>
      </c>
      <c r="C91">
        <v>1</v>
      </c>
      <c r="D91">
        <v>0</v>
      </c>
      <c r="E91">
        <v>2</v>
      </c>
      <c r="F91">
        <v>21</v>
      </c>
      <c r="G91" t="b">
        <v>0</v>
      </c>
      <c r="H91">
        <v>2</v>
      </c>
      <c r="I91">
        <v>2</v>
      </c>
      <c r="J91">
        <v>0.22</v>
      </c>
      <c r="K91">
        <v>0.2273</v>
      </c>
      <c r="L91">
        <v>0.87</v>
      </c>
      <c r="M91">
        <v>0.1343</v>
      </c>
      <c r="N91">
        <v>0</v>
      </c>
      <c r="O91">
        <v>64</v>
      </c>
      <c r="P91">
        <v>64</v>
      </c>
    </row>
    <row r="92" spans="1:16">
      <c r="A92">
        <v>710</v>
      </c>
      <c r="B92" s="1">
        <v>40575</v>
      </c>
      <c r="C92">
        <v>1</v>
      </c>
      <c r="D92">
        <v>0</v>
      </c>
      <c r="E92">
        <v>2</v>
      </c>
      <c r="F92">
        <v>22</v>
      </c>
      <c r="G92" t="b">
        <v>0</v>
      </c>
      <c r="H92">
        <v>2</v>
      </c>
      <c r="I92">
        <v>2</v>
      </c>
      <c r="J92">
        <v>0.22</v>
      </c>
      <c r="K92">
        <v>0.2576</v>
      </c>
      <c r="L92">
        <v>0.87</v>
      </c>
      <c r="M92">
        <v>8.9599999999999999E-2</v>
      </c>
      <c r="N92">
        <v>2</v>
      </c>
      <c r="O92">
        <v>34</v>
      </c>
      <c r="P92">
        <v>36</v>
      </c>
    </row>
    <row r="93" spans="1:16">
      <c r="A93">
        <v>711</v>
      </c>
      <c r="B93" s="1">
        <v>40575</v>
      </c>
      <c r="C93">
        <v>1</v>
      </c>
      <c r="D93">
        <v>0</v>
      </c>
      <c r="E93">
        <v>2</v>
      </c>
      <c r="F93">
        <v>23</v>
      </c>
      <c r="G93" t="b">
        <v>0</v>
      </c>
      <c r="H93">
        <v>2</v>
      </c>
      <c r="I93">
        <v>3</v>
      </c>
      <c r="J93">
        <v>0.2</v>
      </c>
      <c r="K93">
        <v>0.19700000000000001</v>
      </c>
      <c r="L93">
        <v>0.93</v>
      </c>
      <c r="M93">
        <v>0.19400000000000001</v>
      </c>
      <c r="N93">
        <v>1</v>
      </c>
      <c r="O93">
        <v>15</v>
      </c>
      <c r="P93">
        <v>16</v>
      </c>
    </row>
    <row r="94" spans="1:16">
      <c r="A94">
        <v>712</v>
      </c>
      <c r="B94" s="1">
        <v>40576</v>
      </c>
      <c r="C94">
        <v>1</v>
      </c>
      <c r="D94">
        <v>0</v>
      </c>
      <c r="E94">
        <v>2</v>
      </c>
      <c r="F94">
        <v>0</v>
      </c>
      <c r="G94" t="b">
        <v>0</v>
      </c>
      <c r="H94">
        <v>3</v>
      </c>
      <c r="I94">
        <v>3</v>
      </c>
      <c r="J94">
        <v>0.22</v>
      </c>
      <c r="K94">
        <v>0.2424</v>
      </c>
      <c r="L94">
        <v>0.93</v>
      </c>
      <c r="M94">
        <v>0.1045</v>
      </c>
      <c r="N94">
        <v>0</v>
      </c>
      <c r="O94">
        <v>2</v>
      </c>
      <c r="P94">
        <v>2</v>
      </c>
    </row>
    <row r="95" spans="1:16">
      <c r="A95">
        <v>713</v>
      </c>
      <c r="B95" s="1">
        <v>40576</v>
      </c>
      <c r="C95">
        <v>1</v>
      </c>
      <c r="D95">
        <v>0</v>
      </c>
      <c r="E95">
        <v>2</v>
      </c>
      <c r="F95">
        <v>1</v>
      </c>
      <c r="G95" t="b">
        <v>0</v>
      </c>
      <c r="H95">
        <v>3</v>
      </c>
      <c r="I95">
        <v>3</v>
      </c>
      <c r="J95">
        <v>0.22</v>
      </c>
      <c r="K95">
        <v>0.2273</v>
      </c>
      <c r="L95">
        <v>0.93</v>
      </c>
      <c r="M95">
        <v>0.19400000000000001</v>
      </c>
      <c r="N95">
        <v>0</v>
      </c>
      <c r="O95">
        <v>3</v>
      </c>
      <c r="P95">
        <v>3</v>
      </c>
    </row>
    <row r="96" spans="1:16">
      <c r="A96">
        <v>714</v>
      </c>
      <c r="B96" s="1">
        <v>40576</v>
      </c>
      <c r="C96">
        <v>1</v>
      </c>
      <c r="D96">
        <v>0</v>
      </c>
      <c r="E96">
        <v>2</v>
      </c>
      <c r="F96">
        <v>2</v>
      </c>
      <c r="G96" t="b">
        <v>0</v>
      </c>
      <c r="H96">
        <v>3</v>
      </c>
      <c r="I96">
        <v>3</v>
      </c>
      <c r="J96">
        <v>0.22</v>
      </c>
      <c r="K96">
        <v>0.2273</v>
      </c>
      <c r="L96">
        <v>0.93</v>
      </c>
      <c r="M96">
        <v>0.1343</v>
      </c>
      <c r="N96">
        <v>4</v>
      </c>
      <c r="O96">
        <v>0</v>
      </c>
      <c r="P96">
        <v>4</v>
      </c>
    </row>
    <row r="97" spans="1:16">
      <c r="A97">
        <v>715</v>
      </c>
      <c r="B97" s="1">
        <v>40576</v>
      </c>
      <c r="C97">
        <v>1</v>
      </c>
      <c r="D97">
        <v>0</v>
      </c>
      <c r="E97">
        <v>2</v>
      </c>
      <c r="F97">
        <v>3</v>
      </c>
      <c r="G97" t="b">
        <v>0</v>
      </c>
      <c r="H97">
        <v>3</v>
      </c>
      <c r="I97">
        <v>3</v>
      </c>
      <c r="J97">
        <v>0.22</v>
      </c>
      <c r="K97">
        <v>0.2273</v>
      </c>
      <c r="L97">
        <v>0.93</v>
      </c>
      <c r="M97">
        <v>0.1343</v>
      </c>
      <c r="N97">
        <v>0</v>
      </c>
      <c r="O97">
        <v>1</v>
      </c>
      <c r="P97">
        <v>1</v>
      </c>
    </row>
    <row r="98" spans="1:16">
      <c r="A98">
        <v>716</v>
      </c>
      <c r="B98" s="1">
        <v>40576</v>
      </c>
      <c r="C98">
        <v>1</v>
      </c>
      <c r="D98">
        <v>0</v>
      </c>
      <c r="E98">
        <v>2</v>
      </c>
      <c r="F98">
        <v>4</v>
      </c>
      <c r="G98" t="b">
        <v>0</v>
      </c>
      <c r="H98">
        <v>3</v>
      </c>
      <c r="I98">
        <v>3</v>
      </c>
      <c r="J98">
        <v>0.22</v>
      </c>
      <c r="K98">
        <v>0.21210000000000001</v>
      </c>
      <c r="L98">
        <v>0.93</v>
      </c>
      <c r="M98">
        <v>0.28360000000000002</v>
      </c>
      <c r="N98">
        <v>0</v>
      </c>
      <c r="O98">
        <v>1</v>
      </c>
      <c r="P98">
        <v>1</v>
      </c>
    </row>
    <row r="99" spans="1:16">
      <c r="A99">
        <v>717</v>
      </c>
      <c r="B99" s="1">
        <v>40576</v>
      </c>
      <c r="C99">
        <v>1</v>
      </c>
      <c r="D99">
        <v>0</v>
      </c>
      <c r="E99">
        <v>2</v>
      </c>
      <c r="F99">
        <v>5</v>
      </c>
      <c r="G99" t="b">
        <v>0</v>
      </c>
      <c r="H99">
        <v>3</v>
      </c>
      <c r="I99">
        <v>3</v>
      </c>
      <c r="J99">
        <v>0.22</v>
      </c>
      <c r="K99">
        <v>0.2424</v>
      </c>
      <c r="L99">
        <v>0.93</v>
      </c>
      <c r="M99">
        <v>0.1045</v>
      </c>
      <c r="N99">
        <v>0</v>
      </c>
      <c r="O99">
        <v>3</v>
      </c>
      <c r="P99">
        <v>3</v>
      </c>
    </row>
    <row r="100" spans="1:16">
      <c r="A100">
        <v>718</v>
      </c>
      <c r="B100" s="1">
        <v>40576</v>
      </c>
      <c r="C100">
        <v>1</v>
      </c>
      <c r="D100">
        <v>0</v>
      </c>
      <c r="E100">
        <v>2</v>
      </c>
      <c r="F100">
        <v>6</v>
      </c>
      <c r="G100" t="b">
        <v>0</v>
      </c>
      <c r="H100">
        <v>3</v>
      </c>
      <c r="I100">
        <v>3</v>
      </c>
      <c r="J100">
        <v>0.22</v>
      </c>
      <c r="K100">
        <v>0.2424</v>
      </c>
      <c r="L100">
        <v>0.93</v>
      </c>
      <c r="M100">
        <v>0.1045</v>
      </c>
      <c r="N100">
        <v>1</v>
      </c>
      <c r="O100">
        <v>17</v>
      </c>
      <c r="P100">
        <v>18</v>
      </c>
    </row>
    <row r="101" spans="1:16">
      <c r="A101">
        <v>719</v>
      </c>
      <c r="B101" s="1">
        <v>40576</v>
      </c>
      <c r="C101">
        <v>1</v>
      </c>
      <c r="D101">
        <v>0</v>
      </c>
      <c r="E101">
        <v>2</v>
      </c>
      <c r="F101">
        <v>7</v>
      </c>
      <c r="G101" t="b">
        <v>0</v>
      </c>
      <c r="H101">
        <v>3</v>
      </c>
      <c r="I101">
        <v>3</v>
      </c>
      <c r="J101">
        <v>0.22</v>
      </c>
      <c r="K101">
        <v>0.21210000000000001</v>
      </c>
      <c r="L101">
        <v>0.93</v>
      </c>
      <c r="M101">
        <v>0.22389999999999999</v>
      </c>
      <c r="N101">
        <v>1</v>
      </c>
      <c r="O101">
        <v>48</v>
      </c>
      <c r="P101">
        <v>49</v>
      </c>
    </row>
    <row r="102" spans="1:16">
      <c r="A102">
        <v>720</v>
      </c>
      <c r="B102" s="1">
        <v>40576</v>
      </c>
      <c r="C102">
        <v>1</v>
      </c>
      <c r="D102">
        <v>0</v>
      </c>
      <c r="E102">
        <v>2</v>
      </c>
      <c r="F102">
        <v>8</v>
      </c>
      <c r="G102" t="b">
        <v>0</v>
      </c>
      <c r="H102">
        <v>3</v>
      </c>
      <c r="I102">
        <v>3</v>
      </c>
      <c r="J102">
        <v>0.22</v>
      </c>
      <c r="K102">
        <v>0.21210000000000001</v>
      </c>
      <c r="L102">
        <v>0.93</v>
      </c>
      <c r="M102">
        <v>0.22389999999999999</v>
      </c>
      <c r="N102">
        <v>1</v>
      </c>
      <c r="O102">
        <v>154</v>
      </c>
      <c r="P102">
        <v>155</v>
      </c>
    </row>
    <row r="103" spans="1:16">
      <c r="A103">
        <v>721</v>
      </c>
      <c r="B103" s="1">
        <v>40576</v>
      </c>
      <c r="C103">
        <v>1</v>
      </c>
      <c r="D103">
        <v>0</v>
      </c>
      <c r="E103">
        <v>2</v>
      </c>
      <c r="F103">
        <v>9</v>
      </c>
      <c r="G103" t="b">
        <v>0</v>
      </c>
      <c r="H103">
        <v>3</v>
      </c>
      <c r="I103">
        <v>2</v>
      </c>
      <c r="J103">
        <v>0.24</v>
      </c>
      <c r="K103">
        <v>0.2576</v>
      </c>
      <c r="L103">
        <v>0.93</v>
      </c>
      <c r="M103">
        <v>8.9599999999999999E-2</v>
      </c>
      <c r="N103">
        <v>4</v>
      </c>
      <c r="O103">
        <v>119</v>
      </c>
      <c r="P103">
        <v>123</v>
      </c>
    </row>
    <row r="104" spans="1:16">
      <c r="A104">
        <v>722</v>
      </c>
      <c r="B104" s="1">
        <v>40576</v>
      </c>
      <c r="C104">
        <v>1</v>
      </c>
      <c r="D104">
        <v>0</v>
      </c>
      <c r="E104">
        <v>2</v>
      </c>
      <c r="F104">
        <v>10</v>
      </c>
      <c r="G104" t="b">
        <v>0</v>
      </c>
      <c r="H104">
        <v>3</v>
      </c>
      <c r="I104">
        <v>2</v>
      </c>
      <c r="J104">
        <v>0.22</v>
      </c>
      <c r="K104">
        <v>0.2727</v>
      </c>
      <c r="L104">
        <v>1</v>
      </c>
      <c r="M104">
        <v>0</v>
      </c>
      <c r="N104">
        <v>2</v>
      </c>
      <c r="O104">
        <v>59</v>
      </c>
      <c r="P104">
        <v>61</v>
      </c>
    </row>
    <row r="105" spans="1:16">
      <c r="A105">
        <v>723</v>
      </c>
      <c r="B105" s="1">
        <v>40576</v>
      </c>
      <c r="C105">
        <v>1</v>
      </c>
      <c r="D105">
        <v>0</v>
      </c>
      <c r="E105">
        <v>2</v>
      </c>
      <c r="F105">
        <v>11</v>
      </c>
      <c r="G105" t="b">
        <v>0</v>
      </c>
      <c r="H105">
        <v>3</v>
      </c>
      <c r="I105">
        <v>2</v>
      </c>
      <c r="J105">
        <v>0.24</v>
      </c>
      <c r="K105">
        <v>0.2273</v>
      </c>
      <c r="L105">
        <v>0.93</v>
      </c>
      <c r="M105">
        <v>0.19400000000000001</v>
      </c>
      <c r="N105">
        <v>5</v>
      </c>
      <c r="O105">
        <v>47</v>
      </c>
      <c r="P105">
        <v>52</v>
      </c>
    </row>
    <row r="106" spans="1:16">
      <c r="A106">
        <v>724</v>
      </c>
      <c r="B106" s="1">
        <v>40576</v>
      </c>
      <c r="C106">
        <v>1</v>
      </c>
      <c r="D106">
        <v>0</v>
      </c>
      <c r="E106">
        <v>2</v>
      </c>
      <c r="F106">
        <v>12</v>
      </c>
      <c r="G106" t="b">
        <v>0</v>
      </c>
      <c r="H106">
        <v>3</v>
      </c>
      <c r="I106">
        <v>2</v>
      </c>
      <c r="J106">
        <v>0.24</v>
      </c>
      <c r="K106">
        <v>0.2273</v>
      </c>
      <c r="L106">
        <v>0.93</v>
      </c>
      <c r="M106">
        <v>0.22389999999999999</v>
      </c>
      <c r="N106">
        <v>3</v>
      </c>
      <c r="O106">
        <v>61</v>
      </c>
      <c r="P106">
        <v>64</v>
      </c>
    </row>
    <row r="107" spans="1:16">
      <c r="A107">
        <v>725</v>
      </c>
      <c r="B107" s="1">
        <v>40576</v>
      </c>
      <c r="C107">
        <v>1</v>
      </c>
      <c r="D107">
        <v>0</v>
      </c>
      <c r="E107">
        <v>2</v>
      </c>
      <c r="F107">
        <v>13</v>
      </c>
      <c r="G107" t="b">
        <v>0</v>
      </c>
      <c r="H107">
        <v>3</v>
      </c>
      <c r="I107">
        <v>1</v>
      </c>
      <c r="J107">
        <v>0.34</v>
      </c>
      <c r="K107">
        <v>0.33329999999999999</v>
      </c>
      <c r="L107">
        <v>0.93</v>
      </c>
      <c r="M107">
        <v>0.16420000000000001</v>
      </c>
      <c r="N107">
        <v>1</v>
      </c>
      <c r="O107">
        <v>74</v>
      </c>
      <c r="P107">
        <v>75</v>
      </c>
    </row>
    <row r="108" spans="1:16">
      <c r="A108">
        <v>726</v>
      </c>
      <c r="B108" s="1">
        <v>40576</v>
      </c>
      <c r="C108">
        <v>1</v>
      </c>
      <c r="D108">
        <v>0</v>
      </c>
      <c r="E108">
        <v>2</v>
      </c>
      <c r="F108">
        <v>14</v>
      </c>
      <c r="G108" t="b">
        <v>0</v>
      </c>
      <c r="H108">
        <v>3</v>
      </c>
      <c r="I108">
        <v>1</v>
      </c>
      <c r="J108">
        <v>0.38</v>
      </c>
      <c r="K108">
        <v>0.39389999999999997</v>
      </c>
      <c r="L108">
        <v>0.82</v>
      </c>
      <c r="M108">
        <v>0.3881</v>
      </c>
      <c r="N108">
        <v>2</v>
      </c>
      <c r="O108">
        <v>61</v>
      </c>
      <c r="P108">
        <v>63</v>
      </c>
    </row>
    <row r="109" spans="1:16">
      <c r="A109">
        <v>727</v>
      </c>
      <c r="B109" s="1">
        <v>40576</v>
      </c>
      <c r="C109">
        <v>1</v>
      </c>
      <c r="D109">
        <v>0</v>
      </c>
      <c r="E109">
        <v>2</v>
      </c>
      <c r="F109">
        <v>15</v>
      </c>
      <c r="G109" t="b">
        <v>0</v>
      </c>
      <c r="H109">
        <v>3</v>
      </c>
      <c r="I109">
        <v>1</v>
      </c>
      <c r="J109">
        <v>0.38</v>
      </c>
      <c r="K109">
        <v>0.39389999999999997</v>
      </c>
      <c r="L109">
        <v>0.76</v>
      </c>
      <c r="M109">
        <v>0.32840000000000003</v>
      </c>
      <c r="N109">
        <v>10</v>
      </c>
      <c r="O109">
        <v>66</v>
      </c>
      <c r="P109">
        <v>76</v>
      </c>
    </row>
    <row r="110" spans="1:16">
      <c r="A110">
        <v>728</v>
      </c>
      <c r="B110" s="1">
        <v>40576</v>
      </c>
      <c r="C110">
        <v>1</v>
      </c>
      <c r="D110">
        <v>0</v>
      </c>
      <c r="E110">
        <v>2</v>
      </c>
      <c r="F110">
        <v>16</v>
      </c>
      <c r="G110" t="b">
        <v>0</v>
      </c>
      <c r="H110">
        <v>3</v>
      </c>
      <c r="I110">
        <v>1</v>
      </c>
      <c r="J110">
        <v>0.36</v>
      </c>
      <c r="K110">
        <v>0.33329999999999999</v>
      </c>
      <c r="L110">
        <v>0.71</v>
      </c>
      <c r="M110">
        <v>0.29849999999999999</v>
      </c>
      <c r="N110">
        <v>8</v>
      </c>
      <c r="O110">
        <v>95</v>
      </c>
      <c r="P110">
        <v>103</v>
      </c>
    </row>
    <row r="111" spans="1:16">
      <c r="A111">
        <v>729</v>
      </c>
      <c r="B111" s="1">
        <v>40576</v>
      </c>
      <c r="C111">
        <v>1</v>
      </c>
      <c r="D111">
        <v>0</v>
      </c>
      <c r="E111">
        <v>2</v>
      </c>
      <c r="F111">
        <v>17</v>
      </c>
      <c r="G111" t="b">
        <v>0</v>
      </c>
      <c r="H111">
        <v>3</v>
      </c>
      <c r="I111">
        <v>1</v>
      </c>
      <c r="J111">
        <v>0.36</v>
      </c>
      <c r="K111">
        <v>0.31819999999999998</v>
      </c>
      <c r="L111">
        <v>0.53</v>
      </c>
      <c r="M111">
        <v>0.52239999999999998</v>
      </c>
      <c r="N111">
        <v>7</v>
      </c>
      <c r="O111">
        <v>183</v>
      </c>
      <c r="P111">
        <v>190</v>
      </c>
    </row>
    <row r="112" spans="1:16">
      <c r="A112">
        <v>730</v>
      </c>
      <c r="B112" s="1">
        <v>40576</v>
      </c>
      <c r="C112">
        <v>1</v>
      </c>
      <c r="D112">
        <v>0</v>
      </c>
      <c r="E112">
        <v>2</v>
      </c>
      <c r="F112">
        <v>18</v>
      </c>
      <c r="G112" t="b">
        <v>0</v>
      </c>
      <c r="H112">
        <v>3</v>
      </c>
      <c r="I112">
        <v>1</v>
      </c>
      <c r="J112">
        <v>0.34</v>
      </c>
      <c r="K112">
        <v>0.28789999999999999</v>
      </c>
      <c r="L112">
        <v>0.42</v>
      </c>
      <c r="M112">
        <v>0.55220000000000002</v>
      </c>
      <c r="N112">
        <v>7</v>
      </c>
      <c r="O112">
        <v>175</v>
      </c>
      <c r="P112">
        <v>182</v>
      </c>
    </row>
    <row r="113" spans="1:16">
      <c r="A113">
        <v>731</v>
      </c>
      <c r="B113" s="1">
        <v>40576</v>
      </c>
      <c r="C113">
        <v>1</v>
      </c>
      <c r="D113">
        <v>0</v>
      </c>
      <c r="E113">
        <v>2</v>
      </c>
      <c r="F113">
        <v>19</v>
      </c>
      <c r="G113" t="b">
        <v>0</v>
      </c>
      <c r="H113">
        <v>3</v>
      </c>
      <c r="I113">
        <v>1</v>
      </c>
      <c r="J113">
        <v>0.28000000000000003</v>
      </c>
      <c r="K113">
        <v>0.2424</v>
      </c>
      <c r="L113">
        <v>0.45</v>
      </c>
      <c r="M113">
        <v>0.49249999999999999</v>
      </c>
      <c r="N113">
        <v>3</v>
      </c>
      <c r="O113">
        <v>88</v>
      </c>
      <c r="P113">
        <v>91</v>
      </c>
    </row>
    <row r="114" spans="1:16">
      <c r="A114">
        <v>732</v>
      </c>
      <c r="B114" s="1">
        <v>40576</v>
      </c>
      <c r="C114">
        <v>1</v>
      </c>
      <c r="D114">
        <v>0</v>
      </c>
      <c r="E114">
        <v>2</v>
      </c>
      <c r="F114">
        <v>20</v>
      </c>
      <c r="G114" t="b">
        <v>0</v>
      </c>
      <c r="H114">
        <v>3</v>
      </c>
      <c r="I114">
        <v>1</v>
      </c>
      <c r="J114">
        <v>0.24</v>
      </c>
      <c r="K114">
        <v>0.19700000000000001</v>
      </c>
      <c r="L114">
        <v>0.48</v>
      </c>
      <c r="M114">
        <v>0.55220000000000002</v>
      </c>
      <c r="N114">
        <v>4</v>
      </c>
      <c r="O114">
        <v>71</v>
      </c>
      <c r="P114">
        <v>75</v>
      </c>
    </row>
    <row r="115" spans="1:16">
      <c r="A115">
        <v>733</v>
      </c>
      <c r="B115" s="1">
        <v>40576</v>
      </c>
      <c r="C115">
        <v>1</v>
      </c>
      <c r="D115">
        <v>0</v>
      </c>
      <c r="E115">
        <v>2</v>
      </c>
      <c r="F115">
        <v>21</v>
      </c>
      <c r="G115" t="b">
        <v>0</v>
      </c>
      <c r="H115">
        <v>3</v>
      </c>
      <c r="I115">
        <v>1</v>
      </c>
      <c r="J115">
        <v>0.22</v>
      </c>
      <c r="K115">
        <v>0.19700000000000001</v>
      </c>
      <c r="L115">
        <v>0.47</v>
      </c>
      <c r="M115">
        <v>0.32840000000000003</v>
      </c>
      <c r="N115">
        <v>1</v>
      </c>
      <c r="O115">
        <v>62</v>
      </c>
      <c r="P115">
        <v>63</v>
      </c>
    </row>
    <row r="116" spans="1:16">
      <c r="A116">
        <v>734</v>
      </c>
      <c r="B116" s="1">
        <v>40576</v>
      </c>
      <c r="C116">
        <v>1</v>
      </c>
      <c r="D116">
        <v>0</v>
      </c>
      <c r="E116">
        <v>2</v>
      </c>
      <c r="F116">
        <v>22</v>
      </c>
      <c r="G116" t="b">
        <v>0</v>
      </c>
      <c r="H116">
        <v>3</v>
      </c>
      <c r="I116">
        <v>1</v>
      </c>
      <c r="J116">
        <v>0.22</v>
      </c>
      <c r="K116">
        <v>0.21210000000000001</v>
      </c>
      <c r="L116">
        <v>0.44</v>
      </c>
      <c r="M116">
        <v>0.25369999999999998</v>
      </c>
      <c r="N116">
        <v>5</v>
      </c>
      <c r="O116">
        <v>35</v>
      </c>
      <c r="P116">
        <v>40</v>
      </c>
    </row>
    <row r="117" spans="1:16">
      <c r="A117">
        <v>735</v>
      </c>
      <c r="B117" s="1">
        <v>40576</v>
      </c>
      <c r="C117">
        <v>1</v>
      </c>
      <c r="D117">
        <v>0</v>
      </c>
      <c r="E117">
        <v>2</v>
      </c>
      <c r="F117">
        <v>23</v>
      </c>
      <c r="G117" t="b">
        <v>0</v>
      </c>
      <c r="H117">
        <v>3</v>
      </c>
      <c r="I117">
        <v>1</v>
      </c>
      <c r="J117">
        <v>0.2</v>
      </c>
      <c r="K117">
        <v>0.16669999999999999</v>
      </c>
      <c r="L117">
        <v>0.44</v>
      </c>
      <c r="M117">
        <v>0.44779999999999998</v>
      </c>
      <c r="N117">
        <v>3</v>
      </c>
      <c r="O117">
        <v>29</v>
      </c>
      <c r="P117">
        <v>32</v>
      </c>
    </row>
    <row r="118" spans="1:16">
      <c r="A118">
        <v>736</v>
      </c>
      <c r="B118" s="1">
        <v>40577</v>
      </c>
      <c r="C118">
        <v>1</v>
      </c>
      <c r="D118">
        <v>0</v>
      </c>
      <c r="E118">
        <v>2</v>
      </c>
      <c r="F118">
        <v>0</v>
      </c>
      <c r="G118" t="b">
        <v>0</v>
      </c>
      <c r="H118">
        <v>4</v>
      </c>
      <c r="I118">
        <v>1</v>
      </c>
      <c r="J118">
        <v>0.2</v>
      </c>
      <c r="K118">
        <v>0.16669999999999999</v>
      </c>
      <c r="L118">
        <v>0.4</v>
      </c>
      <c r="M118">
        <v>0.44779999999999998</v>
      </c>
      <c r="N118">
        <v>1</v>
      </c>
      <c r="O118">
        <v>11</v>
      </c>
      <c r="P118">
        <v>12</v>
      </c>
    </row>
    <row r="119" spans="1:16">
      <c r="A119">
        <v>737</v>
      </c>
      <c r="B119" s="1">
        <v>40577</v>
      </c>
      <c r="C119">
        <v>1</v>
      </c>
      <c r="D119">
        <v>0</v>
      </c>
      <c r="E119">
        <v>2</v>
      </c>
      <c r="F119">
        <v>1</v>
      </c>
      <c r="G119" t="b">
        <v>0</v>
      </c>
      <c r="H119">
        <v>4</v>
      </c>
      <c r="I119">
        <v>1</v>
      </c>
      <c r="J119">
        <v>0.2</v>
      </c>
      <c r="K119">
        <v>0.1515</v>
      </c>
      <c r="L119">
        <v>0.44</v>
      </c>
      <c r="M119">
        <v>0.52239999999999998</v>
      </c>
      <c r="N119">
        <v>0</v>
      </c>
      <c r="O119">
        <v>5</v>
      </c>
      <c r="P119">
        <v>5</v>
      </c>
    </row>
    <row r="120" spans="1:16">
      <c r="A120">
        <v>738</v>
      </c>
      <c r="B120" s="1">
        <v>40577</v>
      </c>
      <c r="C120">
        <v>1</v>
      </c>
      <c r="D120">
        <v>0</v>
      </c>
      <c r="E120">
        <v>2</v>
      </c>
      <c r="F120">
        <v>2</v>
      </c>
      <c r="G120" t="b">
        <v>0</v>
      </c>
      <c r="H120">
        <v>4</v>
      </c>
      <c r="I120">
        <v>1</v>
      </c>
      <c r="J120">
        <v>0.18</v>
      </c>
      <c r="K120">
        <v>0.16669999999999999</v>
      </c>
      <c r="L120">
        <v>0.43</v>
      </c>
      <c r="M120">
        <v>0.25369999999999998</v>
      </c>
      <c r="N120">
        <v>0</v>
      </c>
      <c r="O120">
        <v>2</v>
      </c>
      <c r="P120">
        <v>2</v>
      </c>
    </row>
    <row r="121" spans="1:16">
      <c r="A121">
        <v>739</v>
      </c>
      <c r="B121" s="1">
        <v>40577</v>
      </c>
      <c r="C121">
        <v>1</v>
      </c>
      <c r="D121">
        <v>0</v>
      </c>
      <c r="E121">
        <v>2</v>
      </c>
      <c r="F121">
        <v>3</v>
      </c>
      <c r="G121" t="b">
        <v>0</v>
      </c>
      <c r="H121">
        <v>4</v>
      </c>
      <c r="I121">
        <v>1</v>
      </c>
      <c r="J121">
        <v>0.18</v>
      </c>
      <c r="K121">
        <v>0.16669999999999999</v>
      </c>
      <c r="L121">
        <v>0.43</v>
      </c>
      <c r="M121">
        <v>0.25369999999999998</v>
      </c>
      <c r="N121">
        <v>0</v>
      </c>
      <c r="O121">
        <v>1</v>
      </c>
      <c r="P121">
        <v>1</v>
      </c>
    </row>
    <row r="122" spans="1:16">
      <c r="A122">
        <v>740</v>
      </c>
      <c r="B122" s="1">
        <v>40577</v>
      </c>
      <c r="C122">
        <v>1</v>
      </c>
      <c r="D122">
        <v>0</v>
      </c>
      <c r="E122">
        <v>2</v>
      </c>
      <c r="F122">
        <v>5</v>
      </c>
      <c r="G122" t="b">
        <v>0</v>
      </c>
      <c r="H122">
        <v>4</v>
      </c>
      <c r="I122">
        <v>1</v>
      </c>
      <c r="J122">
        <v>0.16</v>
      </c>
      <c r="K122">
        <v>0.13639999999999999</v>
      </c>
      <c r="L122">
        <v>0.5</v>
      </c>
      <c r="M122">
        <v>0.29849999999999999</v>
      </c>
      <c r="N122">
        <v>0</v>
      </c>
      <c r="O122">
        <v>2</v>
      </c>
      <c r="P122">
        <v>2</v>
      </c>
    </row>
    <row r="123" spans="1:16">
      <c r="A123">
        <v>741</v>
      </c>
      <c r="B123" s="1">
        <v>40577</v>
      </c>
      <c r="C123">
        <v>1</v>
      </c>
      <c r="D123">
        <v>0</v>
      </c>
      <c r="E123">
        <v>2</v>
      </c>
      <c r="F123">
        <v>6</v>
      </c>
      <c r="G123" t="b">
        <v>0</v>
      </c>
      <c r="H123">
        <v>4</v>
      </c>
      <c r="I123">
        <v>1</v>
      </c>
      <c r="J123">
        <v>0.16</v>
      </c>
      <c r="K123">
        <v>0.13639999999999999</v>
      </c>
      <c r="L123">
        <v>0.43</v>
      </c>
      <c r="M123">
        <v>0.35820000000000002</v>
      </c>
      <c r="N123">
        <v>0</v>
      </c>
      <c r="O123">
        <v>39</v>
      </c>
      <c r="P123">
        <v>39</v>
      </c>
    </row>
    <row r="124" spans="1:16">
      <c r="A124">
        <v>742</v>
      </c>
      <c r="B124" s="1">
        <v>40577</v>
      </c>
      <c r="C124">
        <v>1</v>
      </c>
      <c r="D124">
        <v>0</v>
      </c>
      <c r="E124">
        <v>2</v>
      </c>
      <c r="F124">
        <v>7</v>
      </c>
      <c r="G124" t="b">
        <v>0</v>
      </c>
      <c r="H124">
        <v>4</v>
      </c>
      <c r="I124">
        <v>1</v>
      </c>
      <c r="J124">
        <v>0.14000000000000001</v>
      </c>
      <c r="K124">
        <v>0.1212</v>
      </c>
      <c r="L124">
        <v>0.5</v>
      </c>
      <c r="M124">
        <v>0.32840000000000003</v>
      </c>
      <c r="N124">
        <v>1</v>
      </c>
      <c r="O124">
        <v>86</v>
      </c>
      <c r="P124">
        <v>87</v>
      </c>
    </row>
    <row r="125" spans="1:16">
      <c r="A125">
        <v>743</v>
      </c>
      <c r="B125" s="1">
        <v>40577</v>
      </c>
      <c r="C125">
        <v>1</v>
      </c>
      <c r="D125">
        <v>0</v>
      </c>
      <c r="E125">
        <v>2</v>
      </c>
      <c r="F125">
        <v>8</v>
      </c>
      <c r="G125" t="b">
        <v>0</v>
      </c>
      <c r="H125">
        <v>4</v>
      </c>
      <c r="I125">
        <v>1</v>
      </c>
      <c r="J125">
        <v>0.14000000000000001</v>
      </c>
      <c r="K125">
        <v>0.1212</v>
      </c>
      <c r="L125">
        <v>0.5</v>
      </c>
      <c r="M125">
        <v>0.35820000000000002</v>
      </c>
      <c r="N125">
        <v>4</v>
      </c>
      <c r="O125">
        <v>184</v>
      </c>
      <c r="P125">
        <v>188</v>
      </c>
    </row>
    <row r="126" spans="1:16">
      <c r="A126">
        <v>744</v>
      </c>
      <c r="B126" s="1">
        <v>40577</v>
      </c>
      <c r="C126">
        <v>1</v>
      </c>
      <c r="D126">
        <v>0</v>
      </c>
      <c r="E126">
        <v>2</v>
      </c>
      <c r="F126">
        <v>9</v>
      </c>
      <c r="G126" t="b">
        <v>0</v>
      </c>
      <c r="H126">
        <v>4</v>
      </c>
      <c r="I126">
        <v>1</v>
      </c>
      <c r="J126">
        <v>0.16</v>
      </c>
      <c r="K126">
        <v>0.13639999999999999</v>
      </c>
      <c r="L126">
        <v>0.47</v>
      </c>
      <c r="M126">
        <v>0.29849999999999999</v>
      </c>
      <c r="N126">
        <v>6</v>
      </c>
      <c r="O126">
        <v>127</v>
      </c>
      <c r="P126">
        <v>133</v>
      </c>
    </row>
    <row r="127" spans="1:16">
      <c r="A127">
        <v>745</v>
      </c>
      <c r="B127" s="1">
        <v>40577</v>
      </c>
      <c r="C127">
        <v>1</v>
      </c>
      <c r="D127">
        <v>0</v>
      </c>
      <c r="E127">
        <v>2</v>
      </c>
      <c r="F127">
        <v>10</v>
      </c>
      <c r="G127" t="b">
        <v>0</v>
      </c>
      <c r="H127">
        <v>4</v>
      </c>
      <c r="I127">
        <v>1</v>
      </c>
      <c r="J127">
        <v>0.18</v>
      </c>
      <c r="K127">
        <v>0.1515</v>
      </c>
      <c r="L127">
        <v>0.43</v>
      </c>
      <c r="M127">
        <v>0.32840000000000003</v>
      </c>
      <c r="N127">
        <v>2</v>
      </c>
      <c r="O127">
        <v>50</v>
      </c>
      <c r="P127">
        <v>52</v>
      </c>
    </row>
    <row r="128" spans="1:16">
      <c r="A128">
        <v>746</v>
      </c>
      <c r="B128" s="1">
        <v>40577</v>
      </c>
      <c r="C128">
        <v>1</v>
      </c>
      <c r="D128">
        <v>0</v>
      </c>
      <c r="E128">
        <v>2</v>
      </c>
      <c r="F128">
        <v>11</v>
      </c>
      <c r="G128" t="b">
        <v>0</v>
      </c>
      <c r="H128">
        <v>4</v>
      </c>
      <c r="I128">
        <v>1</v>
      </c>
      <c r="J128">
        <v>0.18</v>
      </c>
      <c r="K128">
        <v>0.13639999999999999</v>
      </c>
      <c r="L128">
        <v>0.43</v>
      </c>
      <c r="M128">
        <v>0.44779999999999998</v>
      </c>
      <c r="N128">
        <v>9</v>
      </c>
      <c r="O128">
        <v>55</v>
      </c>
      <c r="P128">
        <v>64</v>
      </c>
    </row>
    <row r="129" spans="1:16">
      <c r="A129">
        <v>747</v>
      </c>
      <c r="B129" s="1">
        <v>40577</v>
      </c>
      <c r="C129">
        <v>1</v>
      </c>
      <c r="D129">
        <v>0</v>
      </c>
      <c r="E129">
        <v>2</v>
      </c>
      <c r="F129">
        <v>12</v>
      </c>
      <c r="G129" t="b">
        <v>0</v>
      </c>
      <c r="H129">
        <v>4</v>
      </c>
      <c r="I129">
        <v>1</v>
      </c>
      <c r="J129">
        <v>0.2</v>
      </c>
      <c r="K129">
        <v>0.18179999999999999</v>
      </c>
      <c r="L129">
        <v>0.4</v>
      </c>
      <c r="M129">
        <v>0.35820000000000002</v>
      </c>
      <c r="N129">
        <v>2</v>
      </c>
      <c r="O129">
        <v>67</v>
      </c>
      <c r="P129">
        <v>69</v>
      </c>
    </row>
    <row r="130" spans="1:16">
      <c r="A130">
        <v>748</v>
      </c>
      <c r="B130" s="1">
        <v>40577</v>
      </c>
      <c r="C130">
        <v>1</v>
      </c>
      <c r="D130">
        <v>0</v>
      </c>
      <c r="E130">
        <v>2</v>
      </c>
      <c r="F130">
        <v>13</v>
      </c>
      <c r="G130" t="b">
        <v>0</v>
      </c>
      <c r="H130">
        <v>4</v>
      </c>
      <c r="I130">
        <v>1</v>
      </c>
      <c r="J130">
        <v>0.2</v>
      </c>
      <c r="K130">
        <v>0.16669999999999999</v>
      </c>
      <c r="L130">
        <v>0.4</v>
      </c>
      <c r="M130">
        <v>0.41789999999999999</v>
      </c>
      <c r="N130">
        <v>4</v>
      </c>
      <c r="O130">
        <v>47</v>
      </c>
      <c r="P130">
        <v>51</v>
      </c>
    </row>
    <row r="131" spans="1:16">
      <c r="A131">
        <v>749</v>
      </c>
      <c r="B131" s="1">
        <v>40577</v>
      </c>
      <c r="C131">
        <v>1</v>
      </c>
      <c r="D131">
        <v>0</v>
      </c>
      <c r="E131">
        <v>2</v>
      </c>
      <c r="F131">
        <v>14</v>
      </c>
      <c r="G131" t="b">
        <v>0</v>
      </c>
      <c r="H131">
        <v>4</v>
      </c>
      <c r="I131">
        <v>1</v>
      </c>
      <c r="J131">
        <v>0.22</v>
      </c>
      <c r="K131">
        <v>0.19700000000000001</v>
      </c>
      <c r="L131">
        <v>0.37</v>
      </c>
      <c r="M131">
        <v>0.3881</v>
      </c>
      <c r="N131">
        <v>4</v>
      </c>
      <c r="O131">
        <v>43</v>
      </c>
      <c r="P131">
        <v>47</v>
      </c>
    </row>
    <row r="132" spans="1:16">
      <c r="A132">
        <v>750</v>
      </c>
      <c r="B132" s="1">
        <v>40577</v>
      </c>
      <c r="C132">
        <v>1</v>
      </c>
      <c r="D132">
        <v>0</v>
      </c>
      <c r="E132">
        <v>2</v>
      </c>
      <c r="F132">
        <v>15</v>
      </c>
      <c r="G132" t="b">
        <v>0</v>
      </c>
      <c r="H132">
        <v>4</v>
      </c>
      <c r="I132">
        <v>1</v>
      </c>
      <c r="J132">
        <v>0.22</v>
      </c>
      <c r="K132">
        <v>0.19700000000000001</v>
      </c>
      <c r="L132">
        <v>0.37</v>
      </c>
      <c r="M132">
        <v>0.32840000000000003</v>
      </c>
      <c r="N132">
        <v>4</v>
      </c>
      <c r="O132">
        <v>56</v>
      </c>
      <c r="P132">
        <v>60</v>
      </c>
    </row>
    <row r="133" spans="1:16">
      <c r="A133">
        <v>751</v>
      </c>
      <c r="B133" s="1">
        <v>40577</v>
      </c>
      <c r="C133">
        <v>1</v>
      </c>
      <c r="D133">
        <v>0</v>
      </c>
      <c r="E133">
        <v>2</v>
      </c>
      <c r="F133">
        <v>16</v>
      </c>
      <c r="G133" t="b">
        <v>0</v>
      </c>
      <c r="H133">
        <v>4</v>
      </c>
      <c r="I133">
        <v>1</v>
      </c>
      <c r="J133">
        <v>0.22</v>
      </c>
      <c r="K133">
        <v>0.21210000000000001</v>
      </c>
      <c r="L133">
        <v>0.37</v>
      </c>
      <c r="M133">
        <v>0.25369999999999998</v>
      </c>
      <c r="N133">
        <v>5</v>
      </c>
      <c r="O133">
        <v>73</v>
      </c>
      <c r="P133">
        <v>78</v>
      </c>
    </row>
    <row r="134" spans="1:16">
      <c r="A134">
        <v>752</v>
      </c>
      <c r="B134" s="1">
        <v>40577</v>
      </c>
      <c r="C134">
        <v>1</v>
      </c>
      <c r="D134">
        <v>0</v>
      </c>
      <c r="E134">
        <v>2</v>
      </c>
      <c r="F134">
        <v>17</v>
      </c>
      <c r="G134" t="b">
        <v>0</v>
      </c>
      <c r="H134">
        <v>4</v>
      </c>
      <c r="I134">
        <v>1</v>
      </c>
      <c r="J134">
        <v>0.2</v>
      </c>
      <c r="K134">
        <v>0.19700000000000001</v>
      </c>
      <c r="L134">
        <v>0.4</v>
      </c>
      <c r="M134">
        <v>0.19400000000000001</v>
      </c>
      <c r="N134">
        <v>5</v>
      </c>
      <c r="O134">
        <v>170</v>
      </c>
      <c r="P134">
        <v>175</v>
      </c>
    </row>
    <row r="135" spans="1:16">
      <c r="A135">
        <v>753</v>
      </c>
      <c r="B135" s="1">
        <v>40577</v>
      </c>
      <c r="C135">
        <v>1</v>
      </c>
      <c r="D135">
        <v>0</v>
      </c>
      <c r="E135">
        <v>2</v>
      </c>
      <c r="F135">
        <v>18</v>
      </c>
      <c r="G135" t="b">
        <v>0</v>
      </c>
      <c r="H135">
        <v>4</v>
      </c>
      <c r="I135">
        <v>1</v>
      </c>
      <c r="J135">
        <v>0.2</v>
      </c>
      <c r="K135">
        <v>0.21210000000000001</v>
      </c>
      <c r="L135">
        <v>0.4</v>
      </c>
      <c r="M135">
        <v>0.16420000000000001</v>
      </c>
      <c r="N135">
        <v>2</v>
      </c>
      <c r="O135">
        <v>145</v>
      </c>
      <c r="P135">
        <v>147</v>
      </c>
    </row>
    <row r="136" spans="1:16">
      <c r="A136">
        <v>754</v>
      </c>
      <c r="B136" s="1">
        <v>40577</v>
      </c>
      <c r="C136">
        <v>1</v>
      </c>
      <c r="D136">
        <v>0</v>
      </c>
      <c r="E136">
        <v>2</v>
      </c>
      <c r="F136">
        <v>19</v>
      </c>
      <c r="G136" t="b">
        <v>0</v>
      </c>
      <c r="H136">
        <v>4</v>
      </c>
      <c r="I136">
        <v>1</v>
      </c>
      <c r="J136">
        <v>0.2</v>
      </c>
      <c r="K136">
        <v>0.2576</v>
      </c>
      <c r="L136">
        <v>0.4</v>
      </c>
      <c r="M136">
        <v>0</v>
      </c>
      <c r="N136">
        <v>4</v>
      </c>
      <c r="O136">
        <v>92</v>
      </c>
      <c r="P136">
        <v>96</v>
      </c>
    </row>
    <row r="137" spans="1:16">
      <c r="A137">
        <v>755</v>
      </c>
      <c r="B137" s="1">
        <v>40577</v>
      </c>
      <c r="C137">
        <v>1</v>
      </c>
      <c r="D137">
        <v>0</v>
      </c>
      <c r="E137">
        <v>2</v>
      </c>
      <c r="F137">
        <v>20</v>
      </c>
      <c r="G137" t="b">
        <v>0</v>
      </c>
      <c r="H137">
        <v>4</v>
      </c>
      <c r="I137">
        <v>1</v>
      </c>
      <c r="J137">
        <v>0.2</v>
      </c>
      <c r="K137">
        <v>0.2273</v>
      </c>
      <c r="L137">
        <v>0.47</v>
      </c>
      <c r="M137">
        <v>8.9599999999999999E-2</v>
      </c>
      <c r="N137">
        <v>1</v>
      </c>
      <c r="O137">
        <v>108</v>
      </c>
      <c r="P137">
        <v>109</v>
      </c>
    </row>
    <row r="138" spans="1:16">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c r="A139">
        <v>757</v>
      </c>
      <c r="B139" s="1">
        <v>40577</v>
      </c>
      <c r="C139">
        <v>1</v>
      </c>
      <c r="D139">
        <v>0</v>
      </c>
      <c r="E139">
        <v>2</v>
      </c>
      <c r="F139">
        <v>22</v>
      </c>
      <c r="G139" t="b">
        <v>0</v>
      </c>
      <c r="H139">
        <v>4</v>
      </c>
      <c r="I139">
        <v>1</v>
      </c>
      <c r="J139">
        <v>0.18</v>
      </c>
      <c r="K139">
        <v>0.21210000000000001</v>
      </c>
      <c r="L139">
        <v>0.51</v>
      </c>
      <c r="M139">
        <v>8.9599999999999999E-2</v>
      </c>
      <c r="N139">
        <v>2</v>
      </c>
      <c r="O139">
        <v>39</v>
      </c>
      <c r="P139">
        <v>41</v>
      </c>
    </row>
    <row r="140" spans="1:16">
      <c r="A140">
        <v>758</v>
      </c>
      <c r="B140" s="1">
        <v>40577</v>
      </c>
      <c r="C140">
        <v>1</v>
      </c>
      <c r="D140">
        <v>0</v>
      </c>
      <c r="E140">
        <v>2</v>
      </c>
      <c r="F140">
        <v>23</v>
      </c>
      <c r="G140" t="b">
        <v>0</v>
      </c>
      <c r="H140">
        <v>4</v>
      </c>
      <c r="I140">
        <v>1</v>
      </c>
      <c r="J140">
        <v>0.2</v>
      </c>
      <c r="K140">
        <v>0.2273</v>
      </c>
      <c r="L140">
        <v>0.47</v>
      </c>
      <c r="M140">
        <v>0.1045</v>
      </c>
      <c r="N140">
        <v>4</v>
      </c>
      <c r="O140">
        <v>34</v>
      </c>
      <c r="P140">
        <v>38</v>
      </c>
    </row>
    <row r="141" spans="1:16">
      <c r="A141">
        <v>759</v>
      </c>
      <c r="B141" s="1">
        <v>40578</v>
      </c>
      <c r="C141">
        <v>1</v>
      </c>
      <c r="D141">
        <v>0</v>
      </c>
      <c r="E141">
        <v>2</v>
      </c>
      <c r="F141">
        <v>0</v>
      </c>
      <c r="G141" t="b">
        <v>0</v>
      </c>
      <c r="H141">
        <v>5</v>
      </c>
      <c r="I141">
        <v>2</v>
      </c>
      <c r="J141">
        <v>0.2</v>
      </c>
      <c r="K141">
        <v>0.2576</v>
      </c>
      <c r="L141">
        <v>0.44</v>
      </c>
      <c r="M141">
        <v>0</v>
      </c>
      <c r="N141">
        <v>3</v>
      </c>
      <c r="O141">
        <v>10</v>
      </c>
      <c r="P141">
        <v>13</v>
      </c>
    </row>
    <row r="142" spans="1:16">
      <c r="A142">
        <v>760</v>
      </c>
      <c r="B142" s="1">
        <v>40578</v>
      </c>
      <c r="C142">
        <v>1</v>
      </c>
      <c r="D142">
        <v>0</v>
      </c>
      <c r="E142">
        <v>2</v>
      </c>
      <c r="F142">
        <v>1</v>
      </c>
      <c r="G142" t="b">
        <v>0</v>
      </c>
      <c r="H142">
        <v>5</v>
      </c>
      <c r="I142">
        <v>2</v>
      </c>
      <c r="J142">
        <v>0.16</v>
      </c>
      <c r="K142">
        <v>0.2273</v>
      </c>
      <c r="L142">
        <v>0.59</v>
      </c>
      <c r="M142">
        <v>0</v>
      </c>
      <c r="N142">
        <v>0</v>
      </c>
      <c r="O142">
        <v>7</v>
      </c>
      <c r="P142">
        <v>7</v>
      </c>
    </row>
    <row r="143" spans="1:16">
      <c r="A143">
        <v>761</v>
      </c>
      <c r="B143" s="1">
        <v>40578</v>
      </c>
      <c r="C143">
        <v>1</v>
      </c>
      <c r="D143">
        <v>0</v>
      </c>
      <c r="E143">
        <v>2</v>
      </c>
      <c r="F143">
        <v>2</v>
      </c>
      <c r="G143" t="b">
        <v>0</v>
      </c>
      <c r="H143">
        <v>5</v>
      </c>
      <c r="I143">
        <v>2</v>
      </c>
      <c r="J143">
        <v>0.14000000000000001</v>
      </c>
      <c r="K143">
        <v>0.16669999999999999</v>
      </c>
      <c r="L143">
        <v>0.63</v>
      </c>
      <c r="M143">
        <v>0.1045</v>
      </c>
      <c r="N143">
        <v>0</v>
      </c>
      <c r="O143">
        <v>1</v>
      </c>
      <c r="P143">
        <v>1</v>
      </c>
    </row>
    <row r="144" spans="1:16">
      <c r="A144">
        <v>762</v>
      </c>
      <c r="B144" s="1">
        <v>40578</v>
      </c>
      <c r="C144">
        <v>1</v>
      </c>
      <c r="D144">
        <v>0</v>
      </c>
      <c r="E144">
        <v>2</v>
      </c>
      <c r="F144">
        <v>3</v>
      </c>
      <c r="G144" t="b">
        <v>0</v>
      </c>
      <c r="H144">
        <v>5</v>
      </c>
      <c r="I144">
        <v>2</v>
      </c>
      <c r="J144">
        <v>0.14000000000000001</v>
      </c>
      <c r="K144">
        <v>0.16669999999999999</v>
      </c>
      <c r="L144">
        <v>0.63</v>
      </c>
      <c r="M144">
        <v>0.1045</v>
      </c>
      <c r="N144">
        <v>0</v>
      </c>
      <c r="O144">
        <v>1</v>
      </c>
      <c r="P144">
        <v>1</v>
      </c>
    </row>
    <row r="145" spans="1:16">
      <c r="A145">
        <v>763</v>
      </c>
      <c r="B145" s="1">
        <v>40578</v>
      </c>
      <c r="C145">
        <v>1</v>
      </c>
      <c r="D145">
        <v>0</v>
      </c>
      <c r="E145">
        <v>2</v>
      </c>
      <c r="F145">
        <v>5</v>
      </c>
      <c r="G145" t="b">
        <v>0</v>
      </c>
      <c r="H145">
        <v>5</v>
      </c>
      <c r="I145">
        <v>2</v>
      </c>
      <c r="J145">
        <v>0.14000000000000001</v>
      </c>
      <c r="K145">
        <v>0.1515</v>
      </c>
      <c r="L145">
        <v>0.63</v>
      </c>
      <c r="M145">
        <v>0.1343</v>
      </c>
      <c r="N145">
        <v>0</v>
      </c>
      <c r="O145">
        <v>7</v>
      </c>
      <c r="P145">
        <v>7</v>
      </c>
    </row>
    <row r="146" spans="1:16">
      <c r="A146">
        <v>764</v>
      </c>
      <c r="B146" s="1">
        <v>40578</v>
      </c>
      <c r="C146">
        <v>1</v>
      </c>
      <c r="D146">
        <v>0</v>
      </c>
      <c r="E146">
        <v>2</v>
      </c>
      <c r="F146">
        <v>6</v>
      </c>
      <c r="G146" t="b">
        <v>0</v>
      </c>
      <c r="H146">
        <v>5</v>
      </c>
      <c r="I146">
        <v>2</v>
      </c>
      <c r="J146">
        <v>0.16</v>
      </c>
      <c r="K146">
        <v>0.2273</v>
      </c>
      <c r="L146">
        <v>0.55000000000000004</v>
      </c>
      <c r="M146">
        <v>0</v>
      </c>
      <c r="N146">
        <v>2</v>
      </c>
      <c r="O146">
        <v>26</v>
      </c>
      <c r="P146">
        <v>28</v>
      </c>
    </row>
    <row r="147" spans="1:16">
      <c r="A147">
        <v>765</v>
      </c>
      <c r="B147" s="1">
        <v>40578</v>
      </c>
      <c r="C147">
        <v>1</v>
      </c>
      <c r="D147">
        <v>0</v>
      </c>
      <c r="E147">
        <v>2</v>
      </c>
      <c r="F147">
        <v>7</v>
      </c>
      <c r="G147" t="b">
        <v>0</v>
      </c>
      <c r="H147">
        <v>5</v>
      </c>
      <c r="I147">
        <v>1</v>
      </c>
      <c r="J147">
        <v>0.14000000000000001</v>
      </c>
      <c r="K147">
        <v>0.21210000000000001</v>
      </c>
      <c r="L147">
        <v>0.59</v>
      </c>
      <c r="M147">
        <v>0</v>
      </c>
      <c r="N147">
        <v>0</v>
      </c>
      <c r="O147">
        <v>87</v>
      </c>
      <c r="P147">
        <v>87</v>
      </c>
    </row>
    <row r="148" spans="1:16">
      <c r="A148">
        <v>766</v>
      </c>
      <c r="B148" s="1">
        <v>40578</v>
      </c>
      <c r="C148">
        <v>1</v>
      </c>
      <c r="D148">
        <v>0</v>
      </c>
      <c r="E148">
        <v>2</v>
      </c>
      <c r="F148">
        <v>8</v>
      </c>
      <c r="G148" t="b">
        <v>0</v>
      </c>
      <c r="H148">
        <v>5</v>
      </c>
      <c r="I148">
        <v>1</v>
      </c>
      <c r="J148">
        <v>0.14000000000000001</v>
      </c>
      <c r="K148">
        <v>0.1515</v>
      </c>
      <c r="L148">
        <v>0.74</v>
      </c>
      <c r="M148">
        <v>0.1343</v>
      </c>
      <c r="N148">
        <v>3</v>
      </c>
      <c r="O148">
        <v>217</v>
      </c>
      <c r="P148">
        <v>220</v>
      </c>
    </row>
    <row r="149" spans="1:16">
      <c r="A149">
        <v>767</v>
      </c>
      <c r="B149" s="1">
        <v>40578</v>
      </c>
      <c r="C149">
        <v>1</v>
      </c>
      <c r="D149">
        <v>0</v>
      </c>
      <c r="E149">
        <v>2</v>
      </c>
      <c r="F149">
        <v>9</v>
      </c>
      <c r="G149" t="b">
        <v>0</v>
      </c>
      <c r="H149">
        <v>5</v>
      </c>
      <c r="I149">
        <v>2</v>
      </c>
      <c r="J149">
        <v>0.16</v>
      </c>
      <c r="K149">
        <v>0.18179999999999999</v>
      </c>
      <c r="L149">
        <v>0.8</v>
      </c>
      <c r="M149">
        <v>0.1343</v>
      </c>
      <c r="N149">
        <v>3</v>
      </c>
      <c r="O149">
        <v>124</v>
      </c>
      <c r="P149">
        <v>127</v>
      </c>
    </row>
    <row r="150" spans="1:16">
      <c r="A150">
        <v>768</v>
      </c>
      <c r="B150" s="1">
        <v>40578</v>
      </c>
      <c r="C150">
        <v>1</v>
      </c>
      <c r="D150">
        <v>0</v>
      </c>
      <c r="E150">
        <v>2</v>
      </c>
      <c r="F150">
        <v>10</v>
      </c>
      <c r="G150" t="b">
        <v>0</v>
      </c>
      <c r="H150">
        <v>5</v>
      </c>
      <c r="I150">
        <v>2</v>
      </c>
      <c r="J150">
        <v>0.2</v>
      </c>
      <c r="K150">
        <v>0.21210000000000001</v>
      </c>
      <c r="L150">
        <v>0.51</v>
      </c>
      <c r="M150">
        <v>0.1343</v>
      </c>
      <c r="N150">
        <v>5</v>
      </c>
      <c r="O150">
        <v>46</v>
      </c>
      <c r="P150">
        <v>51</v>
      </c>
    </row>
    <row r="151" spans="1:16">
      <c r="A151">
        <v>769</v>
      </c>
      <c r="B151" s="1">
        <v>40578</v>
      </c>
      <c r="C151">
        <v>1</v>
      </c>
      <c r="D151">
        <v>0</v>
      </c>
      <c r="E151">
        <v>2</v>
      </c>
      <c r="F151">
        <v>11</v>
      </c>
      <c r="G151" t="b">
        <v>0</v>
      </c>
      <c r="H151">
        <v>5</v>
      </c>
      <c r="I151">
        <v>1</v>
      </c>
      <c r="J151">
        <v>0.22</v>
      </c>
      <c r="K151">
        <v>0.2273</v>
      </c>
      <c r="L151">
        <v>0.51</v>
      </c>
      <c r="M151">
        <v>0.16420000000000001</v>
      </c>
      <c r="N151">
        <v>3</v>
      </c>
      <c r="O151">
        <v>61</v>
      </c>
      <c r="P151">
        <v>64</v>
      </c>
    </row>
    <row r="152" spans="1:16">
      <c r="A152">
        <v>770</v>
      </c>
      <c r="B152" s="1">
        <v>40578</v>
      </c>
      <c r="C152">
        <v>1</v>
      </c>
      <c r="D152">
        <v>0</v>
      </c>
      <c r="E152">
        <v>2</v>
      </c>
      <c r="F152">
        <v>12</v>
      </c>
      <c r="G152" t="b">
        <v>0</v>
      </c>
      <c r="H152">
        <v>5</v>
      </c>
      <c r="I152">
        <v>2</v>
      </c>
      <c r="J152">
        <v>0.24</v>
      </c>
      <c r="K152">
        <v>0.2424</v>
      </c>
      <c r="L152">
        <v>0.48</v>
      </c>
      <c r="M152">
        <v>0.16420000000000001</v>
      </c>
      <c r="N152">
        <v>8</v>
      </c>
      <c r="O152">
        <v>78</v>
      </c>
      <c r="P152">
        <v>86</v>
      </c>
    </row>
    <row r="153" spans="1:16">
      <c r="A153">
        <v>771</v>
      </c>
      <c r="B153" s="1">
        <v>40578</v>
      </c>
      <c r="C153">
        <v>1</v>
      </c>
      <c r="D153">
        <v>0</v>
      </c>
      <c r="E153">
        <v>2</v>
      </c>
      <c r="F153">
        <v>13</v>
      </c>
      <c r="G153" t="b">
        <v>0</v>
      </c>
      <c r="H153">
        <v>5</v>
      </c>
      <c r="I153">
        <v>2</v>
      </c>
      <c r="J153">
        <v>0.26</v>
      </c>
      <c r="K153">
        <v>0.2576</v>
      </c>
      <c r="L153">
        <v>0.5</v>
      </c>
      <c r="M153">
        <v>0.22389999999999999</v>
      </c>
      <c r="N153">
        <v>9</v>
      </c>
      <c r="O153">
        <v>73</v>
      </c>
      <c r="P153">
        <v>82</v>
      </c>
    </row>
    <row r="154" spans="1:16">
      <c r="A154">
        <v>772</v>
      </c>
      <c r="B154" s="1">
        <v>40578</v>
      </c>
      <c r="C154">
        <v>1</v>
      </c>
      <c r="D154">
        <v>0</v>
      </c>
      <c r="E154">
        <v>2</v>
      </c>
      <c r="F154">
        <v>14</v>
      </c>
      <c r="G154" t="b">
        <v>0</v>
      </c>
      <c r="H154">
        <v>5</v>
      </c>
      <c r="I154">
        <v>2</v>
      </c>
      <c r="J154">
        <v>0.28000000000000003</v>
      </c>
      <c r="K154">
        <v>0.2727</v>
      </c>
      <c r="L154">
        <v>0.45</v>
      </c>
      <c r="M154">
        <v>0.16420000000000001</v>
      </c>
      <c r="N154">
        <v>15</v>
      </c>
      <c r="O154">
        <v>76</v>
      </c>
      <c r="P154">
        <v>91</v>
      </c>
    </row>
    <row r="155" spans="1:16">
      <c r="A155">
        <v>773</v>
      </c>
      <c r="B155" s="1">
        <v>40578</v>
      </c>
      <c r="C155">
        <v>1</v>
      </c>
      <c r="D155">
        <v>0</v>
      </c>
      <c r="E155">
        <v>2</v>
      </c>
      <c r="F155">
        <v>15</v>
      </c>
      <c r="G155" t="b">
        <v>0</v>
      </c>
      <c r="H155">
        <v>5</v>
      </c>
      <c r="I155">
        <v>2</v>
      </c>
      <c r="J155">
        <v>0.28000000000000003</v>
      </c>
      <c r="K155">
        <v>0.2727</v>
      </c>
      <c r="L155">
        <v>0.48</v>
      </c>
      <c r="M155">
        <v>0.25369999999999998</v>
      </c>
      <c r="N155">
        <v>9</v>
      </c>
      <c r="O155">
        <v>81</v>
      </c>
      <c r="P155">
        <v>90</v>
      </c>
    </row>
    <row r="156" spans="1:16">
      <c r="A156">
        <v>774</v>
      </c>
      <c r="B156" s="1">
        <v>40578</v>
      </c>
      <c r="C156">
        <v>1</v>
      </c>
      <c r="D156">
        <v>0</v>
      </c>
      <c r="E156">
        <v>2</v>
      </c>
      <c r="F156">
        <v>16</v>
      </c>
      <c r="G156" t="b">
        <v>0</v>
      </c>
      <c r="H156">
        <v>5</v>
      </c>
      <c r="I156">
        <v>2</v>
      </c>
      <c r="J156">
        <v>0.3</v>
      </c>
      <c r="K156">
        <v>0.28789999999999999</v>
      </c>
      <c r="L156">
        <v>0.42</v>
      </c>
      <c r="M156">
        <v>0.22389999999999999</v>
      </c>
      <c r="N156">
        <v>8</v>
      </c>
      <c r="O156">
        <v>91</v>
      </c>
      <c r="P156">
        <v>99</v>
      </c>
    </row>
    <row r="157" spans="1:16">
      <c r="A157">
        <v>775</v>
      </c>
      <c r="B157" s="1">
        <v>40578</v>
      </c>
      <c r="C157">
        <v>1</v>
      </c>
      <c r="D157">
        <v>0</v>
      </c>
      <c r="E157">
        <v>2</v>
      </c>
      <c r="F157">
        <v>17</v>
      </c>
      <c r="G157" t="b">
        <v>0</v>
      </c>
      <c r="H157">
        <v>5</v>
      </c>
      <c r="I157">
        <v>2</v>
      </c>
      <c r="J157">
        <v>0.26</v>
      </c>
      <c r="K157">
        <v>0.2727</v>
      </c>
      <c r="L157">
        <v>0.56000000000000005</v>
      </c>
      <c r="M157">
        <v>0.1343</v>
      </c>
      <c r="N157">
        <v>10</v>
      </c>
      <c r="O157">
        <v>195</v>
      </c>
      <c r="P157">
        <v>205</v>
      </c>
    </row>
    <row r="158" spans="1:16">
      <c r="A158">
        <v>776</v>
      </c>
      <c r="B158" s="1">
        <v>40578</v>
      </c>
      <c r="C158">
        <v>1</v>
      </c>
      <c r="D158">
        <v>0</v>
      </c>
      <c r="E158">
        <v>2</v>
      </c>
      <c r="F158">
        <v>18</v>
      </c>
      <c r="G158" t="b">
        <v>0</v>
      </c>
      <c r="H158">
        <v>5</v>
      </c>
      <c r="I158">
        <v>2</v>
      </c>
      <c r="J158">
        <v>0.24</v>
      </c>
      <c r="K158">
        <v>0.2576</v>
      </c>
      <c r="L158">
        <v>0.6</v>
      </c>
      <c r="M158">
        <v>0.1045</v>
      </c>
      <c r="N158">
        <v>3</v>
      </c>
      <c r="O158">
        <v>152</v>
      </c>
      <c r="P158">
        <v>155</v>
      </c>
    </row>
    <row r="159" spans="1:16">
      <c r="A159">
        <v>777</v>
      </c>
      <c r="B159" s="1">
        <v>40578</v>
      </c>
      <c r="C159">
        <v>1</v>
      </c>
      <c r="D159">
        <v>0</v>
      </c>
      <c r="E159">
        <v>2</v>
      </c>
      <c r="F159">
        <v>19</v>
      </c>
      <c r="G159" t="b">
        <v>0</v>
      </c>
      <c r="H159">
        <v>5</v>
      </c>
      <c r="I159">
        <v>2</v>
      </c>
      <c r="J159">
        <v>0.24</v>
      </c>
      <c r="K159">
        <v>0.2424</v>
      </c>
      <c r="L159">
        <v>0.65</v>
      </c>
      <c r="M159">
        <v>0.1343</v>
      </c>
      <c r="N159">
        <v>1</v>
      </c>
      <c r="O159">
        <v>102</v>
      </c>
      <c r="P159">
        <v>103</v>
      </c>
    </row>
    <row r="160" spans="1:16">
      <c r="A160">
        <v>778</v>
      </c>
      <c r="B160" s="1">
        <v>40578</v>
      </c>
      <c r="C160">
        <v>1</v>
      </c>
      <c r="D160">
        <v>0</v>
      </c>
      <c r="E160">
        <v>2</v>
      </c>
      <c r="F160">
        <v>20</v>
      </c>
      <c r="G160" t="b">
        <v>0</v>
      </c>
      <c r="H160">
        <v>5</v>
      </c>
      <c r="I160">
        <v>2</v>
      </c>
      <c r="J160">
        <v>0.24</v>
      </c>
      <c r="K160">
        <v>0.2424</v>
      </c>
      <c r="L160">
        <v>0.65</v>
      </c>
      <c r="M160">
        <v>0.16420000000000001</v>
      </c>
      <c r="N160">
        <v>2</v>
      </c>
      <c r="O160">
        <v>69</v>
      </c>
      <c r="P160">
        <v>71</v>
      </c>
    </row>
    <row r="161" spans="1:16">
      <c r="A161">
        <v>779</v>
      </c>
      <c r="B161" s="1">
        <v>40578</v>
      </c>
      <c r="C161">
        <v>1</v>
      </c>
      <c r="D161">
        <v>0</v>
      </c>
      <c r="E161">
        <v>2</v>
      </c>
      <c r="F161">
        <v>21</v>
      </c>
      <c r="G161" t="b">
        <v>0</v>
      </c>
      <c r="H161">
        <v>5</v>
      </c>
      <c r="I161">
        <v>2</v>
      </c>
      <c r="J161">
        <v>0.24</v>
      </c>
      <c r="K161">
        <v>0.2424</v>
      </c>
      <c r="L161">
        <v>0.7</v>
      </c>
      <c r="M161">
        <v>0.16420000000000001</v>
      </c>
      <c r="N161">
        <v>2</v>
      </c>
      <c r="O161">
        <v>41</v>
      </c>
      <c r="P161">
        <v>43</v>
      </c>
    </row>
    <row r="162" spans="1:16">
      <c r="A162">
        <v>780</v>
      </c>
      <c r="B162" s="1">
        <v>40578</v>
      </c>
      <c r="C162">
        <v>1</v>
      </c>
      <c r="D162">
        <v>0</v>
      </c>
      <c r="E162">
        <v>2</v>
      </c>
      <c r="F162">
        <v>22</v>
      </c>
      <c r="G162" t="b">
        <v>0</v>
      </c>
      <c r="H162">
        <v>5</v>
      </c>
      <c r="I162">
        <v>2</v>
      </c>
      <c r="J162">
        <v>0.24</v>
      </c>
      <c r="K162">
        <v>0.2424</v>
      </c>
      <c r="L162">
        <v>0.65</v>
      </c>
      <c r="M162">
        <v>0.16420000000000001</v>
      </c>
      <c r="N162">
        <v>1</v>
      </c>
      <c r="O162">
        <v>45</v>
      </c>
      <c r="P162">
        <v>46</v>
      </c>
    </row>
    <row r="163" spans="1:16">
      <c r="A163">
        <v>781</v>
      </c>
      <c r="B163" s="1">
        <v>40578</v>
      </c>
      <c r="C163">
        <v>1</v>
      </c>
      <c r="D163">
        <v>0</v>
      </c>
      <c r="E163">
        <v>2</v>
      </c>
      <c r="F163">
        <v>23</v>
      </c>
      <c r="G163" t="b">
        <v>0</v>
      </c>
      <c r="H163">
        <v>5</v>
      </c>
      <c r="I163">
        <v>2</v>
      </c>
      <c r="J163">
        <v>0.24</v>
      </c>
      <c r="K163">
        <v>0.2424</v>
      </c>
      <c r="L163">
        <v>0.7</v>
      </c>
      <c r="M163">
        <v>0.1343</v>
      </c>
      <c r="N163">
        <v>1</v>
      </c>
      <c r="O163">
        <v>30</v>
      </c>
      <c r="P163">
        <v>31</v>
      </c>
    </row>
    <row r="164" spans="1:16">
      <c r="A164">
        <v>782</v>
      </c>
      <c r="B164" s="1">
        <v>40579</v>
      </c>
      <c r="C164">
        <v>1</v>
      </c>
      <c r="D164">
        <v>0</v>
      </c>
      <c r="E164">
        <v>2</v>
      </c>
      <c r="F164">
        <v>0</v>
      </c>
      <c r="G164" t="b">
        <v>0</v>
      </c>
      <c r="H164">
        <v>6</v>
      </c>
      <c r="I164">
        <v>2</v>
      </c>
      <c r="J164">
        <v>0.24</v>
      </c>
      <c r="K164">
        <v>0.2424</v>
      </c>
      <c r="L164">
        <v>0.7</v>
      </c>
      <c r="M164">
        <v>0.16420000000000001</v>
      </c>
      <c r="N164">
        <v>3</v>
      </c>
      <c r="O164">
        <v>36</v>
      </c>
      <c r="P164">
        <v>39</v>
      </c>
    </row>
    <row r="165" spans="1:16">
      <c r="A165">
        <v>783</v>
      </c>
      <c r="B165" s="1">
        <v>40579</v>
      </c>
      <c r="C165">
        <v>1</v>
      </c>
      <c r="D165">
        <v>0</v>
      </c>
      <c r="E165">
        <v>2</v>
      </c>
      <c r="F165">
        <v>1</v>
      </c>
      <c r="G165" t="b">
        <v>0</v>
      </c>
      <c r="H165">
        <v>6</v>
      </c>
      <c r="I165">
        <v>2</v>
      </c>
      <c r="J165">
        <v>0.24</v>
      </c>
      <c r="K165">
        <v>0.2424</v>
      </c>
      <c r="L165">
        <v>0.65</v>
      </c>
      <c r="M165">
        <v>0.16420000000000001</v>
      </c>
      <c r="N165">
        <v>1</v>
      </c>
      <c r="O165">
        <v>17</v>
      </c>
      <c r="P165">
        <v>18</v>
      </c>
    </row>
    <row r="166" spans="1:16">
      <c r="A166">
        <v>784</v>
      </c>
      <c r="B166" s="1">
        <v>40579</v>
      </c>
      <c r="C166">
        <v>1</v>
      </c>
      <c r="D166">
        <v>0</v>
      </c>
      <c r="E166">
        <v>2</v>
      </c>
      <c r="F166">
        <v>2</v>
      </c>
      <c r="G166" t="b">
        <v>0</v>
      </c>
      <c r="H166">
        <v>6</v>
      </c>
      <c r="I166">
        <v>2</v>
      </c>
      <c r="J166">
        <v>0.24</v>
      </c>
      <c r="K166">
        <v>0.2424</v>
      </c>
      <c r="L166">
        <v>0.75</v>
      </c>
      <c r="M166">
        <v>0.16420000000000001</v>
      </c>
      <c r="N166">
        <v>5</v>
      </c>
      <c r="O166">
        <v>12</v>
      </c>
      <c r="P166">
        <v>17</v>
      </c>
    </row>
    <row r="167" spans="1:16">
      <c r="A167">
        <v>785</v>
      </c>
      <c r="B167" s="1">
        <v>40579</v>
      </c>
      <c r="C167">
        <v>1</v>
      </c>
      <c r="D167">
        <v>0</v>
      </c>
      <c r="E167">
        <v>2</v>
      </c>
      <c r="F167">
        <v>3</v>
      </c>
      <c r="G167" t="b">
        <v>0</v>
      </c>
      <c r="H167">
        <v>6</v>
      </c>
      <c r="I167">
        <v>2</v>
      </c>
      <c r="J167">
        <v>0.24</v>
      </c>
      <c r="K167">
        <v>0.2424</v>
      </c>
      <c r="L167">
        <v>0.75</v>
      </c>
      <c r="M167">
        <v>0.16420000000000001</v>
      </c>
      <c r="N167">
        <v>1</v>
      </c>
      <c r="O167">
        <v>10</v>
      </c>
      <c r="P167">
        <v>11</v>
      </c>
    </row>
    <row r="168" spans="1:16">
      <c r="A168">
        <v>786</v>
      </c>
      <c r="B168" s="1">
        <v>40579</v>
      </c>
      <c r="C168">
        <v>1</v>
      </c>
      <c r="D168">
        <v>0</v>
      </c>
      <c r="E168">
        <v>2</v>
      </c>
      <c r="F168">
        <v>4</v>
      </c>
      <c r="G168" t="b">
        <v>0</v>
      </c>
      <c r="H168">
        <v>6</v>
      </c>
      <c r="I168">
        <v>3</v>
      </c>
      <c r="J168">
        <v>0.22</v>
      </c>
      <c r="K168">
        <v>0.2273</v>
      </c>
      <c r="L168">
        <v>0.93</v>
      </c>
      <c r="M168">
        <v>0.1343</v>
      </c>
      <c r="N168">
        <v>0</v>
      </c>
      <c r="O168">
        <v>8</v>
      </c>
      <c r="P168">
        <v>8</v>
      </c>
    </row>
    <row r="169" spans="1:16">
      <c r="A169">
        <v>787</v>
      </c>
      <c r="B169" s="1">
        <v>40579</v>
      </c>
      <c r="C169">
        <v>1</v>
      </c>
      <c r="D169">
        <v>0</v>
      </c>
      <c r="E169">
        <v>2</v>
      </c>
      <c r="F169">
        <v>5</v>
      </c>
      <c r="G169" t="b">
        <v>0</v>
      </c>
      <c r="H169">
        <v>6</v>
      </c>
      <c r="I169">
        <v>3</v>
      </c>
      <c r="J169">
        <v>0.2</v>
      </c>
      <c r="K169">
        <v>0.2273</v>
      </c>
      <c r="L169">
        <v>1</v>
      </c>
      <c r="M169">
        <v>8.9599999999999999E-2</v>
      </c>
      <c r="N169">
        <v>0</v>
      </c>
      <c r="O169">
        <v>9</v>
      </c>
      <c r="P169">
        <v>9</v>
      </c>
    </row>
    <row r="170" spans="1:16">
      <c r="A170">
        <v>788</v>
      </c>
      <c r="B170" s="1">
        <v>40579</v>
      </c>
      <c r="C170">
        <v>1</v>
      </c>
      <c r="D170">
        <v>0</v>
      </c>
      <c r="E170">
        <v>2</v>
      </c>
      <c r="F170">
        <v>6</v>
      </c>
      <c r="G170" t="b">
        <v>0</v>
      </c>
      <c r="H170">
        <v>6</v>
      </c>
      <c r="I170">
        <v>3</v>
      </c>
      <c r="J170">
        <v>0.2</v>
      </c>
      <c r="K170">
        <v>0.2576</v>
      </c>
      <c r="L170">
        <v>1</v>
      </c>
      <c r="M170">
        <v>0</v>
      </c>
      <c r="N170">
        <v>0</v>
      </c>
      <c r="O170">
        <v>4</v>
      </c>
      <c r="P170">
        <v>4</v>
      </c>
    </row>
    <row r="171" spans="1:16">
      <c r="A171">
        <v>789</v>
      </c>
      <c r="B171" s="1">
        <v>40579</v>
      </c>
      <c r="C171">
        <v>1</v>
      </c>
      <c r="D171">
        <v>0</v>
      </c>
      <c r="E171">
        <v>2</v>
      </c>
      <c r="F171">
        <v>7</v>
      </c>
      <c r="G171" t="b">
        <v>0</v>
      </c>
      <c r="H171">
        <v>6</v>
      </c>
      <c r="I171">
        <v>3</v>
      </c>
      <c r="J171">
        <v>0.22</v>
      </c>
      <c r="K171">
        <v>0.2576</v>
      </c>
      <c r="L171">
        <v>0.93</v>
      </c>
      <c r="M171">
        <v>8.9599999999999999E-2</v>
      </c>
      <c r="N171">
        <v>0</v>
      </c>
      <c r="O171">
        <v>4</v>
      </c>
      <c r="P171">
        <v>4</v>
      </c>
    </row>
    <row r="172" spans="1:16">
      <c r="A172">
        <v>790</v>
      </c>
      <c r="B172" s="1">
        <v>40579</v>
      </c>
      <c r="C172">
        <v>1</v>
      </c>
      <c r="D172">
        <v>0</v>
      </c>
      <c r="E172">
        <v>2</v>
      </c>
      <c r="F172">
        <v>8</v>
      </c>
      <c r="G172" t="b">
        <v>0</v>
      </c>
      <c r="H172">
        <v>6</v>
      </c>
      <c r="I172">
        <v>3</v>
      </c>
      <c r="J172">
        <v>0.2</v>
      </c>
      <c r="K172">
        <v>0.2273</v>
      </c>
      <c r="L172">
        <v>1</v>
      </c>
      <c r="M172">
        <v>8.9599999999999999E-2</v>
      </c>
      <c r="N172">
        <v>0</v>
      </c>
      <c r="O172">
        <v>10</v>
      </c>
      <c r="P172">
        <v>10</v>
      </c>
    </row>
    <row r="173" spans="1:16">
      <c r="A173">
        <v>791</v>
      </c>
      <c r="B173" s="1">
        <v>40579</v>
      </c>
      <c r="C173">
        <v>1</v>
      </c>
      <c r="D173">
        <v>0</v>
      </c>
      <c r="E173">
        <v>2</v>
      </c>
      <c r="F173">
        <v>9</v>
      </c>
      <c r="G173" t="b">
        <v>0</v>
      </c>
      <c r="H173">
        <v>6</v>
      </c>
      <c r="I173">
        <v>3</v>
      </c>
      <c r="J173">
        <v>0.2</v>
      </c>
      <c r="K173">
        <v>0.2273</v>
      </c>
      <c r="L173">
        <v>1</v>
      </c>
      <c r="M173">
        <v>8.9599999999999999E-2</v>
      </c>
      <c r="N173">
        <v>3</v>
      </c>
      <c r="O173">
        <v>17</v>
      </c>
      <c r="P173">
        <v>20</v>
      </c>
    </row>
    <row r="174" spans="1:16">
      <c r="A174">
        <v>792</v>
      </c>
      <c r="B174" s="1">
        <v>40579</v>
      </c>
      <c r="C174">
        <v>1</v>
      </c>
      <c r="D174">
        <v>0</v>
      </c>
      <c r="E174">
        <v>2</v>
      </c>
      <c r="F174">
        <v>10</v>
      </c>
      <c r="G174" t="b">
        <v>0</v>
      </c>
      <c r="H174">
        <v>6</v>
      </c>
      <c r="I174">
        <v>3</v>
      </c>
      <c r="J174">
        <v>0.2</v>
      </c>
      <c r="K174">
        <v>0.21210000000000001</v>
      </c>
      <c r="L174">
        <v>1</v>
      </c>
      <c r="M174">
        <v>0.1343</v>
      </c>
      <c r="N174">
        <v>3</v>
      </c>
      <c r="O174">
        <v>31</v>
      </c>
      <c r="P174">
        <v>34</v>
      </c>
    </row>
    <row r="175" spans="1:16">
      <c r="A175">
        <v>793</v>
      </c>
      <c r="B175" s="1">
        <v>40579</v>
      </c>
      <c r="C175">
        <v>1</v>
      </c>
      <c r="D175">
        <v>0</v>
      </c>
      <c r="E175">
        <v>2</v>
      </c>
      <c r="F175">
        <v>11</v>
      </c>
      <c r="G175" t="b">
        <v>0</v>
      </c>
      <c r="H175">
        <v>6</v>
      </c>
      <c r="I175">
        <v>3</v>
      </c>
      <c r="J175">
        <v>0.22</v>
      </c>
      <c r="K175">
        <v>0.2273</v>
      </c>
      <c r="L175">
        <v>1</v>
      </c>
      <c r="M175">
        <v>0.1343</v>
      </c>
      <c r="N175">
        <v>1</v>
      </c>
      <c r="O175">
        <v>46</v>
      </c>
      <c r="P175">
        <v>47</v>
      </c>
    </row>
    <row r="176" spans="1:16">
      <c r="A176">
        <v>794</v>
      </c>
      <c r="B176" s="1">
        <v>40579</v>
      </c>
      <c r="C176">
        <v>1</v>
      </c>
      <c r="D176">
        <v>0</v>
      </c>
      <c r="E176">
        <v>2</v>
      </c>
      <c r="F176">
        <v>12</v>
      </c>
      <c r="G176" t="b">
        <v>0</v>
      </c>
      <c r="H176">
        <v>6</v>
      </c>
      <c r="I176">
        <v>3</v>
      </c>
      <c r="J176">
        <v>0.22</v>
      </c>
      <c r="K176">
        <v>0.2273</v>
      </c>
      <c r="L176">
        <v>1</v>
      </c>
      <c r="M176">
        <v>0.16420000000000001</v>
      </c>
      <c r="N176">
        <v>10</v>
      </c>
      <c r="O176">
        <v>42</v>
      </c>
      <c r="P176">
        <v>52</v>
      </c>
    </row>
    <row r="177" spans="1:16">
      <c r="A177">
        <v>795</v>
      </c>
      <c r="B177" s="1">
        <v>40579</v>
      </c>
      <c r="C177">
        <v>1</v>
      </c>
      <c r="D177">
        <v>0</v>
      </c>
      <c r="E177">
        <v>2</v>
      </c>
      <c r="F177">
        <v>13</v>
      </c>
      <c r="G177" t="b">
        <v>0</v>
      </c>
      <c r="H177">
        <v>6</v>
      </c>
      <c r="I177">
        <v>3</v>
      </c>
      <c r="J177">
        <v>0.22</v>
      </c>
      <c r="K177">
        <v>0.2273</v>
      </c>
      <c r="L177">
        <v>1</v>
      </c>
      <c r="M177">
        <v>0.16420000000000001</v>
      </c>
      <c r="N177">
        <v>10</v>
      </c>
      <c r="O177">
        <v>62</v>
      </c>
      <c r="P177">
        <v>72</v>
      </c>
    </row>
    <row r="178" spans="1:16">
      <c r="A178">
        <v>796</v>
      </c>
      <c r="B178" s="1">
        <v>40579</v>
      </c>
      <c r="C178">
        <v>1</v>
      </c>
      <c r="D178">
        <v>0</v>
      </c>
      <c r="E178">
        <v>2</v>
      </c>
      <c r="F178">
        <v>14</v>
      </c>
      <c r="G178" t="b">
        <v>0</v>
      </c>
      <c r="H178">
        <v>6</v>
      </c>
      <c r="I178">
        <v>3</v>
      </c>
      <c r="J178">
        <v>0.22</v>
      </c>
      <c r="K178">
        <v>0.2727</v>
      </c>
      <c r="L178">
        <v>1</v>
      </c>
      <c r="M178">
        <v>0</v>
      </c>
      <c r="N178">
        <v>5</v>
      </c>
      <c r="O178">
        <v>50</v>
      </c>
      <c r="P178">
        <v>55</v>
      </c>
    </row>
    <row r="179" spans="1:16">
      <c r="A179">
        <v>797</v>
      </c>
      <c r="B179" s="1">
        <v>40579</v>
      </c>
      <c r="C179">
        <v>1</v>
      </c>
      <c r="D179">
        <v>0</v>
      </c>
      <c r="E179">
        <v>2</v>
      </c>
      <c r="F179">
        <v>15</v>
      </c>
      <c r="G179" t="b">
        <v>0</v>
      </c>
      <c r="H179">
        <v>6</v>
      </c>
      <c r="I179">
        <v>3</v>
      </c>
      <c r="J179">
        <v>0.22</v>
      </c>
      <c r="K179">
        <v>0.2727</v>
      </c>
      <c r="L179">
        <v>1</v>
      </c>
      <c r="M179">
        <v>0</v>
      </c>
      <c r="N179">
        <v>11</v>
      </c>
      <c r="O179">
        <v>49</v>
      </c>
      <c r="P179">
        <v>60</v>
      </c>
    </row>
    <row r="180" spans="1:16">
      <c r="A180">
        <v>798</v>
      </c>
      <c r="B180" s="1">
        <v>40579</v>
      </c>
      <c r="C180">
        <v>1</v>
      </c>
      <c r="D180">
        <v>0</v>
      </c>
      <c r="E180">
        <v>2</v>
      </c>
      <c r="F180">
        <v>16</v>
      </c>
      <c r="G180" t="b">
        <v>0</v>
      </c>
      <c r="H180">
        <v>6</v>
      </c>
      <c r="I180">
        <v>3</v>
      </c>
      <c r="J180">
        <v>0.22</v>
      </c>
      <c r="K180">
        <v>0.2273</v>
      </c>
      <c r="L180">
        <v>1</v>
      </c>
      <c r="M180">
        <v>0.1343</v>
      </c>
      <c r="N180">
        <v>8</v>
      </c>
      <c r="O180">
        <v>63</v>
      </c>
      <c r="P180">
        <v>71</v>
      </c>
    </row>
    <row r="181" spans="1:16">
      <c r="A181">
        <v>799</v>
      </c>
      <c r="B181" s="1">
        <v>40579</v>
      </c>
      <c r="C181">
        <v>1</v>
      </c>
      <c r="D181">
        <v>0</v>
      </c>
      <c r="E181">
        <v>2</v>
      </c>
      <c r="F181">
        <v>17</v>
      </c>
      <c r="G181" t="b">
        <v>0</v>
      </c>
      <c r="H181">
        <v>6</v>
      </c>
      <c r="I181">
        <v>2</v>
      </c>
      <c r="J181">
        <v>0.24</v>
      </c>
      <c r="K181">
        <v>0.21210000000000001</v>
      </c>
      <c r="L181">
        <v>1</v>
      </c>
      <c r="M181">
        <v>0.28360000000000002</v>
      </c>
      <c r="N181">
        <v>14</v>
      </c>
      <c r="O181">
        <v>64</v>
      </c>
      <c r="P181">
        <v>78</v>
      </c>
    </row>
    <row r="182" spans="1:16">
      <c r="A182">
        <v>800</v>
      </c>
      <c r="B182" s="1">
        <v>40579</v>
      </c>
      <c r="C182">
        <v>1</v>
      </c>
      <c r="D182">
        <v>0</v>
      </c>
      <c r="E182">
        <v>2</v>
      </c>
      <c r="F182">
        <v>18</v>
      </c>
      <c r="G182" t="b">
        <v>0</v>
      </c>
      <c r="H182">
        <v>6</v>
      </c>
      <c r="I182">
        <v>2</v>
      </c>
      <c r="J182">
        <v>0.28000000000000003</v>
      </c>
      <c r="K182">
        <v>0.2424</v>
      </c>
      <c r="L182">
        <v>0.93</v>
      </c>
      <c r="M182">
        <v>0.44779999999999998</v>
      </c>
      <c r="N182">
        <v>2</v>
      </c>
      <c r="O182">
        <v>81</v>
      </c>
      <c r="P182">
        <v>83</v>
      </c>
    </row>
    <row r="183" spans="1:16">
      <c r="A183">
        <v>801</v>
      </c>
      <c r="B183" s="1">
        <v>40579</v>
      </c>
      <c r="C183">
        <v>1</v>
      </c>
      <c r="D183">
        <v>0</v>
      </c>
      <c r="E183">
        <v>2</v>
      </c>
      <c r="F183">
        <v>19</v>
      </c>
      <c r="G183" t="b">
        <v>0</v>
      </c>
      <c r="H183">
        <v>6</v>
      </c>
      <c r="I183">
        <v>2</v>
      </c>
      <c r="J183">
        <v>0.28000000000000003</v>
      </c>
      <c r="K183">
        <v>0.2424</v>
      </c>
      <c r="L183">
        <v>0.93</v>
      </c>
      <c r="M183">
        <v>0.44779999999999998</v>
      </c>
      <c r="N183">
        <v>6</v>
      </c>
      <c r="O183">
        <v>78</v>
      </c>
      <c r="P183">
        <v>84</v>
      </c>
    </row>
    <row r="184" spans="1:16">
      <c r="A184">
        <v>802</v>
      </c>
      <c r="B184" s="1">
        <v>40579</v>
      </c>
      <c r="C184">
        <v>1</v>
      </c>
      <c r="D184">
        <v>0</v>
      </c>
      <c r="E184">
        <v>2</v>
      </c>
      <c r="F184">
        <v>20</v>
      </c>
      <c r="G184" t="b">
        <v>0</v>
      </c>
      <c r="H184">
        <v>6</v>
      </c>
      <c r="I184">
        <v>1</v>
      </c>
      <c r="J184">
        <v>0.3</v>
      </c>
      <c r="K184">
        <v>0.28789999999999999</v>
      </c>
      <c r="L184">
        <v>0.87</v>
      </c>
      <c r="M184">
        <v>0.25369999999999998</v>
      </c>
      <c r="N184">
        <v>5</v>
      </c>
      <c r="O184">
        <v>64</v>
      </c>
      <c r="P184">
        <v>69</v>
      </c>
    </row>
    <row r="185" spans="1:16">
      <c r="A185">
        <v>803</v>
      </c>
      <c r="B185" s="1">
        <v>40579</v>
      </c>
      <c r="C185">
        <v>1</v>
      </c>
      <c r="D185">
        <v>0</v>
      </c>
      <c r="E185">
        <v>2</v>
      </c>
      <c r="F185">
        <v>21</v>
      </c>
      <c r="G185" t="b">
        <v>0</v>
      </c>
      <c r="H185">
        <v>6</v>
      </c>
      <c r="I185">
        <v>1</v>
      </c>
      <c r="J185">
        <v>0.26</v>
      </c>
      <c r="K185">
        <v>0.2576</v>
      </c>
      <c r="L185">
        <v>1</v>
      </c>
      <c r="M185">
        <v>0.19400000000000001</v>
      </c>
      <c r="N185">
        <v>3</v>
      </c>
      <c r="O185">
        <v>53</v>
      </c>
      <c r="P185">
        <v>56</v>
      </c>
    </row>
    <row r="186" spans="1:16">
      <c r="A186">
        <v>804</v>
      </c>
      <c r="B186" s="1">
        <v>40579</v>
      </c>
      <c r="C186">
        <v>1</v>
      </c>
      <c r="D186">
        <v>0</v>
      </c>
      <c r="E186">
        <v>2</v>
      </c>
      <c r="F186">
        <v>22</v>
      </c>
      <c r="G186" t="b">
        <v>0</v>
      </c>
      <c r="H186">
        <v>6</v>
      </c>
      <c r="I186">
        <v>1</v>
      </c>
      <c r="J186">
        <v>0.26</v>
      </c>
      <c r="K186">
        <v>0.2727</v>
      </c>
      <c r="L186">
        <v>0.93</v>
      </c>
      <c r="M186">
        <v>0.1343</v>
      </c>
      <c r="N186">
        <v>2</v>
      </c>
      <c r="O186">
        <v>43</v>
      </c>
      <c r="P186">
        <v>45</v>
      </c>
    </row>
    <row r="187" spans="1:16">
      <c r="A187">
        <v>805</v>
      </c>
      <c r="B187" s="1">
        <v>40579</v>
      </c>
      <c r="C187">
        <v>1</v>
      </c>
      <c r="D187">
        <v>0</v>
      </c>
      <c r="E187">
        <v>2</v>
      </c>
      <c r="F187">
        <v>23</v>
      </c>
      <c r="G187" t="b">
        <v>0</v>
      </c>
      <c r="H187">
        <v>6</v>
      </c>
      <c r="I187">
        <v>1</v>
      </c>
      <c r="J187">
        <v>0.26</v>
      </c>
      <c r="K187">
        <v>0.2576</v>
      </c>
      <c r="L187">
        <v>0.93</v>
      </c>
      <c r="M187">
        <v>0.22389999999999999</v>
      </c>
      <c r="N187">
        <v>7</v>
      </c>
      <c r="O187">
        <v>52</v>
      </c>
      <c r="P187">
        <v>59</v>
      </c>
    </row>
    <row r="188" spans="1:16">
      <c r="A188">
        <v>806</v>
      </c>
      <c r="B188" s="1">
        <v>40580</v>
      </c>
      <c r="C188">
        <v>1</v>
      </c>
      <c r="D188">
        <v>0</v>
      </c>
      <c r="E188">
        <v>2</v>
      </c>
      <c r="F188">
        <v>0</v>
      </c>
      <c r="G188" t="b">
        <v>0</v>
      </c>
      <c r="H188">
        <v>0</v>
      </c>
      <c r="I188">
        <v>1</v>
      </c>
      <c r="J188">
        <v>0.26</v>
      </c>
      <c r="K188">
        <v>0.2576</v>
      </c>
      <c r="L188">
        <v>0.7</v>
      </c>
      <c r="M188">
        <v>0.19400000000000001</v>
      </c>
      <c r="N188">
        <v>2</v>
      </c>
      <c r="O188">
        <v>37</v>
      </c>
      <c r="P188">
        <v>39</v>
      </c>
    </row>
    <row r="189" spans="1:16">
      <c r="A189">
        <v>807</v>
      </c>
      <c r="B189" s="1">
        <v>40580</v>
      </c>
      <c r="C189">
        <v>1</v>
      </c>
      <c r="D189">
        <v>0</v>
      </c>
      <c r="E189">
        <v>2</v>
      </c>
      <c r="F189">
        <v>1</v>
      </c>
      <c r="G189" t="b">
        <v>0</v>
      </c>
      <c r="H189">
        <v>0</v>
      </c>
      <c r="I189">
        <v>1</v>
      </c>
      <c r="J189">
        <v>0.26</v>
      </c>
      <c r="K189">
        <v>0.2273</v>
      </c>
      <c r="L189">
        <v>0.65</v>
      </c>
      <c r="M189">
        <v>0.41789999999999999</v>
      </c>
      <c r="N189">
        <v>4</v>
      </c>
      <c r="O189">
        <v>40</v>
      </c>
      <c r="P189">
        <v>44</v>
      </c>
    </row>
    <row r="190" spans="1:16">
      <c r="A190">
        <v>808</v>
      </c>
      <c r="B190" s="1">
        <v>40580</v>
      </c>
      <c r="C190">
        <v>1</v>
      </c>
      <c r="D190">
        <v>0</v>
      </c>
      <c r="E190">
        <v>2</v>
      </c>
      <c r="F190">
        <v>2</v>
      </c>
      <c r="G190" t="b">
        <v>0</v>
      </c>
      <c r="H190">
        <v>0</v>
      </c>
      <c r="I190">
        <v>1</v>
      </c>
      <c r="J190">
        <v>0.26</v>
      </c>
      <c r="K190">
        <v>0.2273</v>
      </c>
      <c r="L190">
        <v>0.6</v>
      </c>
      <c r="M190">
        <v>0.32840000000000003</v>
      </c>
      <c r="N190">
        <v>0</v>
      </c>
      <c r="O190">
        <v>20</v>
      </c>
      <c r="P190">
        <v>20</v>
      </c>
    </row>
    <row r="191" spans="1:16">
      <c r="A191">
        <v>809</v>
      </c>
      <c r="B191" s="1">
        <v>40580</v>
      </c>
      <c r="C191">
        <v>1</v>
      </c>
      <c r="D191">
        <v>0</v>
      </c>
      <c r="E191">
        <v>2</v>
      </c>
      <c r="F191">
        <v>3</v>
      </c>
      <c r="G191" t="b">
        <v>0</v>
      </c>
      <c r="H191">
        <v>0</v>
      </c>
      <c r="I191">
        <v>1</v>
      </c>
      <c r="J191">
        <v>0.26</v>
      </c>
      <c r="K191">
        <v>0.28789999999999999</v>
      </c>
      <c r="L191">
        <v>0.6</v>
      </c>
      <c r="M191">
        <v>8.9599999999999999E-2</v>
      </c>
      <c r="N191">
        <v>3</v>
      </c>
      <c r="O191">
        <v>10</v>
      </c>
      <c r="P191">
        <v>13</v>
      </c>
    </row>
    <row r="192" spans="1:16">
      <c r="A192">
        <v>810</v>
      </c>
      <c r="B192" s="1">
        <v>40580</v>
      </c>
      <c r="C192">
        <v>1</v>
      </c>
      <c r="D192">
        <v>0</v>
      </c>
      <c r="E192">
        <v>2</v>
      </c>
      <c r="F192">
        <v>4</v>
      </c>
      <c r="G192" t="b">
        <v>0</v>
      </c>
      <c r="H192">
        <v>0</v>
      </c>
      <c r="I192">
        <v>1</v>
      </c>
      <c r="J192">
        <v>0.26</v>
      </c>
      <c r="K192">
        <v>0.2273</v>
      </c>
      <c r="L192">
        <v>0.6</v>
      </c>
      <c r="M192">
        <v>0.35820000000000002</v>
      </c>
      <c r="N192">
        <v>0</v>
      </c>
      <c r="O192">
        <v>2</v>
      </c>
      <c r="P192">
        <v>2</v>
      </c>
    </row>
    <row r="193" spans="1:16">
      <c r="A193">
        <v>811</v>
      </c>
      <c r="B193" s="1">
        <v>40580</v>
      </c>
      <c r="C193">
        <v>1</v>
      </c>
      <c r="D193">
        <v>0</v>
      </c>
      <c r="E193">
        <v>2</v>
      </c>
      <c r="F193">
        <v>5</v>
      </c>
      <c r="G193" t="b">
        <v>0</v>
      </c>
      <c r="H193">
        <v>0</v>
      </c>
      <c r="I193">
        <v>1</v>
      </c>
      <c r="J193">
        <v>0.26</v>
      </c>
      <c r="K193">
        <v>0.2576</v>
      </c>
      <c r="L193">
        <v>0.6</v>
      </c>
      <c r="M193">
        <v>0.22389999999999999</v>
      </c>
      <c r="N193">
        <v>0</v>
      </c>
      <c r="O193">
        <v>1</v>
      </c>
      <c r="P193">
        <v>1</v>
      </c>
    </row>
    <row r="194" spans="1:16">
      <c r="A194">
        <v>812</v>
      </c>
      <c r="B194" s="1">
        <v>40580</v>
      </c>
      <c r="C194">
        <v>1</v>
      </c>
      <c r="D194">
        <v>0</v>
      </c>
      <c r="E194">
        <v>2</v>
      </c>
      <c r="F194">
        <v>6</v>
      </c>
      <c r="G194" t="b">
        <v>0</v>
      </c>
      <c r="H194">
        <v>0</v>
      </c>
      <c r="I194">
        <v>1</v>
      </c>
      <c r="J194">
        <v>0.26</v>
      </c>
      <c r="K194">
        <v>0.2576</v>
      </c>
      <c r="L194">
        <v>0.6</v>
      </c>
      <c r="M194">
        <v>0.22389999999999999</v>
      </c>
      <c r="N194">
        <v>0</v>
      </c>
      <c r="O194">
        <v>1</v>
      </c>
      <c r="P194">
        <v>1</v>
      </c>
    </row>
    <row r="195" spans="1:16">
      <c r="A195">
        <v>813</v>
      </c>
      <c r="B195" s="1">
        <v>40580</v>
      </c>
      <c r="C195">
        <v>1</v>
      </c>
      <c r="D195">
        <v>0</v>
      </c>
      <c r="E195">
        <v>2</v>
      </c>
      <c r="F195">
        <v>7</v>
      </c>
      <c r="G195" t="b">
        <v>0</v>
      </c>
      <c r="H195">
        <v>0</v>
      </c>
      <c r="I195">
        <v>1</v>
      </c>
      <c r="J195">
        <v>0.24</v>
      </c>
      <c r="K195">
        <v>0.2424</v>
      </c>
      <c r="L195">
        <v>0.65</v>
      </c>
      <c r="M195">
        <v>0.16420000000000001</v>
      </c>
      <c r="N195">
        <v>0</v>
      </c>
      <c r="O195">
        <v>8</v>
      </c>
      <c r="P195">
        <v>8</v>
      </c>
    </row>
    <row r="196" spans="1:16">
      <c r="A196">
        <v>814</v>
      </c>
      <c r="B196" s="1">
        <v>40580</v>
      </c>
      <c r="C196">
        <v>1</v>
      </c>
      <c r="D196">
        <v>0</v>
      </c>
      <c r="E196">
        <v>2</v>
      </c>
      <c r="F196">
        <v>8</v>
      </c>
      <c r="G196" t="b">
        <v>0</v>
      </c>
      <c r="H196">
        <v>0</v>
      </c>
      <c r="I196">
        <v>1</v>
      </c>
      <c r="J196">
        <v>0.24</v>
      </c>
      <c r="K196">
        <v>0.2576</v>
      </c>
      <c r="L196">
        <v>0.65</v>
      </c>
      <c r="M196">
        <v>0.1045</v>
      </c>
      <c r="N196">
        <v>2</v>
      </c>
      <c r="O196">
        <v>21</v>
      </c>
      <c r="P196">
        <v>23</v>
      </c>
    </row>
    <row r="197" spans="1:16">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c r="A198">
        <v>816</v>
      </c>
      <c r="B198" s="1">
        <v>40580</v>
      </c>
      <c r="C198">
        <v>1</v>
      </c>
      <c r="D198">
        <v>0</v>
      </c>
      <c r="E198">
        <v>2</v>
      </c>
      <c r="F198">
        <v>10</v>
      </c>
      <c r="G198" t="b">
        <v>0</v>
      </c>
      <c r="H198">
        <v>0</v>
      </c>
      <c r="I198">
        <v>1</v>
      </c>
      <c r="J198">
        <v>0.3</v>
      </c>
      <c r="K198">
        <v>0.28789999999999999</v>
      </c>
      <c r="L198">
        <v>0.52</v>
      </c>
      <c r="M198">
        <v>0.25369999999999998</v>
      </c>
      <c r="N198">
        <v>15</v>
      </c>
      <c r="O198">
        <v>74</v>
      </c>
      <c r="P198">
        <v>89</v>
      </c>
    </row>
    <row r="199" spans="1:16">
      <c r="A199">
        <v>817</v>
      </c>
      <c r="B199" s="1">
        <v>40580</v>
      </c>
      <c r="C199">
        <v>1</v>
      </c>
      <c r="D199">
        <v>0</v>
      </c>
      <c r="E199">
        <v>2</v>
      </c>
      <c r="F199">
        <v>11</v>
      </c>
      <c r="G199" t="b">
        <v>0</v>
      </c>
      <c r="H199">
        <v>0</v>
      </c>
      <c r="I199">
        <v>1</v>
      </c>
      <c r="J199">
        <v>0.32</v>
      </c>
      <c r="K199">
        <v>0.30299999999999999</v>
      </c>
      <c r="L199">
        <v>0.49</v>
      </c>
      <c r="M199">
        <v>0.25369999999999998</v>
      </c>
      <c r="N199">
        <v>28</v>
      </c>
      <c r="O199">
        <v>89</v>
      </c>
      <c r="P199">
        <v>117</v>
      </c>
    </row>
    <row r="200" spans="1:16">
      <c r="A200">
        <v>818</v>
      </c>
      <c r="B200" s="1">
        <v>40580</v>
      </c>
      <c r="C200">
        <v>1</v>
      </c>
      <c r="D200">
        <v>0</v>
      </c>
      <c r="E200">
        <v>2</v>
      </c>
      <c r="F200">
        <v>12</v>
      </c>
      <c r="G200" t="b">
        <v>0</v>
      </c>
      <c r="H200">
        <v>0</v>
      </c>
      <c r="I200">
        <v>1</v>
      </c>
      <c r="J200">
        <v>0.34</v>
      </c>
      <c r="K200">
        <v>0.33329999999999999</v>
      </c>
      <c r="L200">
        <v>0.46</v>
      </c>
      <c r="M200">
        <v>0</v>
      </c>
      <c r="N200">
        <v>48</v>
      </c>
      <c r="O200">
        <v>126</v>
      </c>
      <c r="P200">
        <v>174</v>
      </c>
    </row>
    <row r="201" spans="1:16">
      <c r="A201">
        <v>819</v>
      </c>
      <c r="B201" s="1">
        <v>40580</v>
      </c>
      <c r="C201">
        <v>1</v>
      </c>
      <c r="D201">
        <v>0</v>
      </c>
      <c r="E201">
        <v>2</v>
      </c>
      <c r="F201">
        <v>13</v>
      </c>
      <c r="G201" t="b">
        <v>0</v>
      </c>
      <c r="H201">
        <v>0</v>
      </c>
      <c r="I201">
        <v>1</v>
      </c>
      <c r="J201">
        <v>0.34</v>
      </c>
      <c r="K201">
        <v>0.36359999999999998</v>
      </c>
      <c r="L201">
        <v>0.46</v>
      </c>
      <c r="M201">
        <v>0</v>
      </c>
      <c r="N201">
        <v>47</v>
      </c>
      <c r="O201">
        <v>135</v>
      </c>
      <c r="P201">
        <v>182</v>
      </c>
    </row>
    <row r="202" spans="1:16">
      <c r="A202">
        <v>820</v>
      </c>
      <c r="B202" s="1">
        <v>40580</v>
      </c>
      <c r="C202">
        <v>1</v>
      </c>
      <c r="D202">
        <v>0</v>
      </c>
      <c r="E202">
        <v>2</v>
      </c>
      <c r="F202">
        <v>14</v>
      </c>
      <c r="G202" t="b">
        <v>0</v>
      </c>
      <c r="H202">
        <v>0</v>
      </c>
      <c r="I202">
        <v>1</v>
      </c>
      <c r="J202">
        <v>0.34</v>
      </c>
      <c r="K202">
        <v>0.34849999999999998</v>
      </c>
      <c r="L202">
        <v>0.46</v>
      </c>
      <c r="M202">
        <v>8.9599999999999999E-2</v>
      </c>
      <c r="N202">
        <v>47</v>
      </c>
      <c r="O202">
        <v>114</v>
      </c>
      <c r="P202">
        <v>161</v>
      </c>
    </row>
    <row r="203" spans="1:16">
      <c r="A203">
        <v>821</v>
      </c>
      <c r="B203" s="1">
        <v>40580</v>
      </c>
      <c r="C203">
        <v>1</v>
      </c>
      <c r="D203">
        <v>0</v>
      </c>
      <c r="E203">
        <v>2</v>
      </c>
      <c r="F203">
        <v>15</v>
      </c>
      <c r="G203" t="b">
        <v>0</v>
      </c>
      <c r="H203">
        <v>0</v>
      </c>
      <c r="I203">
        <v>1</v>
      </c>
      <c r="J203">
        <v>0.34</v>
      </c>
      <c r="K203">
        <v>0.34849999999999998</v>
      </c>
      <c r="L203">
        <v>0.46</v>
      </c>
      <c r="M203">
        <v>8.9599999999999999E-2</v>
      </c>
      <c r="N203">
        <v>52</v>
      </c>
      <c r="O203">
        <v>130</v>
      </c>
      <c r="P203">
        <v>182</v>
      </c>
    </row>
    <row r="204" spans="1:16">
      <c r="A204">
        <v>822</v>
      </c>
      <c r="B204" s="1">
        <v>40580</v>
      </c>
      <c r="C204">
        <v>1</v>
      </c>
      <c r="D204">
        <v>0</v>
      </c>
      <c r="E204">
        <v>2</v>
      </c>
      <c r="F204">
        <v>16</v>
      </c>
      <c r="G204" t="b">
        <v>0</v>
      </c>
      <c r="H204">
        <v>0</v>
      </c>
      <c r="I204">
        <v>1</v>
      </c>
      <c r="J204">
        <v>0.34</v>
      </c>
      <c r="K204">
        <v>0.34849999999999998</v>
      </c>
      <c r="L204">
        <v>0.49</v>
      </c>
      <c r="M204">
        <v>0.1045</v>
      </c>
      <c r="N204">
        <v>42</v>
      </c>
      <c r="O204">
        <v>115</v>
      </c>
      <c r="P204">
        <v>157</v>
      </c>
    </row>
    <row r="205" spans="1:16">
      <c r="A205">
        <v>823</v>
      </c>
      <c r="B205" s="1">
        <v>40580</v>
      </c>
      <c r="C205">
        <v>1</v>
      </c>
      <c r="D205">
        <v>0</v>
      </c>
      <c r="E205">
        <v>2</v>
      </c>
      <c r="F205">
        <v>17</v>
      </c>
      <c r="G205" t="b">
        <v>0</v>
      </c>
      <c r="H205">
        <v>0</v>
      </c>
      <c r="I205">
        <v>1</v>
      </c>
      <c r="J205">
        <v>0.34</v>
      </c>
      <c r="K205">
        <v>0.36359999999999998</v>
      </c>
      <c r="L205">
        <v>0.46</v>
      </c>
      <c r="M205">
        <v>0</v>
      </c>
      <c r="N205">
        <v>24</v>
      </c>
      <c r="O205">
        <v>97</v>
      </c>
      <c r="P205">
        <v>121</v>
      </c>
    </row>
    <row r="206" spans="1:16">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c r="A207">
        <v>825</v>
      </c>
      <c r="B207" s="1">
        <v>40580</v>
      </c>
      <c r="C207">
        <v>1</v>
      </c>
      <c r="D207">
        <v>0</v>
      </c>
      <c r="E207">
        <v>2</v>
      </c>
      <c r="F207">
        <v>19</v>
      </c>
      <c r="G207" t="b">
        <v>0</v>
      </c>
      <c r="H207">
        <v>0</v>
      </c>
      <c r="I207">
        <v>1</v>
      </c>
      <c r="J207">
        <v>0.28000000000000003</v>
      </c>
      <c r="K207">
        <v>0.28789999999999999</v>
      </c>
      <c r="L207">
        <v>0.61</v>
      </c>
      <c r="M207">
        <v>0.1343</v>
      </c>
      <c r="N207">
        <v>1</v>
      </c>
      <c r="O207">
        <v>20</v>
      </c>
      <c r="P207">
        <v>21</v>
      </c>
    </row>
    <row r="208" spans="1:16">
      <c r="A208">
        <v>826</v>
      </c>
      <c r="B208" s="1">
        <v>40580</v>
      </c>
      <c r="C208">
        <v>1</v>
      </c>
      <c r="D208">
        <v>0</v>
      </c>
      <c r="E208">
        <v>2</v>
      </c>
      <c r="F208">
        <v>20</v>
      </c>
      <c r="G208" t="b">
        <v>0</v>
      </c>
      <c r="H208">
        <v>0</v>
      </c>
      <c r="I208">
        <v>1</v>
      </c>
      <c r="J208">
        <v>0.28000000000000003</v>
      </c>
      <c r="K208">
        <v>0.28789999999999999</v>
      </c>
      <c r="L208">
        <v>0.61</v>
      </c>
      <c r="M208">
        <v>0.1045</v>
      </c>
      <c r="N208">
        <v>5</v>
      </c>
      <c r="O208">
        <v>21</v>
      </c>
      <c r="P208">
        <v>26</v>
      </c>
    </row>
    <row r="209" spans="1:16">
      <c r="A209">
        <v>827</v>
      </c>
      <c r="B209" s="1">
        <v>40580</v>
      </c>
      <c r="C209">
        <v>1</v>
      </c>
      <c r="D209">
        <v>0</v>
      </c>
      <c r="E209">
        <v>2</v>
      </c>
      <c r="F209">
        <v>21</v>
      </c>
      <c r="G209" t="b">
        <v>0</v>
      </c>
      <c r="H209">
        <v>0</v>
      </c>
      <c r="I209">
        <v>1</v>
      </c>
      <c r="J209">
        <v>0.26</v>
      </c>
      <c r="K209">
        <v>0.30299999999999999</v>
      </c>
      <c r="L209">
        <v>0.6</v>
      </c>
      <c r="M209">
        <v>0</v>
      </c>
      <c r="N209">
        <v>5</v>
      </c>
      <c r="O209">
        <v>22</v>
      </c>
      <c r="P209">
        <v>27</v>
      </c>
    </row>
    <row r="210" spans="1:16">
      <c r="A210">
        <v>828</v>
      </c>
      <c r="B210" s="1">
        <v>40580</v>
      </c>
      <c r="C210">
        <v>1</v>
      </c>
      <c r="D210">
        <v>0</v>
      </c>
      <c r="E210">
        <v>2</v>
      </c>
      <c r="F210">
        <v>22</v>
      </c>
      <c r="G210" t="b">
        <v>0</v>
      </c>
      <c r="H210">
        <v>0</v>
      </c>
      <c r="I210">
        <v>1</v>
      </c>
      <c r="J210">
        <v>0.26</v>
      </c>
      <c r="K210">
        <v>0.30299999999999999</v>
      </c>
      <c r="L210">
        <v>0.6</v>
      </c>
      <c r="M210">
        <v>0</v>
      </c>
      <c r="N210">
        <v>5</v>
      </c>
      <c r="O210">
        <v>57</v>
      </c>
      <c r="P210">
        <v>62</v>
      </c>
    </row>
    <row r="211" spans="1:16">
      <c r="A211">
        <v>829</v>
      </c>
      <c r="B211" s="1">
        <v>40580</v>
      </c>
      <c r="C211">
        <v>1</v>
      </c>
      <c r="D211">
        <v>0</v>
      </c>
      <c r="E211">
        <v>2</v>
      </c>
      <c r="F211">
        <v>23</v>
      </c>
      <c r="G211" t="b">
        <v>0</v>
      </c>
      <c r="H211">
        <v>0</v>
      </c>
      <c r="I211">
        <v>1</v>
      </c>
      <c r="J211">
        <v>0.24</v>
      </c>
      <c r="K211">
        <v>0.28789999999999999</v>
      </c>
      <c r="L211">
        <v>0.65</v>
      </c>
      <c r="M211">
        <v>0</v>
      </c>
      <c r="N211">
        <v>4</v>
      </c>
      <c r="O211">
        <v>26</v>
      </c>
      <c r="P211">
        <v>30</v>
      </c>
    </row>
    <row r="212" spans="1:16">
      <c r="A212">
        <v>830</v>
      </c>
      <c r="B212" s="1">
        <v>40581</v>
      </c>
      <c r="C212">
        <v>1</v>
      </c>
      <c r="D212">
        <v>0</v>
      </c>
      <c r="E212">
        <v>2</v>
      </c>
      <c r="F212">
        <v>0</v>
      </c>
      <c r="G212" t="b">
        <v>0</v>
      </c>
      <c r="H212">
        <v>1</v>
      </c>
      <c r="I212">
        <v>1</v>
      </c>
      <c r="J212">
        <v>0.24</v>
      </c>
      <c r="K212">
        <v>0.28789999999999999</v>
      </c>
      <c r="L212">
        <v>0.65</v>
      </c>
      <c r="M212">
        <v>0</v>
      </c>
      <c r="N212">
        <v>1</v>
      </c>
      <c r="O212">
        <v>14</v>
      </c>
      <c r="P212">
        <v>15</v>
      </c>
    </row>
    <row r="213" spans="1:16">
      <c r="A213">
        <v>831</v>
      </c>
      <c r="B213" s="1">
        <v>40581</v>
      </c>
      <c r="C213">
        <v>1</v>
      </c>
      <c r="D213">
        <v>0</v>
      </c>
      <c r="E213">
        <v>2</v>
      </c>
      <c r="F213">
        <v>1</v>
      </c>
      <c r="G213" t="b">
        <v>0</v>
      </c>
      <c r="H213">
        <v>1</v>
      </c>
      <c r="I213">
        <v>1</v>
      </c>
      <c r="J213">
        <v>0.22</v>
      </c>
      <c r="K213">
        <v>0.2727</v>
      </c>
      <c r="L213">
        <v>0.75</v>
      </c>
      <c r="M213">
        <v>0</v>
      </c>
      <c r="N213">
        <v>1</v>
      </c>
      <c r="O213">
        <v>4</v>
      </c>
      <c r="P213">
        <v>5</v>
      </c>
    </row>
    <row r="214" spans="1:16">
      <c r="A214">
        <v>832</v>
      </c>
      <c r="B214" s="1">
        <v>40581</v>
      </c>
      <c r="C214">
        <v>1</v>
      </c>
      <c r="D214">
        <v>0</v>
      </c>
      <c r="E214">
        <v>2</v>
      </c>
      <c r="F214">
        <v>2</v>
      </c>
      <c r="G214" t="b">
        <v>0</v>
      </c>
      <c r="H214">
        <v>1</v>
      </c>
      <c r="I214">
        <v>1</v>
      </c>
      <c r="J214">
        <v>0.2</v>
      </c>
      <c r="K214">
        <v>0.2576</v>
      </c>
      <c r="L214">
        <v>0.8</v>
      </c>
      <c r="M214">
        <v>0</v>
      </c>
      <c r="N214">
        <v>0</v>
      </c>
      <c r="O214">
        <v>3</v>
      </c>
      <c r="P214">
        <v>3</v>
      </c>
    </row>
    <row r="215" spans="1:16">
      <c r="A215">
        <v>833</v>
      </c>
      <c r="B215" s="1">
        <v>40581</v>
      </c>
      <c r="C215">
        <v>1</v>
      </c>
      <c r="D215">
        <v>0</v>
      </c>
      <c r="E215">
        <v>2</v>
      </c>
      <c r="F215">
        <v>3</v>
      </c>
      <c r="G215" t="b">
        <v>0</v>
      </c>
      <c r="H215">
        <v>1</v>
      </c>
      <c r="I215">
        <v>1</v>
      </c>
      <c r="J215">
        <v>0.2</v>
      </c>
      <c r="K215">
        <v>0.2576</v>
      </c>
      <c r="L215">
        <v>0.86</v>
      </c>
      <c r="M215">
        <v>0</v>
      </c>
      <c r="N215">
        <v>0</v>
      </c>
      <c r="O215">
        <v>1</v>
      </c>
      <c r="P215">
        <v>1</v>
      </c>
    </row>
    <row r="216" spans="1:16">
      <c r="A216">
        <v>834</v>
      </c>
      <c r="B216" s="1">
        <v>40581</v>
      </c>
      <c r="C216">
        <v>1</v>
      </c>
      <c r="D216">
        <v>0</v>
      </c>
      <c r="E216">
        <v>2</v>
      </c>
      <c r="F216">
        <v>4</v>
      </c>
      <c r="G216" t="b">
        <v>0</v>
      </c>
      <c r="H216">
        <v>1</v>
      </c>
      <c r="I216">
        <v>1</v>
      </c>
      <c r="J216">
        <v>0.2</v>
      </c>
      <c r="K216">
        <v>0.2576</v>
      </c>
      <c r="L216">
        <v>0.86</v>
      </c>
      <c r="M216">
        <v>0</v>
      </c>
      <c r="N216">
        <v>1</v>
      </c>
      <c r="O216">
        <v>1</v>
      </c>
      <c r="P216">
        <v>2</v>
      </c>
    </row>
    <row r="217" spans="1:16">
      <c r="A217">
        <v>835</v>
      </c>
      <c r="B217" s="1">
        <v>40581</v>
      </c>
      <c r="C217">
        <v>1</v>
      </c>
      <c r="D217">
        <v>0</v>
      </c>
      <c r="E217">
        <v>2</v>
      </c>
      <c r="F217">
        <v>5</v>
      </c>
      <c r="G217" t="b">
        <v>0</v>
      </c>
      <c r="H217">
        <v>1</v>
      </c>
      <c r="I217">
        <v>1</v>
      </c>
      <c r="J217">
        <v>0.2</v>
      </c>
      <c r="K217">
        <v>0.2576</v>
      </c>
      <c r="L217">
        <v>0.86</v>
      </c>
      <c r="M217">
        <v>0</v>
      </c>
      <c r="N217">
        <v>1</v>
      </c>
      <c r="O217">
        <v>9</v>
      </c>
      <c r="P217">
        <v>10</v>
      </c>
    </row>
    <row r="218" spans="1:16">
      <c r="A218">
        <v>836</v>
      </c>
      <c r="B218" s="1">
        <v>40581</v>
      </c>
      <c r="C218">
        <v>1</v>
      </c>
      <c r="D218">
        <v>0</v>
      </c>
      <c r="E218">
        <v>2</v>
      </c>
      <c r="F218">
        <v>6</v>
      </c>
      <c r="G218" t="b">
        <v>0</v>
      </c>
      <c r="H218">
        <v>1</v>
      </c>
      <c r="I218">
        <v>1</v>
      </c>
      <c r="J218">
        <v>0.18</v>
      </c>
      <c r="K218">
        <v>0.2424</v>
      </c>
      <c r="L218">
        <v>0.93</v>
      </c>
      <c r="M218">
        <v>0</v>
      </c>
      <c r="N218">
        <v>1</v>
      </c>
      <c r="O218">
        <v>29</v>
      </c>
      <c r="P218">
        <v>30</v>
      </c>
    </row>
    <row r="219" spans="1:16">
      <c r="A219">
        <v>837</v>
      </c>
      <c r="B219" s="1">
        <v>40581</v>
      </c>
      <c r="C219">
        <v>1</v>
      </c>
      <c r="D219">
        <v>0</v>
      </c>
      <c r="E219">
        <v>2</v>
      </c>
      <c r="F219">
        <v>7</v>
      </c>
      <c r="G219" t="b">
        <v>0</v>
      </c>
      <c r="H219">
        <v>1</v>
      </c>
      <c r="I219">
        <v>1</v>
      </c>
      <c r="J219">
        <v>0.18</v>
      </c>
      <c r="K219">
        <v>0.2424</v>
      </c>
      <c r="L219">
        <v>0.86</v>
      </c>
      <c r="M219">
        <v>0</v>
      </c>
      <c r="N219">
        <v>6</v>
      </c>
      <c r="O219">
        <v>89</v>
      </c>
      <c r="P219">
        <v>95</v>
      </c>
    </row>
    <row r="220" spans="1:16">
      <c r="A220">
        <v>838</v>
      </c>
      <c r="B220" s="1">
        <v>40581</v>
      </c>
      <c r="C220">
        <v>1</v>
      </c>
      <c r="D220">
        <v>0</v>
      </c>
      <c r="E220">
        <v>2</v>
      </c>
      <c r="F220">
        <v>8</v>
      </c>
      <c r="G220" t="b">
        <v>0</v>
      </c>
      <c r="H220">
        <v>1</v>
      </c>
      <c r="I220">
        <v>2</v>
      </c>
      <c r="J220">
        <v>0.16</v>
      </c>
      <c r="K220">
        <v>0.2273</v>
      </c>
      <c r="L220">
        <v>1</v>
      </c>
      <c r="M220">
        <v>0</v>
      </c>
      <c r="N220">
        <v>7</v>
      </c>
      <c r="O220">
        <v>223</v>
      </c>
      <c r="P220">
        <v>230</v>
      </c>
    </row>
    <row r="221" spans="1:16">
      <c r="A221">
        <v>839</v>
      </c>
      <c r="B221" s="1">
        <v>40581</v>
      </c>
      <c r="C221">
        <v>1</v>
      </c>
      <c r="D221">
        <v>0</v>
      </c>
      <c r="E221">
        <v>2</v>
      </c>
      <c r="F221">
        <v>9</v>
      </c>
      <c r="G221" t="b">
        <v>0</v>
      </c>
      <c r="H221">
        <v>1</v>
      </c>
      <c r="I221">
        <v>1</v>
      </c>
      <c r="J221">
        <v>0.22</v>
      </c>
      <c r="K221">
        <v>0.2727</v>
      </c>
      <c r="L221">
        <v>0.8</v>
      </c>
      <c r="M221">
        <v>0</v>
      </c>
      <c r="N221">
        <v>3</v>
      </c>
      <c r="O221">
        <v>115</v>
      </c>
      <c r="P221">
        <v>118</v>
      </c>
    </row>
    <row r="222" spans="1:16">
      <c r="A222">
        <v>840</v>
      </c>
      <c r="B222" s="1">
        <v>40581</v>
      </c>
      <c r="C222">
        <v>1</v>
      </c>
      <c r="D222">
        <v>0</v>
      </c>
      <c r="E222">
        <v>2</v>
      </c>
      <c r="F222">
        <v>10</v>
      </c>
      <c r="G222" t="b">
        <v>0</v>
      </c>
      <c r="H222">
        <v>1</v>
      </c>
      <c r="I222">
        <v>1</v>
      </c>
      <c r="J222">
        <v>0.24</v>
      </c>
      <c r="K222">
        <v>0.2576</v>
      </c>
      <c r="L222">
        <v>0.75</v>
      </c>
      <c r="M222">
        <v>0.1045</v>
      </c>
      <c r="N222">
        <v>6</v>
      </c>
      <c r="O222">
        <v>49</v>
      </c>
      <c r="P222">
        <v>55</v>
      </c>
    </row>
    <row r="223" spans="1:16">
      <c r="A223">
        <v>841</v>
      </c>
      <c r="B223" s="1">
        <v>40581</v>
      </c>
      <c r="C223">
        <v>1</v>
      </c>
      <c r="D223">
        <v>0</v>
      </c>
      <c r="E223">
        <v>2</v>
      </c>
      <c r="F223">
        <v>11</v>
      </c>
      <c r="G223" t="b">
        <v>0</v>
      </c>
      <c r="H223">
        <v>1</v>
      </c>
      <c r="I223">
        <v>1</v>
      </c>
      <c r="J223">
        <v>0.3</v>
      </c>
      <c r="K223">
        <v>0.31819999999999998</v>
      </c>
      <c r="L223">
        <v>0.65</v>
      </c>
      <c r="M223">
        <v>8.9599999999999999E-2</v>
      </c>
      <c r="N223">
        <v>11</v>
      </c>
      <c r="O223">
        <v>36</v>
      </c>
      <c r="P223">
        <v>47</v>
      </c>
    </row>
    <row r="224" spans="1:16">
      <c r="A224">
        <v>842</v>
      </c>
      <c r="B224" s="1">
        <v>40581</v>
      </c>
      <c r="C224">
        <v>1</v>
      </c>
      <c r="D224">
        <v>0</v>
      </c>
      <c r="E224">
        <v>2</v>
      </c>
      <c r="F224">
        <v>12</v>
      </c>
      <c r="G224" t="b">
        <v>0</v>
      </c>
      <c r="H224">
        <v>1</v>
      </c>
      <c r="I224">
        <v>2</v>
      </c>
      <c r="J224">
        <v>0.32</v>
      </c>
      <c r="K224">
        <v>0.34849999999999998</v>
      </c>
      <c r="L224">
        <v>0.62</v>
      </c>
      <c r="M224">
        <v>0</v>
      </c>
      <c r="N224">
        <v>7</v>
      </c>
      <c r="O224">
        <v>59</v>
      </c>
      <c r="P224">
        <v>66</v>
      </c>
    </row>
    <row r="225" spans="1:16">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c r="A227">
        <v>845</v>
      </c>
      <c r="B227" s="1">
        <v>40581</v>
      </c>
      <c r="C227">
        <v>1</v>
      </c>
      <c r="D227">
        <v>0</v>
      </c>
      <c r="E227">
        <v>2</v>
      </c>
      <c r="F227">
        <v>15</v>
      </c>
      <c r="G227" t="b">
        <v>0</v>
      </c>
      <c r="H227">
        <v>1</v>
      </c>
      <c r="I227">
        <v>2</v>
      </c>
      <c r="J227">
        <v>0.38</v>
      </c>
      <c r="K227">
        <v>0.39389999999999997</v>
      </c>
      <c r="L227">
        <v>0.54</v>
      </c>
      <c r="M227">
        <v>8.9599999999999999E-2</v>
      </c>
      <c r="N227">
        <v>4</v>
      </c>
      <c r="O227">
        <v>46</v>
      </c>
      <c r="P227">
        <v>50</v>
      </c>
    </row>
    <row r="228" spans="1:16">
      <c r="A228">
        <v>846</v>
      </c>
      <c r="B228" s="1">
        <v>40581</v>
      </c>
      <c r="C228">
        <v>1</v>
      </c>
      <c r="D228">
        <v>0</v>
      </c>
      <c r="E228">
        <v>2</v>
      </c>
      <c r="F228">
        <v>16</v>
      </c>
      <c r="G228" t="b">
        <v>0</v>
      </c>
      <c r="H228">
        <v>1</v>
      </c>
      <c r="I228">
        <v>2</v>
      </c>
      <c r="J228">
        <v>0.36</v>
      </c>
      <c r="K228">
        <v>0.34849999999999998</v>
      </c>
      <c r="L228">
        <v>0.56999999999999995</v>
      </c>
      <c r="M228">
        <v>0.1343</v>
      </c>
      <c r="N228">
        <v>16</v>
      </c>
      <c r="O228">
        <v>98</v>
      </c>
      <c r="P228">
        <v>114</v>
      </c>
    </row>
    <row r="229" spans="1:16">
      <c r="A229">
        <v>847</v>
      </c>
      <c r="B229" s="1">
        <v>40581</v>
      </c>
      <c r="C229">
        <v>1</v>
      </c>
      <c r="D229">
        <v>0</v>
      </c>
      <c r="E229">
        <v>2</v>
      </c>
      <c r="F229">
        <v>17</v>
      </c>
      <c r="G229" t="b">
        <v>0</v>
      </c>
      <c r="H229">
        <v>1</v>
      </c>
      <c r="I229">
        <v>2</v>
      </c>
      <c r="J229">
        <v>0.32</v>
      </c>
      <c r="K229">
        <v>0.31819999999999998</v>
      </c>
      <c r="L229">
        <v>0.7</v>
      </c>
      <c r="M229">
        <v>0.16420000000000001</v>
      </c>
      <c r="N229">
        <v>9</v>
      </c>
      <c r="O229">
        <v>207</v>
      </c>
      <c r="P229">
        <v>216</v>
      </c>
    </row>
    <row r="230" spans="1:16">
      <c r="A230">
        <v>848</v>
      </c>
      <c r="B230" s="1">
        <v>40581</v>
      </c>
      <c r="C230">
        <v>1</v>
      </c>
      <c r="D230">
        <v>0</v>
      </c>
      <c r="E230">
        <v>2</v>
      </c>
      <c r="F230">
        <v>18</v>
      </c>
      <c r="G230" t="b">
        <v>0</v>
      </c>
      <c r="H230">
        <v>1</v>
      </c>
      <c r="I230">
        <v>2</v>
      </c>
      <c r="J230">
        <v>0.34</v>
      </c>
      <c r="K230">
        <v>0.33329999999999999</v>
      </c>
      <c r="L230">
        <v>0.66</v>
      </c>
      <c r="M230">
        <v>0.1343</v>
      </c>
      <c r="N230">
        <v>5</v>
      </c>
      <c r="O230">
        <v>170</v>
      </c>
      <c r="P230">
        <v>175</v>
      </c>
    </row>
    <row r="231" spans="1:16">
      <c r="A231">
        <v>849</v>
      </c>
      <c r="B231" s="1">
        <v>40581</v>
      </c>
      <c r="C231">
        <v>1</v>
      </c>
      <c r="D231">
        <v>0</v>
      </c>
      <c r="E231">
        <v>2</v>
      </c>
      <c r="F231">
        <v>19</v>
      </c>
      <c r="G231" t="b">
        <v>0</v>
      </c>
      <c r="H231">
        <v>1</v>
      </c>
      <c r="I231">
        <v>2</v>
      </c>
      <c r="J231">
        <v>0.32</v>
      </c>
      <c r="K231">
        <v>0.34849999999999998</v>
      </c>
      <c r="L231">
        <v>0.7</v>
      </c>
      <c r="M231">
        <v>0</v>
      </c>
      <c r="N231">
        <v>5</v>
      </c>
      <c r="O231">
        <v>123</v>
      </c>
      <c r="P231">
        <v>128</v>
      </c>
    </row>
    <row r="232" spans="1:16">
      <c r="A232">
        <v>850</v>
      </c>
      <c r="B232" s="1">
        <v>40581</v>
      </c>
      <c r="C232">
        <v>1</v>
      </c>
      <c r="D232">
        <v>0</v>
      </c>
      <c r="E232">
        <v>2</v>
      </c>
      <c r="F232">
        <v>20</v>
      </c>
      <c r="G232" t="b">
        <v>0</v>
      </c>
      <c r="H232">
        <v>1</v>
      </c>
      <c r="I232">
        <v>2</v>
      </c>
      <c r="J232">
        <v>0.32</v>
      </c>
      <c r="K232">
        <v>0.33329999999999999</v>
      </c>
      <c r="L232">
        <v>0.7</v>
      </c>
      <c r="M232">
        <v>0.1045</v>
      </c>
      <c r="N232">
        <v>6</v>
      </c>
      <c r="O232">
        <v>82</v>
      </c>
      <c r="P232">
        <v>88</v>
      </c>
    </row>
    <row r="233" spans="1:16">
      <c r="A233">
        <v>851</v>
      </c>
      <c r="B233" s="1">
        <v>40581</v>
      </c>
      <c r="C233">
        <v>1</v>
      </c>
      <c r="D233">
        <v>0</v>
      </c>
      <c r="E233">
        <v>2</v>
      </c>
      <c r="F233">
        <v>21</v>
      </c>
      <c r="G233" t="b">
        <v>0</v>
      </c>
      <c r="H233">
        <v>1</v>
      </c>
      <c r="I233">
        <v>1</v>
      </c>
      <c r="J233">
        <v>0.32</v>
      </c>
      <c r="K233">
        <v>0.34849999999999998</v>
      </c>
      <c r="L233">
        <v>0.7</v>
      </c>
      <c r="M233">
        <v>0</v>
      </c>
      <c r="N233">
        <v>3</v>
      </c>
      <c r="O233">
        <v>75</v>
      </c>
      <c r="P233">
        <v>78</v>
      </c>
    </row>
    <row r="234" spans="1:16">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c r="A235">
        <v>853</v>
      </c>
      <c r="B235" s="1">
        <v>40581</v>
      </c>
      <c r="C235">
        <v>1</v>
      </c>
      <c r="D235">
        <v>0</v>
      </c>
      <c r="E235">
        <v>2</v>
      </c>
      <c r="F235">
        <v>23</v>
      </c>
      <c r="G235" t="b">
        <v>0</v>
      </c>
      <c r="H235">
        <v>1</v>
      </c>
      <c r="I235">
        <v>2</v>
      </c>
      <c r="J235">
        <v>0.3</v>
      </c>
      <c r="K235">
        <v>0.33329999999999999</v>
      </c>
      <c r="L235">
        <v>0.81</v>
      </c>
      <c r="M235">
        <v>0</v>
      </c>
      <c r="N235">
        <v>6</v>
      </c>
      <c r="O235">
        <v>19</v>
      </c>
      <c r="P235">
        <v>25</v>
      </c>
    </row>
    <row r="236" spans="1:16">
      <c r="A236">
        <v>854</v>
      </c>
      <c r="B236" s="1">
        <v>40582</v>
      </c>
      <c r="C236">
        <v>1</v>
      </c>
      <c r="D236">
        <v>0</v>
      </c>
      <c r="E236">
        <v>2</v>
      </c>
      <c r="F236">
        <v>0</v>
      </c>
      <c r="G236" t="b">
        <v>0</v>
      </c>
      <c r="H236">
        <v>2</v>
      </c>
      <c r="I236">
        <v>2</v>
      </c>
      <c r="J236">
        <v>0.28000000000000003</v>
      </c>
      <c r="K236">
        <v>0.31819999999999998</v>
      </c>
      <c r="L236">
        <v>0.87</v>
      </c>
      <c r="M236">
        <v>0</v>
      </c>
      <c r="N236">
        <v>4</v>
      </c>
      <c r="O236">
        <v>6</v>
      </c>
      <c r="P236">
        <v>10</v>
      </c>
    </row>
    <row r="237" spans="1:16">
      <c r="A237">
        <v>855</v>
      </c>
      <c r="B237" s="1">
        <v>40582</v>
      </c>
      <c r="C237">
        <v>1</v>
      </c>
      <c r="D237">
        <v>0</v>
      </c>
      <c r="E237">
        <v>2</v>
      </c>
      <c r="F237">
        <v>1</v>
      </c>
      <c r="G237" t="b">
        <v>0</v>
      </c>
      <c r="H237">
        <v>2</v>
      </c>
      <c r="I237">
        <v>2</v>
      </c>
      <c r="J237">
        <v>0.28000000000000003</v>
      </c>
      <c r="K237">
        <v>0.31819999999999998</v>
      </c>
      <c r="L237">
        <v>0.87</v>
      </c>
      <c r="M237">
        <v>0</v>
      </c>
      <c r="N237">
        <v>0</v>
      </c>
      <c r="O237">
        <v>4</v>
      </c>
      <c r="P237">
        <v>4</v>
      </c>
    </row>
    <row r="238" spans="1:16">
      <c r="A238">
        <v>856</v>
      </c>
      <c r="B238" s="1">
        <v>40582</v>
      </c>
      <c r="C238">
        <v>1</v>
      </c>
      <c r="D238">
        <v>0</v>
      </c>
      <c r="E238">
        <v>2</v>
      </c>
      <c r="F238">
        <v>2</v>
      </c>
      <c r="G238" t="b">
        <v>0</v>
      </c>
      <c r="H238">
        <v>2</v>
      </c>
      <c r="I238">
        <v>2</v>
      </c>
      <c r="J238">
        <v>0.26</v>
      </c>
      <c r="K238">
        <v>0.2727</v>
      </c>
      <c r="L238">
        <v>0.93</v>
      </c>
      <c r="M238">
        <v>0.1045</v>
      </c>
      <c r="N238">
        <v>1</v>
      </c>
      <c r="O238">
        <v>1</v>
      </c>
      <c r="P238">
        <v>2</v>
      </c>
    </row>
    <row r="239" spans="1:16">
      <c r="A239">
        <v>857</v>
      </c>
      <c r="B239" s="1">
        <v>40582</v>
      </c>
      <c r="C239">
        <v>1</v>
      </c>
      <c r="D239">
        <v>0</v>
      </c>
      <c r="E239">
        <v>2</v>
      </c>
      <c r="F239">
        <v>3</v>
      </c>
      <c r="G239" t="b">
        <v>0</v>
      </c>
      <c r="H239">
        <v>2</v>
      </c>
      <c r="I239">
        <v>3</v>
      </c>
      <c r="J239">
        <v>0.28000000000000003</v>
      </c>
      <c r="K239">
        <v>0.2727</v>
      </c>
      <c r="L239">
        <v>0.93</v>
      </c>
      <c r="M239">
        <v>0.16420000000000001</v>
      </c>
      <c r="N239">
        <v>0</v>
      </c>
      <c r="O239">
        <v>1</v>
      </c>
      <c r="P239">
        <v>1</v>
      </c>
    </row>
    <row r="240" spans="1:16">
      <c r="A240">
        <v>858</v>
      </c>
      <c r="B240" s="1">
        <v>40582</v>
      </c>
      <c r="C240">
        <v>1</v>
      </c>
      <c r="D240">
        <v>0</v>
      </c>
      <c r="E240">
        <v>2</v>
      </c>
      <c r="F240">
        <v>4</v>
      </c>
      <c r="G240" t="b">
        <v>0</v>
      </c>
      <c r="H240">
        <v>2</v>
      </c>
      <c r="I240">
        <v>1</v>
      </c>
      <c r="J240">
        <v>0.26</v>
      </c>
      <c r="K240">
        <v>0.2576</v>
      </c>
      <c r="L240">
        <v>0.93</v>
      </c>
      <c r="M240">
        <v>0.16420000000000001</v>
      </c>
      <c r="N240">
        <v>0</v>
      </c>
      <c r="O240">
        <v>3</v>
      </c>
      <c r="P240">
        <v>3</v>
      </c>
    </row>
    <row r="241" spans="1:16">
      <c r="A241">
        <v>859</v>
      </c>
      <c r="B241" s="1">
        <v>40582</v>
      </c>
      <c r="C241">
        <v>1</v>
      </c>
      <c r="D241">
        <v>0</v>
      </c>
      <c r="E241">
        <v>2</v>
      </c>
      <c r="F241">
        <v>5</v>
      </c>
      <c r="G241" t="b">
        <v>0</v>
      </c>
      <c r="H241">
        <v>2</v>
      </c>
      <c r="I241">
        <v>1</v>
      </c>
      <c r="J241">
        <v>0.26</v>
      </c>
      <c r="K241">
        <v>0.2273</v>
      </c>
      <c r="L241">
        <v>0.81</v>
      </c>
      <c r="M241">
        <v>0.32840000000000003</v>
      </c>
      <c r="N241">
        <v>0</v>
      </c>
      <c r="O241">
        <v>2</v>
      </c>
      <c r="P241">
        <v>2</v>
      </c>
    </row>
    <row r="242" spans="1:16">
      <c r="A242">
        <v>860</v>
      </c>
      <c r="B242" s="1">
        <v>40582</v>
      </c>
      <c r="C242">
        <v>1</v>
      </c>
      <c r="D242">
        <v>0</v>
      </c>
      <c r="E242">
        <v>2</v>
      </c>
      <c r="F242">
        <v>6</v>
      </c>
      <c r="G242" t="b">
        <v>0</v>
      </c>
      <c r="H242">
        <v>2</v>
      </c>
      <c r="I242">
        <v>1</v>
      </c>
      <c r="J242">
        <v>0.26</v>
      </c>
      <c r="K242">
        <v>0.2273</v>
      </c>
      <c r="L242">
        <v>0.7</v>
      </c>
      <c r="M242">
        <v>0.32840000000000003</v>
      </c>
      <c r="N242">
        <v>0</v>
      </c>
      <c r="O242">
        <v>39</v>
      </c>
      <c r="P242">
        <v>39</v>
      </c>
    </row>
    <row r="243" spans="1:16">
      <c r="A243">
        <v>861</v>
      </c>
      <c r="B243" s="1">
        <v>40582</v>
      </c>
      <c r="C243">
        <v>1</v>
      </c>
      <c r="D243">
        <v>0</v>
      </c>
      <c r="E243">
        <v>2</v>
      </c>
      <c r="F243">
        <v>7</v>
      </c>
      <c r="G243" t="b">
        <v>0</v>
      </c>
      <c r="H243">
        <v>2</v>
      </c>
      <c r="I243">
        <v>1</v>
      </c>
      <c r="J243">
        <v>0.24</v>
      </c>
      <c r="K243">
        <v>0.19700000000000001</v>
      </c>
      <c r="L243">
        <v>0.65</v>
      </c>
      <c r="M243">
        <v>0.41789999999999999</v>
      </c>
      <c r="N243">
        <v>3</v>
      </c>
      <c r="O243">
        <v>97</v>
      </c>
      <c r="P243">
        <v>100</v>
      </c>
    </row>
    <row r="244" spans="1:16">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c r="A245">
        <v>863</v>
      </c>
      <c r="B245" s="1">
        <v>40582</v>
      </c>
      <c r="C245">
        <v>1</v>
      </c>
      <c r="D245">
        <v>0</v>
      </c>
      <c r="E245">
        <v>2</v>
      </c>
      <c r="F245">
        <v>9</v>
      </c>
      <c r="G245" t="b">
        <v>0</v>
      </c>
      <c r="H245">
        <v>2</v>
      </c>
      <c r="I245">
        <v>1</v>
      </c>
      <c r="J245">
        <v>0.24</v>
      </c>
      <c r="K245">
        <v>0.19700000000000001</v>
      </c>
      <c r="L245">
        <v>0.52</v>
      </c>
      <c r="M245">
        <v>0.49249999999999999</v>
      </c>
      <c r="N245">
        <v>7</v>
      </c>
      <c r="O245">
        <v>128</v>
      </c>
      <c r="P245">
        <v>135</v>
      </c>
    </row>
    <row r="246" spans="1:16">
      <c r="A246">
        <v>864</v>
      </c>
      <c r="B246" s="1">
        <v>40582</v>
      </c>
      <c r="C246">
        <v>1</v>
      </c>
      <c r="D246">
        <v>0</v>
      </c>
      <c r="E246">
        <v>2</v>
      </c>
      <c r="F246">
        <v>10</v>
      </c>
      <c r="G246" t="b">
        <v>0</v>
      </c>
      <c r="H246">
        <v>2</v>
      </c>
      <c r="I246">
        <v>1</v>
      </c>
      <c r="J246">
        <v>0.22</v>
      </c>
      <c r="K246">
        <v>0.18179999999999999</v>
      </c>
      <c r="L246">
        <v>0.47</v>
      </c>
      <c r="M246">
        <v>0.55220000000000002</v>
      </c>
      <c r="N246">
        <v>4</v>
      </c>
      <c r="O246">
        <v>44</v>
      </c>
      <c r="P246">
        <v>48</v>
      </c>
    </row>
    <row r="247" spans="1:16">
      <c r="A247">
        <v>865</v>
      </c>
      <c r="B247" s="1">
        <v>40582</v>
      </c>
      <c r="C247">
        <v>1</v>
      </c>
      <c r="D247">
        <v>0</v>
      </c>
      <c r="E247">
        <v>2</v>
      </c>
      <c r="F247">
        <v>11</v>
      </c>
      <c r="G247" t="b">
        <v>0</v>
      </c>
      <c r="H247">
        <v>2</v>
      </c>
      <c r="I247">
        <v>1</v>
      </c>
      <c r="J247">
        <v>0.22</v>
      </c>
      <c r="K247">
        <v>0.18179999999999999</v>
      </c>
      <c r="L247">
        <v>0.47</v>
      </c>
      <c r="M247">
        <v>0.4627</v>
      </c>
      <c r="N247">
        <v>1</v>
      </c>
      <c r="O247">
        <v>49</v>
      </c>
      <c r="P247">
        <v>50</v>
      </c>
    </row>
    <row r="248" spans="1:16">
      <c r="A248">
        <v>866</v>
      </c>
      <c r="B248" s="1">
        <v>40582</v>
      </c>
      <c r="C248">
        <v>1</v>
      </c>
      <c r="D248">
        <v>0</v>
      </c>
      <c r="E248">
        <v>2</v>
      </c>
      <c r="F248">
        <v>12</v>
      </c>
      <c r="G248" t="b">
        <v>0</v>
      </c>
      <c r="H248">
        <v>2</v>
      </c>
      <c r="I248">
        <v>1</v>
      </c>
      <c r="J248">
        <v>0.24</v>
      </c>
      <c r="K248">
        <v>0.19700000000000001</v>
      </c>
      <c r="L248">
        <v>0.38</v>
      </c>
      <c r="M248">
        <v>0.49249999999999999</v>
      </c>
      <c r="N248">
        <v>2</v>
      </c>
      <c r="O248">
        <v>63</v>
      </c>
      <c r="P248">
        <v>65</v>
      </c>
    </row>
    <row r="249" spans="1:16">
      <c r="A249">
        <v>867</v>
      </c>
      <c r="B249" s="1">
        <v>40582</v>
      </c>
      <c r="C249">
        <v>1</v>
      </c>
      <c r="D249">
        <v>0</v>
      </c>
      <c r="E249">
        <v>2</v>
      </c>
      <c r="F249">
        <v>13</v>
      </c>
      <c r="G249" t="b">
        <v>0</v>
      </c>
      <c r="H249">
        <v>2</v>
      </c>
      <c r="I249">
        <v>2</v>
      </c>
      <c r="J249">
        <v>0.24</v>
      </c>
      <c r="K249">
        <v>0.19700000000000001</v>
      </c>
      <c r="L249">
        <v>0.32</v>
      </c>
      <c r="M249">
        <v>0.44779999999999998</v>
      </c>
      <c r="N249">
        <v>2</v>
      </c>
      <c r="O249">
        <v>48</v>
      </c>
      <c r="P249">
        <v>50</v>
      </c>
    </row>
    <row r="250" spans="1:16">
      <c r="A250">
        <v>868</v>
      </c>
      <c r="B250" s="1">
        <v>40582</v>
      </c>
      <c r="C250">
        <v>1</v>
      </c>
      <c r="D250">
        <v>0</v>
      </c>
      <c r="E250">
        <v>2</v>
      </c>
      <c r="F250">
        <v>14</v>
      </c>
      <c r="G250" t="b">
        <v>0</v>
      </c>
      <c r="H250">
        <v>2</v>
      </c>
      <c r="I250">
        <v>1</v>
      </c>
      <c r="J250">
        <v>0.22</v>
      </c>
      <c r="K250">
        <v>0.19700000000000001</v>
      </c>
      <c r="L250">
        <v>0.37</v>
      </c>
      <c r="M250">
        <v>0.41789999999999999</v>
      </c>
      <c r="N250">
        <v>3</v>
      </c>
      <c r="O250">
        <v>61</v>
      </c>
      <c r="P250">
        <v>64</v>
      </c>
    </row>
    <row r="251" spans="1:16">
      <c r="A251">
        <v>869</v>
      </c>
      <c r="B251" s="1">
        <v>40582</v>
      </c>
      <c r="C251">
        <v>1</v>
      </c>
      <c r="D251">
        <v>0</v>
      </c>
      <c r="E251">
        <v>2</v>
      </c>
      <c r="F251">
        <v>15</v>
      </c>
      <c r="G251" t="b">
        <v>0</v>
      </c>
      <c r="H251">
        <v>2</v>
      </c>
      <c r="I251">
        <v>1</v>
      </c>
      <c r="J251">
        <v>0.22</v>
      </c>
      <c r="K251">
        <v>0.19700000000000001</v>
      </c>
      <c r="L251">
        <v>0.35</v>
      </c>
      <c r="M251">
        <v>0.3881</v>
      </c>
      <c r="N251">
        <v>6</v>
      </c>
      <c r="O251">
        <v>45</v>
      </c>
      <c r="P251">
        <v>51</v>
      </c>
    </row>
    <row r="252" spans="1:16">
      <c r="A252">
        <v>870</v>
      </c>
      <c r="B252" s="1">
        <v>40582</v>
      </c>
      <c r="C252">
        <v>1</v>
      </c>
      <c r="D252">
        <v>0</v>
      </c>
      <c r="E252">
        <v>2</v>
      </c>
      <c r="F252">
        <v>16</v>
      </c>
      <c r="G252" t="b">
        <v>0</v>
      </c>
      <c r="H252">
        <v>2</v>
      </c>
      <c r="I252">
        <v>1</v>
      </c>
      <c r="J252">
        <v>0.22</v>
      </c>
      <c r="K252">
        <v>0.18179999999999999</v>
      </c>
      <c r="L252">
        <v>0.35</v>
      </c>
      <c r="M252">
        <v>0.52239999999999998</v>
      </c>
      <c r="N252">
        <v>4</v>
      </c>
      <c r="O252">
        <v>79</v>
      </c>
      <c r="P252">
        <v>83</v>
      </c>
    </row>
    <row r="253" spans="1:16">
      <c r="A253">
        <v>871</v>
      </c>
      <c r="B253" s="1">
        <v>40582</v>
      </c>
      <c r="C253">
        <v>1</v>
      </c>
      <c r="D253">
        <v>0</v>
      </c>
      <c r="E253">
        <v>2</v>
      </c>
      <c r="F253">
        <v>17</v>
      </c>
      <c r="G253" t="b">
        <v>0</v>
      </c>
      <c r="H253">
        <v>2</v>
      </c>
      <c r="I253">
        <v>1</v>
      </c>
      <c r="J253">
        <v>0.22</v>
      </c>
      <c r="K253">
        <v>0.18179999999999999</v>
      </c>
      <c r="L253">
        <v>0.32</v>
      </c>
      <c r="M253">
        <v>0.58209999999999995</v>
      </c>
      <c r="N253">
        <v>4</v>
      </c>
      <c r="O253">
        <v>172</v>
      </c>
      <c r="P253">
        <v>176</v>
      </c>
    </row>
    <row r="254" spans="1:16">
      <c r="A254">
        <v>872</v>
      </c>
      <c r="B254" s="1">
        <v>40582</v>
      </c>
      <c r="C254">
        <v>1</v>
      </c>
      <c r="D254">
        <v>0</v>
      </c>
      <c r="E254">
        <v>2</v>
      </c>
      <c r="F254">
        <v>18</v>
      </c>
      <c r="G254" t="b">
        <v>0</v>
      </c>
      <c r="H254">
        <v>2</v>
      </c>
      <c r="I254">
        <v>1</v>
      </c>
      <c r="J254">
        <v>0.2</v>
      </c>
      <c r="K254">
        <v>0.18179999999999999</v>
      </c>
      <c r="L254">
        <v>0.32</v>
      </c>
      <c r="M254">
        <v>0.3881</v>
      </c>
      <c r="N254">
        <v>1</v>
      </c>
      <c r="O254">
        <v>151</v>
      </c>
      <c r="P254">
        <v>152</v>
      </c>
    </row>
    <row r="255" spans="1:16">
      <c r="A255">
        <v>873</v>
      </c>
      <c r="B255" s="1">
        <v>40582</v>
      </c>
      <c r="C255">
        <v>1</v>
      </c>
      <c r="D255">
        <v>0</v>
      </c>
      <c r="E255">
        <v>2</v>
      </c>
      <c r="F255">
        <v>19</v>
      </c>
      <c r="G255" t="b">
        <v>0</v>
      </c>
      <c r="H255">
        <v>2</v>
      </c>
      <c r="I255">
        <v>1</v>
      </c>
      <c r="J255">
        <v>0.16</v>
      </c>
      <c r="K255">
        <v>0.1212</v>
      </c>
      <c r="L255">
        <v>0.4</v>
      </c>
      <c r="M255">
        <v>0.4627</v>
      </c>
      <c r="N255">
        <v>1</v>
      </c>
      <c r="O255">
        <v>100</v>
      </c>
      <c r="P255">
        <v>101</v>
      </c>
    </row>
    <row r="256" spans="1:16">
      <c r="A256">
        <v>874</v>
      </c>
      <c r="B256" s="1">
        <v>40582</v>
      </c>
      <c r="C256">
        <v>1</v>
      </c>
      <c r="D256">
        <v>0</v>
      </c>
      <c r="E256">
        <v>2</v>
      </c>
      <c r="F256">
        <v>20</v>
      </c>
      <c r="G256" t="b">
        <v>0</v>
      </c>
      <c r="H256">
        <v>2</v>
      </c>
      <c r="I256">
        <v>1</v>
      </c>
      <c r="J256">
        <v>0.16</v>
      </c>
      <c r="K256">
        <v>0.13639999999999999</v>
      </c>
      <c r="L256">
        <v>0.4</v>
      </c>
      <c r="M256">
        <v>0.32840000000000003</v>
      </c>
      <c r="N256">
        <v>3</v>
      </c>
      <c r="O256">
        <v>53</v>
      </c>
      <c r="P256">
        <v>56</v>
      </c>
    </row>
    <row r="257" spans="1:16">
      <c r="A257">
        <v>875</v>
      </c>
      <c r="B257" s="1">
        <v>40582</v>
      </c>
      <c r="C257">
        <v>1</v>
      </c>
      <c r="D257">
        <v>0</v>
      </c>
      <c r="E257">
        <v>2</v>
      </c>
      <c r="F257">
        <v>21</v>
      </c>
      <c r="G257" t="b">
        <v>0</v>
      </c>
      <c r="H257">
        <v>2</v>
      </c>
      <c r="I257">
        <v>1</v>
      </c>
      <c r="J257">
        <v>0.14000000000000001</v>
      </c>
      <c r="K257">
        <v>0.1061</v>
      </c>
      <c r="L257">
        <v>0.33</v>
      </c>
      <c r="M257">
        <v>0.4627</v>
      </c>
      <c r="N257">
        <v>8</v>
      </c>
      <c r="O257">
        <v>46</v>
      </c>
      <c r="P257">
        <v>54</v>
      </c>
    </row>
    <row r="258" spans="1:16">
      <c r="A258">
        <v>876</v>
      </c>
      <c r="B258" s="1">
        <v>40582</v>
      </c>
      <c r="C258">
        <v>1</v>
      </c>
      <c r="D258">
        <v>0</v>
      </c>
      <c r="E258">
        <v>2</v>
      </c>
      <c r="F258">
        <v>22</v>
      </c>
      <c r="G258" t="b">
        <v>0</v>
      </c>
      <c r="H258">
        <v>2</v>
      </c>
      <c r="I258">
        <v>1</v>
      </c>
      <c r="J258">
        <v>0.12</v>
      </c>
      <c r="K258">
        <v>0.1061</v>
      </c>
      <c r="L258">
        <v>0.33</v>
      </c>
      <c r="M258">
        <v>0.35820000000000002</v>
      </c>
      <c r="N258">
        <v>0</v>
      </c>
      <c r="O258">
        <v>29</v>
      </c>
      <c r="P258">
        <v>29</v>
      </c>
    </row>
    <row r="259" spans="1:16">
      <c r="A259">
        <v>877</v>
      </c>
      <c r="B259" s="1">
        <v>40582</v>
      </c>
      <c r="C259">
        <v>1</v>
      </c>
      <c r="D259">
        <v>0</v>
      </c>
      <c r="E259">
        <v>2</v>
      </c>
      <c r="F259">
        <v>23</v>
      </c>
      <c r="G259" t="b">
        <v>0</v>
      </c>
      <c r="H259">
        <v>2</v>
      </c>
      <c r="I259">
        <v>1</v>
      </c>
      <c r="J259">
        <v>0.12</v>
      </c>
      <c r="K259">
        <v>0.1061</v>
      </c>
      <c r="L259">
        <v>0.33</v>
      </c>
      <c r="M259">
        <v>0.32840000000000003</v>
      </c>
      <c r="N259">
        <v>3</v>
      </c>
      <c r="O259">
        <v>9</v>
      </c>
      <c r="P259">
        <v>12</v>
      </c>
    </row>
    <row r="260" spans="1:16">
      <c r="A260">
        <v>878</v>
      </c>
      <c r="B260" s="1">
        <v>40583</v>
      </c>
      <c r="C260">
        <v>1</v>
      </c>
      <c r="D260">
        <v>0</v>
      </c>
      <c r="E260">
        <v>2</v>
      </c>
      <c r="F260">
        <v>0</v>
      </c>
      <c r="G260" t="b">
        <v>0</v>
      </c>
      <c r="H260">
        <v>3</v>
      </c>
      <c r="I260">
        <v>1</v>
      </c>
      <c r="J260">
        <v>0.1</v>
      </c>
      <c r="K260">
        <v>7.5800000000000006E-2</v>
      </c>
      <c r="L260">
        <v>0.36</v>
      </c>
      <c r="M260">
        <v>0.35820000000000002</v>
      </c>
      <c r="N260">
        <v>0</v>
      </c>
      <c r="O260">
        <v>17</v>
      </c>
      <c r="P260">
        <v>17</v>
      </c>
    </row>
    <row r="261" spans="1:16">
      <c r="A261">
        <v>879</v>
      </c>
      <c r="B261" s="1">
        <v>40583</v>
      </c>
      <c r="C261">
        <v>1</v>
      </c>
      <c r="D261">
        <v>0</v>
      </c>
      <c r="E261">
        <v>2</v>
      </c>
      <c r="F261">
        <v>1</v>
      </c>
      <c r="G261" t="b">
        <v>0</v>
      </c>
      <c r="H261">
        <v>3</v>
      </c>
      <c r="I261">
        <v>1</v>
      </c>
      <c r="J261">
        <v>0.1</v>
      </c>
      <c r="K261">
        <v>0.1061</v>
      </c>
      <c r="L261">
        <v>0.36</v>
      </c>
      <c r="M261">
        <v>0.22389999999999999</v>
      </c>
      <c r="N261">
        <v>0</v>
      </c>
      <c r="O261">
        <v>7</v>
      </c>
      <c r="P261">
        <v>7</v>
      </c>
    </row>
    <row r="262" spans="1:16">
      <c r="A262">
        <v>880</v>
      </c>
      <c r="B262" s="1">
        <v>40583</v>
      </c>
      <c r="C262">
        <v>1</v>
      </c>
      <c r="D262">
        <v>0</v>
      </c>
      <c r="E262">
        <v>2</v>
      </c>
      <c r="F262">
        <v>2</v>
      </c>
      <c r="G262" t="b">
        <v>0</v>
      </c>
      <c r="H262">
        <v>3</v>
      </c>
      <c r="I262">
        <v>1</v>
      </c>
      <c r="J262">
        <v>0.08</v>
      </c>
      <c r="K262">
        <v>7.5800000000000006E-2</v>
      </c>
      <c r="L262">
        <v>0.38</v>
      </c>
      <c r="M262">
        <v>0.28360000000000002</v>
      </c>
      <c r="N262">
        <v>1</v>
      </c>
      <c r="O262">
        <v>2</v>
      </c>
      <c r="P262">
        <v>3</v>
      </c>
    </row>
    <row r="263" spans="1:16">
      <c r="A263">
        <v>881</v>
      </c>
      <c r="B263" s="1">
        <v>40583</v>
      </c>
      <c r="C263">
        <v>1</v>
      </c>
      <c r="D263">
        <v>0</v>
      </c>
      <c r="E263">
        <v>2</v>
      </c>
      <c r="F263">
        <v>3</v>
      </c>
      <c r="G263" t="b">
        <v>0</v>
      </c>
      <c r="H263">
        <v>3</v>
      </c>
      <c r="I263">
        <v>1</v>
      </c>
      <c r="J263">
        <v>0.06</v>
      </c>
      <c r="K263">
        <v>7.5800000000000006E-2</v>
      </c>
      <c r="L263">
        <v>0.45</v>
      </c>
      <c r="M263">
        <v>0.1343</v>
      </c>
      <c r="N263">
        <v>0</v>
      </c>
      <c r="O263">
        <v>2</v>
      </c>
      <c r="P263">
        <v>2</v>
      </c>
    </row>
    <row r="264" spans="1:16">
      <c r="A264">
        <v>882</v>
      </c>
      <c r="B264" s="1">
        <v>40583</v>
      </c>
      <c r="C264">
        <v>1</v>
      </c>
      <c r="D264">
        <v>0</v>
      </c>
      <c r="E264">
        <v>2</v>
      </c>
      <c r="F264">
        <v>5</v>
      </c>
      <c r="G264" t="b">
        <v>0</v>
      </c>
      <c r="H264">
        <v>3</v>
      </c>
      <c r="I264">
        <v>1</v>
      </c>
      <c r="J264">
        <v>0.06</v>
      </c>
      <c r="K264">
        <v>0.1061</v>
      </c>
      <c r="L264">
        <v>0.45</v>
      </c>
      <c r="M264">
        <v>0.1045</v>
      </c>
      <c r="N264">
        <v>0</v>
      </c>
      <c r="O264">
        <v>7</v>
      </c>
      <c r="P264">
        <v>7</v>
      </c>
    </row>
    <row r="265" spans="1:16">
      <c r="A265">
        <v>883</v>
      </c>
      <c r="B265" s="1">
        <v>40583</v>
      </c>
      <c r="C265">
        <v>1</v>
      </c>
      <c r="D265">
        <v>0</v>
      </c>
      <c r="E265">
        <v>2</v>
      </c>
      <c r="F265">
        <v>6</v>
      </c>
      <c r="G265" t="b">
        <v>0</v>
      </c>
      <c r="H265">
        <v>3</v>
      </c>
      <c r="I265">
        <v>1</v>
      </c>
      <c r="J265">
        <v>0.06</v>
      </c>
      <c r="K265">
        <v>0.1515</v>
      </c>
      <c r="L265">
        <v>0.45</v>
      </c>
      <c r="M265">
        <v>0</v>
      </c>
      <c r="N265">
        <v>0</v>
      </c>
      <c r="O265">
        <v>43</v>
      </c>
      <c r="P265">
        <v>43</v>
      </c>
    </row>
    <row r="266" spans="1:16">
      <c r="A266">
        <v>884</v>
      </c>
      <c r="B266" s="1">
        <v>40583</v>
      </c>
      <c r="C266">
        <v>1</v>
      </c>
      <c r="D266">
        <v>0</v>
      </c>
      <c r="E266">
        <v>2</v>
      </c>
      <c r="F266">
        <v>7</v>
      </c>
      <c r="G266" t="b">
        <v>0</v>
      </c>
      <c r="H266">
        <v>3</v>
      </c>
      <c r="I266">
        <v>1</v>
      </c>
      <c r="J266">
        <v>0.06</v>
      </c>
      <c r="K266">
        <v>0.1061</v>
      </c>
      <c r="L266">
        <v>0.49</v>
      </c>
      <c r="M266">
        <v>0.1045</v>
      </c>
      <c r="N266">
        <v>4</v>
      </c>
      <c r="O266">
        <v>95</v>
      </c>
      <c r="P266">
        <v>99</v>
      </c>
    </row>
    <row r="267" spans="1:16">
      <c r="A267">
        <v>885</v>
      </c>
      <c r="B267" s="1">
        <v>40583</v>
      </c>
      <c r="C267">
        <v>1</v>
      </c>
      <c r="D267">
        <v>0</v>
      </c>
      <c r="E267">
        <v>2</v>
      </c>
      <c r="F267">
        <v>8</v>
      </c>
      <c r="G267" t="b">
        <v>0</v>
      </c>
      <c r="H267">
        <v>3</v>
      </c>
      <c r="I267">
        <v>1</v>
      </c>
      <c r="J267">
        <v>0.1</v>
      </c>
      <c r="K267">
        <v>0.13639999999999999</v>
      </c>
      <c r="L267">
        <v>0.42</v>
      </c>
      <c r="M267">
        <v>0</v>
      </c>
      <c r="N267">
        <v>1</v>
      </c>
      <c r="O267">
        <v>198</v>
      </c>
      <c r="P267">
        <v>199</v>
      </c>
    </row>
    <row r="268" spans="1:16">
      <c r="A268">
        <v>886</v>
      </c>
      <c r="B268" s="1">
        <v>40583</v>
      </c>
      <c r="C268">
        <v>1</v>
      </c>
      <c r="D268">
        <v>0</v>
      </c>
      <c r="E268">
        <v>2</v>
      </c>
      <c r="F268">
        <v>9</v>
      </c>
      <c r="G268" t="b">
        <v>0</v>
      </c>
      <c r="H268">
        <v>3</v>
      </c>
      <c r="I268">
        <v>1</v>
      </c>
      <c r="J268">
        <v>0.12</v>
      </c>
      <c r="K268">
        <v>0.13639999999999999</v>
      </c>
      <c r="L268">
        <v>0.39</v>
      </c>
      <c r="M268">
        <v>0.16420000000000001</v>
      </c>
      <c r="N268">
        <v>4</v>
      </c>
      <c r="O268">
        <v>119</v>
      </c>
      <c r="P268">
        <v>123</v>
      </c>
    </row>
    <row r="269" spans="1:16">
      <c r="A269">
        <v>887</v>
      </c>
      <c r="B269" s="1">
        <v>40583</v>
      </c>
      <c r="C269">
        <v>1</v>
      </c>
      <c r="D269">
        <v>0</v>
      </c>
      <c r="E269">
        <v>2</v>
      </c>
      <c r="F269">
        <v>10</v>
      </c>
      <c r="G269" t="b">
        <v>0</v>
      </c>
      <c r="H269">
        <v>3</v>
      </c>
      <c r="I269">
        <v>1</v>
      </c>
      <c r="J269">
        <v>0.14000000000000001</v>
      </c>
      <c r="K269">
        <v>0.18179999999999999</v>
      </c>
      <c r="L269">
        <v>0.36</v>
      </c>
      <c r="M269">
        <v>0</v>
      </c>
      <c r="N269">
        <v>8</v>
      </c>
      <c r="O269">
        <v>51</v>
      </c>
      <c r="P269">
        <v>59</v>
      </c>
    </row>
    <row r="270" spans="1:16">
      <c r="A270">
        <v>888</v>
      </c>
      <c r="B270" s="1">
        <v>40583</v>
      </c>
      <c r="C270">
        <v>1</v>
      </c>
      <c r="D270">
        <v>0</v>
      </c>
      <c r="E270">
        <v>2</v>
      </c>
      <c r="F270">
        <v>11</v>
      </c>
      <c r="G270" t="b">
        <v>0</v>
      </c>
      <c r="H270">
        <v>3</v>
      </c>
      <c r="I270">
        <v>2</v>
      </c>
      <c r="J270">
        <v>0.14000000000000001</v>
      </c>
      <c r="K270">
        <v>0.1515</v>
      </c>
      <c r="L270">
        <v>0.43</v>
      </c>
      <c r="M270">
        <v>0.16420000000000001</v>
      </c>
      <c r="N270">
        <v>1</v>
      </c>
      <c r="O270">
        <v>40</v>
      </c>
      <c r="P270">
        <v>41</v>
      </c>
    </row>
    <row r="271" spans="1:16">
      <c r="A271">
        <v>889</v>
      </c>
      <c r="B271" s="1">
        <v>40583</v>
      </c>
      <c r="C271">
        <v>1</v>
      </c>
      <c r="D271">
        <v>0</v>
      </c>
      <c r="E271">
        <v>2</v>
      </c>
      <c r="F271">
        <v>12</v>
      </c>
      <c r="G271" t="b">
        <v>0</v>
      </c>
      <c r="H271">
        <v>3</v>
      </c>
      <c r="I271">
        <v>2</v>
      </c>
      <c r="J271">
        <v>0.18</v>
      </c>
      <c r="K271">
        <v>0.18179999999999999</v>
      </c>
      <c r="L271">
        <v>0.4</v>
      </c>
      <c r="M271">
        <v>0.22389999999999999</v>
      </c>
      <c r="N271">
        <v>4</v>
      </c>
      <c r="O271">
        <v>57</v>
      </c>
      <c r="P271">
        <v>61</v>
      </c>
    </row>
    <row r="272" spans="1:16">
      <c r="A272">
        <v>890</v>
      </c>
      <c r="B272" s="1">
        <v>40583</v>
      </c>
      <c r="C272">
        <v>1</v>
      </c>
      <c r="D272">
        <v>0</v>
      </c>
      <c r="E272">
        <v>2</v>
      </c>
      <c r="F272">
        <v>13</v>
      </c>
      <c r="G272" t="b">
        <v>0</v>
      </c>
      <c r="H272">
        <v>3</v>
      </c>
      <c r="I272">
        <v>1</v>
      </c>
      <c r="J272">
        <v>0.18</v>
      </c>
      <c r="K272">
        <v>0.16669999999999999</v>
      </c>
      <c r="L272">
        <v>0.4</v>
      </c>
      <c r="M272">
        <v>0.25369999999999998</v>
      </c>
      <c r="N272">
        <v>2</v>
      </c>
      <c r="O272">
        <v>67</v>
      </c>
      <c r="P272">
        <v>69</v>
      </c>
    </row>
    <row r="273" spans="1:16">
      <c r="A273">
        <v>891</v>
      </c>
      <c r="B273" s="1">
        <v>40583</v>
      </c>
      <c r="C273">
        <v>1</v>
      </c>
      <c r="D273">
        <v>0</v>
      </c>
      <c r="E273">
        <v>2</v>
      </c>
      <c r="F273">
        <v>14</v>
      </c>
      <c r="G273" t="b">
        <v>0</v>
      </c>
      <c r="H273">
        <v>3</v>
      </c>
      <c r="I273">
        <v>1</v>
      </c>
      <c r="J273">
        <v>0.2</v>
      </c>
      <c r="K273">
        <v>0.18179999999999999</v>
      </c>
      <c r="L273">
        <v>0.34</v>
      </c>
      <c r="M273">
        <v>0.29849999999999999</v>
      </c>
      <c r="N273">
        <v>2</v>
      </c>
      <c r="O273">
        <v>56</v>
      </c>
      <c r="P273">
        <v>58</v>
      </c>
    </row>
    <row r="274" spans="1:16">
      <c r="A274">
        <v>892</v>
      </c>
      <c r="B274" s="1">
        <v>40583</v>
      </c>
      <c r="C274">
        <v>1</v>
      </c>
      <c r="D274">
        <v>0</v>
      </c>
      <c r="E274">
        <v>2</v>
      </c>
      <c r="F274">
        <v>15</v>
      </c>
      <c r="G274" t="b">
        <v>0</v>
      </c>
      <c r="H274">
        <v>3</v>
      </c>
      <c r="I274">
        <v>2</v>
      </c>
      <c r="J274">
        <v>0.2</v>
      </c>
      <c r="K274">
        <v>0.18179999999999999</v>
      </c>
      <c r="L274">
        <v>0.34</v>
      </c>
      <c r="M274">
        <v>0.28360000000000002</v>
      </c>
      <c r="N274">
        <v>3</v>
      </c>
      <c r="O274">
        <v>61</v>
      </c>
      <c r="P274">
        <v>64</v>
      </c>
    </row>
    <row r="275" spans="1:16">
      <c r="A275">
        <v>893</v>
      </c>
      <c r="B275" s="1">
        <v>40583</v>
      </c>
      <c r="C275">
        <v>1</v>
      </c>
      <c r="D275">
        <v>0</v>
      </c>
      <c r="E275">
        <v>2</v>
      </c>
      <c r="F275">
        <v>16</v>
      </c>
      <c r="G275" t="b">
        <v>0</v>
      </c>
      <c r="H275">
        <v>3</v>
      </c>
      <c r="I275">
        <v>2</v>
      </c>
      <c r="J275">
        <v>0.2</v>
      </c>
      <c r="K275">
        <v>0.19700000000000001</v>
      </c>
      <c r="L275">
        <v>0.37</v>
      </c>
      <c r="M275">
        <v>0.25369999999999998</v>
      </c>
      <c r="N275">
        <v>7</v>
      </c>
      <c r="O275">
        <v>72</v>
      </c>
      <c r="P275">
        <v>79</v>
      </c>
    </row>
    <row r="276" spans="1:16">
      <c r="A276">
        <v>894</v>
      </c>
      <c r="B276" s="1">
        <v>40583</v>
      </c>
      <c r="C276">
        <v>1</v>
      </c>
      <c r="D276">
        <v>0</v>
      </c>
      <c r="E276">
        <v>2</v>
      </c>
      <c r="F276">
        <v>17</v>
      </c>
      <c r="G276" t="b">
        <v>0</v>
      </c>
      <c r="H276">
        <v>3</v>
      </c>
      <c r="I276">
        <v>2</v>
      </c>
      <c r="J276">
        <v>0.2</v>
      </c>
      <c r="K276">
        <v>0.19700000000000001</v>
      </c>
      <c r="L276">
        <v>0.34</v>
      </c>
      <c r="M276">
        <v>0.25369999999999998</v>
      </c>
      <c r="N276">
        <v>9</v>
      </c>
      <c r="O276">
        <v>157</v>
      </c>
      <c r="P276">
        <v>166</v>
      </c>
    </row>
    <row r="277" spans="1:16">
      <c r="A277">
        <v>895</v>
      </c>
      <c r="B277" s="1">
        <v>40583</v>
      </c>
      <c r="C277">
        <v>1</v>
      </c>
      <c r="D277">
        <v>0</v>
      </c>
      <c r="E277">
        <v>2</v>
      </c>
      <c r="F277">
        <v>18</v>
      </c>
      <c r="G277" t="b">
        <v>0</v>
      </c>
      <c r="H277">
        <v>3</v>
      </c>
      <c r="I277">
        <v>2</v>
      </c>
      <c r="J277">
        <v>0.18</v>
      </c>
      <c r="K277">
        <v>0.16669999999999999</v>
      </c>
      <c r="L277">
        <v>0.47</v>
      </c>
      <c r="M277">
        <v>0.29849999999999999</v>
      </c>
      <c r="N277">
        <v>2</v>
      </c>
      <c r="O277">
        <v>168</v>
      </c>
      <c r="P277">
        <v>170</v>
      </c>
    </row>
    <row r="278" spans="1:16">
      <c r="A278">
        <v>896</v>
      </c>
      <c r="B278" s="1">
        <v>40583</v>
      </c>
      <c r="C278">
        <v>1</v>
      </c>
      <c r="D278">
        <v>0</v>
      </c>
      <c r="E278">
        <v>2</v>
      </c>
      <c r="F278">
        <v>19</v>
      </c>
      <c r="G278" t="b">
        <v>0</v>
      </c>
      <c r="H278">
        <v>3</v>
      </c>
      <c r="I278">
        <v>3</v>
      </c>
      <c r="J278">
        <v>0.14000000000000001</v>
      </c>
      <c r="K278">
        <v>0.1212</v>
      </c>
      <c r="L278">
        <v>0.86</v>
      </c>
      <c r="M278">
        <v>0.25369999999999998</v>
      </c>
      <c r="N278">
        <v>1</v>
      </c>
      <c r="O278">
        <v>87</v>
      </c>
      <c r="P278">
        <v>88</v>
      </c>
    </row>
    <row r="279" spans="1:16">
      <c r="A279">
        <v>897</v>
      </c>
      <c r="B279" s="1">
        <v>40583</v>
      </c>
      <c r="C279">
        <v>1</v>
      </c>
      <c r="D279">
        <v>0</v>
      </c>
      <c r="E279">
        <v>2</v>
      </c>
      <c r="F279">
        <v>20</v>
      </c>
      <c r="G279" t="b">
        <v>0</v>
      </c>
      <c r="H279">
        <v>3</v>
      </c>
      <c r="I279">
        <v>3</v>
      </c>
      <c r="J279">
        <v>0.14000000000000001</v>
      </c>
      <c r="K279">
        <v>0.1515</v>
      </c>
      <c r="L279">
        <v>0.86</v>
      </c>
      <c r="M279">
        <v>0.16420000000000001</v>
      </c>
      <c r="N279">
        <v>0</v>
      </c>
      <c r="O279">
        <v>84</v>
      </c>
      <c r="P279">
        <v>84</v>
      </c>
    </row>
    <row r="280" spans="1:16">
      <c r="A280">
        <v>898</v>
      </c>
      <c r="B280" s="1">
        <v>40583</v>
      </c>
      <c r="C280">
        <v>1</v>
      </c>
      <c r="D280">
        <v>0</v>
      </c>
      <c r="E280">
        <v>2</v>
      </c>
      <c r="F280">
        <v>21</v>
      </c>
      <c r="G280" t="b">
        <v>0</v>
      </c>
      <c r="H280">
        <v>3</v>
      </c>
      <c r="I280">
        <v>2</v>
      </c>
      <c r="J280">
        <v>0.14000000000000001</v>
      </c>
      <c r="K280">
        <v>0.1515</v>
      </c>
      <c r="L280">
        <v>0.86</v>
      </c>
      <c r="M280">
        <v>0.16420000000000001</v>
      </c>
      <c r="N280">
        <v>0</v>
      </c>
      <c r="O280">
        <v>83</v>
      </c>
      <c r="P280">
        <v>83</v>
      </c>
    </row>
    <row r="281" spans="1:16">
      <c r="A281">
        <v>899</v>
      </c>
      <c r="B281" s="1">
        <v>40583</v>
      </c>
      <c r="C281">
        <v>1</v>
      </c>
      <c r="D281">
        <v>0</v>
      </c>
      <c r="E281">
        <v>2</v>
      </c>
      <c r="F281">
        <v>22</v>
      </c>
      <c r="G281" t="b">
        <v>0</v>
      </c>
      <c r="H281">
        <v>3</v>
      </c>
      <c r="I281">
        <v>3</v>
      </c>
      <c r="J281">
        <v>0.16</v>
      </c>
      <c r="K281">
        <v>0.16669999999999999</v>
      </c>
      <c r="L281">
        <v>0.8</v>
      </c>
      <c r="M281">
        <v>0.16420000000000001</v>
      </c>
      <c r="N281">
        <v>4</v>
      </c>
      <c r="O281">
        <v>42</v>
      </c>
      <c r="P281">
        <v>46</v>
      </c>
    </row>
    <row r="282" spans="1:16">
      <c r="A282">
        <v>900</v>
      </c>
      <c r="B282" s="1">
        <v>40583</v>
      </c>
      <c r="C282">
        <v>1</v>
      </c>
      <c r="D282">
        <v>0</v>
      </c>
      <c r="E282">
        <v>2</v>
      </c>
      <c r="F282">
        <v>23</v>
      </c>
      <c r="G282" t="b">
        <v>0</v>
      </c>
      <c r="H282">
        <v>3</v>
      </c>
      <c r="I282">
        <v>3</v>
      </c>
      <c r="J282">
        <v>0.16</v>
      </c>
      <c r="K282">
        <v>0.1515</v>
      </c>
      <c r="L282">
        <v>0.8</v>
      </c>
      <c r="M282">
        <v>0.19400000000000001</v>
      </c>
      <c r="N282">
        <v>0</v>
      </c>
      <c r="O282">
        <v>37</v>
      </c>
      <c r="P282">
        <v>37</v>
      </c>
    </row>
    <row r="283" spans="1:16">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c r="A284">
        <v>902</v>
      </c>
      <c r="B284" s="1">
        <v>40584</v>
      </c>
      <c r="C284">
        <v>1</v>
      </c>
      <c r="D284">
        <v>0</v>
      </c>
      <c r="E284">
        <v>2</v>
      </c>
      <c r="F284">
        <v>1</v>
      </c>
      <c r="G284" t="b">
        <v>0</v>
      </c>
      <c r="H284">
        <v>4</v>
      </c>
      <c r="I284">
        <v>3</v>
      </c>
      <c r="J284">
        <v>0.14000000000000001</v>
      </c>
      <c r="K284">
        <v>0.1515</v>
      </c>
      <c r="L284">
        <v>0.8</v>
      </c>
      <c r="M284">
        <v>0.1343</v>
      </c>
      <c r="N284">
        <v>0</v>
      </c>
      <c r="O284">
        <v>7</v>
      </c>
      <c r="P284">
        <v>7</v>
      </c>
    </row>
    <row r="285" spans="1:16">
      <c r="A285">
        <v>903</v>
      </c>
      <c r="B285" s="1">
        <v>40584</v>
      </c>
      <c r="C285">
        <v>1</v>
      </c>
      <c r="D285">
        <v>0</v>
      </c>
      <c r="E285">
        <v>2</v>
      </c>
      <c r="F285">
        <v>2</v>
      </c>
      <c r="G285" t="b">
        <v>0</v>
      </c>
      <c r="H285">
        <v>4</v>
      </c>
      <c r="I285">
        <v>3</v>
      </c>
      <c r="J285">
        <v>0.14000000000000001</v>
      </c>
      <c r="K285">
        <v>0.1515</v>
      </c>
      <c r="L285">
        <v>0.8</v>
      </c>
      <c r="M285">
        <v>0.1343</v>
      </c>
      <c r="N285">
        <v>0</v>
      </c>
      <c r="O285">
        <v>3</v>
      </c>
      <c r="P285">
        <v>3</v>
      </c>
    </row>
    <row r="286" spans="1:16">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c r="A287">
        <v>905</v>
      </c>
      <c r="B287" s="1">
        <v>40584</v>
      </c>
      <c r="C287">
        <v>1</v>
      </c>
      <c r="D287">
        <v>0</v>
      </c>
      <c r="E287">
        <v>2</v>
      </c>
      <c r="F287">
        <v>5</v>
      </c>
      <c r="G287" t="b">
        <v>0</v>
      </c>
      <c r="H287">
        <v>4</v>
      </c>
      <c r="I287">
        <v>2</v>
      </c>
      <c r="J287">
        <v>0.12</v>
      </c>
      <c r="K287">
        <v>0.1212</v>
      </c>
      <c r="L287">
        <v>0.5</v>
      </c>
      <c r="M287">
        <v>0.22389999999999999</v>
      </c>
      <c r="N287">
        <v>0</v>
      </c>
      <c r="O287">
        <v>6</v>
      </c>
      <c r="P287">
        <v>6</v>
      </c>
    </row>
    <row r="288" spans="1:16">
      <c r="A288">
        <v>906</v>
      </c>
      <c r="B288" s="1">
        <v>40584</v>
      </c>
      <c r="C288">
        <v>1</v>
      </c>
      <c r="D288">
        <v>0</v>
      </c>
      <c r="E288">
        <v>2</v>
      </c>
      <c r="F288">
        <v>6</v>
      </c>
      <c r="G288" t="b">
        <v>0</v>
      </c>
      <c r="H288">
        <v>4</v>
      </c>
      <c r="I288">
        <v>2</v>
      </c>
      <c r="J288">
        <v>0.12</v>
      </c>
      <c r="K288">
        <v>0.1212</v>
      </c>
      <c r="L288">
        <v>0.54</v>
      </c>
      <c r="M288">
        <v>0.28360000000000002</v>
      </c>
      <c r="N288">
        <v>0</v>
      </c>
      <c r="O288">
        <v>26</v>
      </c>
      <c r="P288">
        <v>26</v>
      </c>
    </row>
    <row r="289" spans="1:16">
      <c r="A289">
        <v>907</v>
      </c>
      <c r="B289" s="1">
        <v>40584</v>
      </c>
      <c r="C289">
        <v>1</v>
      </c>
      <c r="D289">
        <v>0</v>
      </c>
      <c r="E289">
        <v>2</v>
      </c>
      <c r="F289">
        <v>7</v>
      </c>
      <c r="G289" t="b">
        <v>0</v>
      </c>
      <c r="H289">
        <v>4</v>
      </c>
      <c r="I289">
        <v>1</v>
      </c>
      <c r="J289">
        <v>0.1</v>
      </c>
      <c r="K289">
        <v>7.5800000000000006E-2</v>
      </c>
      <c r="L289">
        <v>0.5</v>
      </c>
      <c r="M289">
        <v>0.41789999999999999</v>
      </c>
      <c r="N289">
        <v>0</v>
      </c>
      <c r="O289">
        <v>99</v>
      </c>
      <c r="P289">
        <v>99</v>
      </c>
    </row>
    <row r="290" spans="1:16">
      <c r="A290">
        <v>908</v>
      </c>
      <c r="B290" s="1">
        <v>40584</v>
      </c>
      <c r="C290">
        <v>1</v>
      </c>
      <c r="D290">
        <v>0</v>
      </c>
      <c r="E290">
        <v>2</v>
      </c>
      <c r="F290">
        <v>8</v>
      </c>
      <c r="G290" t="b">
        <v>0</v>
      </c>
      <c r="H290">
        <v>4</v>
      </c>
      <c r="I290">
        <v>1</v>
      </c>
      <c r="J290">
        <v>0.1</v>
      </c>
      <c r="K290">
        <v>7.5800000000000006E-2</v>
      </c>
      <c r="L290">
        <v>0.49</v>
      </c>
      <c r="M290">
        <v>0.32840000000000003</v>
      </c>
      <c r="N290">
        <v>5</v>
      </c>
      <c r="O290">
        <v>173</v>
      </c>
      <c r="P290">
        <v>178</v>
      </c>
    </row>
    <row r="291" spans="1:16">
      <c r="A291">
        <v>909</v>
      </c>
      <c r="B291" s="1">
        <v>40584</v>
      </c>
      <c r="C291">
        <v>1</v>
      </c>
      <c r="D291">
        <v>0</v>
      </c>
      <c r="E291">
        <v>2</v>
      </c>
      <c r="F291">
        <v>9</v>
      </c>
      <c r="G291" t="b">
        <v>0</v>
      </c>
      <c r="H291">
        <v>4</v>
      </c>
      <c r="I291">
        <v>1</v>
      </c>
      <c r="J291">
        <v>0.12</v>
      </c>
      <c r="K291">
        <v>0.1061</v>
      </c>
      <c r="L291">
        <v>0.42</v>
      </c>
      <c r="M291">
        <v>0.35820000000000002</v>
      </c>
      <c r="N291">
        <v>1</v>
      </c>
      <c r="O291">
        <v>121</v>
      </c>
      <c r="P291">
        <v>122</v>
      </c>
    </row>
    <row r="292" spans="1:16">
      <c r="A292">
        <v>910</v>
      </c>
      <c r="B292" s="1">
        <v>40584</v>
      </c>
      <c r="C292">
        <v>1</v>
      </c>
      <c r="D292">
        <v>0</v>
      </c>
      <c r="E292">
        <v>2</v>
      </c>
      <c r="F292">
        <v>10</v>
      </c>
      <c r="G292" t="b">
        <v>0</v>
      </c>
      <c r="H292">
        <v>4</v>
      </c>
      <c r="I292">
        <v>1</v>
      </c>
      <c r="J292">
        <v>0.12</v>
      </c>
      <c r="K292">
        <v>0.1061</v>
      </c>
      <c r="L292">
        <v>0.42</v>
      </c>
      <c r="M292">
        <v>0.29849999999999999</v>
      </c>
      <c r="N292">
        <v>1</v>
      </c>
      <c r="O292">
        <v>34</v>
      </c>
      <c r="P292">
        <v>35</v>
      </c>
    </row>
    <row r="293" spans="1:16">
      <c r="A293">
        <v>911</v>
      </c>
      <c r="B293" s="1">
        <v>40584</v>
      </c>
      <c r="C293">
        <v>1</v>
      </c>
      <c r="D293">
        <v>0</v>
      </c>
      <c r="E293">
        <v>2</v>
      </c>
      <c r="F293">
        <v>11</v>
      </c>
      <c r="G293" t="b">
        <v>0</v>
      </c>
      <c r="H293">
        <v>4</v>
      </c>
      <c r="I293">
        <v>1</v>
      </c>
      <c r="J293">
        <v>0.14000000000000001</v>
      </c>
      <c r="K293">
        <v>0.1212</v>
      </c>
      <c r="L293">
        <v>0.39</v>
      </c>
      <c r="M293">
        <v>0.35820000000000002</v>
      </c>
      <c r="N293">
        <v>1</v>
      </c>
      <c r="O293">
        <v>44</v>
      </c>
      <c r="P293">
        <v>45</v>
      </c>
    </row>
    <row r="294" spans="1:16">
      <c r="A294">
        <v>912</v>
      </c>
      <c r="B294" s="1">
        <v>40584</v>
      </c>
      <c r="C294">
        <v>1</v>
      </c>
      <c r="D294">
        <v>0</v>
      </c>
      <c r="E294">
        <v>2</v>
      </c>
      <c r="F294">
        <v>12</v>
      </c>
      <c r="G294" t="b">
        <v>0</v>
      </c>
      <c r="H294">
        <v>4</v>
      </c>
      <c r="I294">
        <v>1</v>
      </c>
      <c r="J294">
        <v>0.16</v>
      </c>
      <c r="K294">
        <v>0.13639999999999999</v>
      </c>
      <c r="L294">
        <v>0.34</v>
      </c>
      <c r="M294">
        <v>0.3881</v>
      </c>
      <c r="N294">
        <v>4</v>
      </c>
      <c r="O294">
        <v>65</v>
      </c>
      <c r="P294">
        <v>69</v>
      </c>
    </row>
    <row r="295" spans="1:16">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c r="A296">
        <v>914</v>
      </c>
      <c r="B296" s="1">
        <v>40584</v>
      </c>
      <c r="C296">
        <v>1</v>
      </c>
      <c r="D296">
        <v>0</v>
      </c>
      <c r="E296">
        <v>2</v>
      </c>
      <c r="F296">
        <v>14</v>
      </c>
      <c r="G296" t="b">
        <v>0</v>
      </c>
      <c r="H296">
        <v>4</v>
      </c>
      <c r="I296">
        <v>1</v>
      </c>
      <c r="J296">
        <v>0.2</v>
      </c>
      <c r="K296">
        <v>0.18179999999999999</v>
      </c>
      <c r="L296">
        <v>0.27</v>
      </c>
      <c r="M296">
        <v>0.28360000000000002</v>
      </c>
      <c r="N296">
        <v>6</v>
      </c>
      <c r="O296">
        <v>42</v>
      </c>
      <c r="P296">
        <v>48</v>
      </c>
    </row>
    <row r="297" spans="1:16">
      <c r="A297">
        <v>915</v>
      </c>
      <c r="B297" s="1">
        <v>40584</v>
      </c>
      <c r="C297">
        <v>1</v>
      </c>
      <c r="D297">
        <v>0</v>
      </c>
      <c r="E297">
        <v>2</v>
      </c>
      <c r="F297">
        <v>15</v>
      </c>
      <c r="G297" t="b">
        <v>0</v>
      </c>
      <c r="H297">
        <v>4</v>
      </c>
      <c r="I297">
        <v>1</v>
      </c>
      <c r="J297">
        <v>0.2</v>
      </c>
      <c r="K297">
        <v>0.19700000000000001</v>
      </c>
      <c r="L297">
        <v>0.25</v>
      </c>
      <c r="M297">
        <v>0.25369999999999998</v>
      </c>
      <c r="N297">
        <v>0</v>
      </c>
      <c r="O297">
        <v>50</v>
      </c>
      <c r="P297">
        <v>50</v>
      </c>
    </row>
    <row r="298" spans="1:16">
      <c r="A298">
        <v>916</v>
      </c>
      <c r="B298" s="1">
        <v>40584</v>
      </c>
      <c r="C298">
        <v>1</v>
      </c>
      <c r="D298">
        <v>0</v>
      </c>
      <c r="E298">
        <v>2</v>
      </c>
      <c r="F298">
        <v>16</v>
      </c>
      <c r="G298" t="b">
        <v>0</v>
      </c>
      <c r="H298">
        <v>4</v>
      </c>
      <c r="I298">
        <v>1</v>
      </c>
      <c r="J298">
        <v>0.2</v>
      </c>
      <c r="K298">
        <v>0.18179999999999999</v>
      </c>
      <c r="L298">
        <v>0.27</v>
      </c>
      <c r="M298">
        <v>0.29849999999999999</v>
      </c>
      <c r="N298">
        <v>4</v>
      </c>
      <c r="O298">
        <v>76</v>
      </c>
      <c r="P298">
        <v>80</v>
      </c>
    </row>
    <row r="299" spans="1:16">
      <c r="A299">
        <v>917</v>
      </c>
      <c r="B299" s="1">
        <v>40584</v>
      </c>
      <c r="C299">
        <v>1</v>
      </c>
      <c r="D299">
        <v>0</v>
      </c>
      <c r="E299">
        <v>2</v>
      </c>
      <c r="F299">
        <v>17</v>
      </c>
      <c r="G299" t="b">
        <v>0</v>
      </c>
      <c r="H299">
        <v>4</v>
      </c>
      <c r="I299">
        <v>1</v>
      </c>
      <c r="J299">
        <v>0.18</v>
      </c>
      <c r="K299">
        <v>0.18179999999999999</v>
      </c>
      <c r="L299">
        <v>0.26</v>
      </c>
      <c r="M299">
        <v>0.19400000000000001</v>
      </c>
      <c r="N299">
        <v>6</v>
      </c>
      <c r="O299">
        <v>159</v>
      </c>
      <c r="P299">
        <v>165</v>
      </c>
    </row>
    <row r="300" spans="1:16">
      <c r="A300">
        <v>918</v>
      </c>
      <c r="B300" s="1">
        <v>40584</v>
      </c>
      <c r="C300">
        <v>1</v>
      </c>
      <c r="D300">
        <v>0</v>
      </c>
      <c r="E300">
        <v>2</v>
      </c>
      <c r="F300">
        <v>18</v>
      </c>
      <c r="G300" t="b">
        <v>0</v>
      </c>
      <c r="H300">
        <v>4</v>
      </c>
      <c r="I300">
        <v>1</v>
      </c>
      <c r="J300">
        <v>0.16</v>
      </c>
      <c r="K300">
        <v>0.18179999999999999</v>
      </c>
      <c r="L300">
        <v>0.28000000000000003</v>
      </c>
      <c r="M300">
        <v>0.1343</v>
      </c>
      <c r="N300">
        <v>3</v>
      </c>
      <c r="O300">
        <v>157</v>
      </c>
      <c r="P300">
        <v>160</v>
      </c>
    </row>
    <row r="301" spans="1:16">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c r="A303">
        <v>921</v>
      </c>
      <c r="B303" s="1">
        <v>40584</v>
      </c>
      <c r="C303">
        <v>1</v>
      </c>
      <c r="D303">
        <v>0</v>
      </c>
      <c r="E303">
        <v>2</v>
      </c>
      <c r="F303">
        <v>21</v>
      </c>
      <c r="G303" t="b">
        <v>0</v>
      </c>
      <c r="H303">
        <v>4</v>
      </c>
      <c r="I303">
        <v>1</v>
      </c>
      <c r="J303">
        <v>0.14000000000000001</v>
      </c>
      <c r="K303">
        <v>0.21210000000000001</v>
      </c>
      <c r="L303">
        <v>0.39</v>
      </c>
      <c r="M303">
        <v>0</v>
      </c>
      <c r="N303">
        <v>2</v>
      </c>
      <c r="O303">
        <v>70</v>
      </c>
      <c r="P303">
        <v>72</v>
      </c>
    </row>
    <row r="304" spans="1:16">
      <c r="A304">
        <v>922</v>
      </c>
      <c r="B304" s="1">
        <v>40584</v>
      </c>
      <c r="C304">
        <v>1</v>
      </c>
      <c r="D304">
        <v>0</v>
      </c>
      <c r="E304">
        <v>2</v>
      </c>
      <c r="F304">
        <v>22</v>
      </c>
      <c r="G304" t="b">
        <v>0</v>
      </c>
      <c r="H304">
        <v>4</v>
      </c>
      <c r="I304">
        <v>1</v>
      </c>
      <c r="J304">
        <v>0.12</v>
      </c>
      <c r="K304">
        <v>0.19700000000000001</v>
      </c>
      <c r="L304">
        <v>0.39</v>
      </c>
      <c r="M304">
        <v>0</v>
      </c>
      <c r="N304">
        <v>4</v>
      </c>
      <c r="O304">
        <v>47</v>
      </c>
      <c r="P304">
        <v>51</v>
      </c>
    </row>
    <row r="305" spans="1:16">
      <c r="A305">
        <v>923</v>
      </c>
      <c r="B305" s="1">
        <v>40584</v>
      </c>
      <c r="C305">
        <v>1</v>
      </c>
      <c r="D305">
        <v>0</v>
      </c>
      <c r="E305">
        <v>2</v>
      </c>
      <c r="F305">
        <v>23</v>
      </c>
      <c r="G305" t="b">
        <v>0</v>
      </c>
      <c r="H305">
        <v>4</v>
      </c>
      <c r="I305">
        <v>1</v>
      </c>
      <c r="J305">
        <v>0.12</v>
      </c>
      <c r="K305">
        <v>0.1515</v>
      </c>
      <c r="L305">
        <v>0.42</v>
      </c>
      <c r="M305">
        <v>0.1045</v>
      </c>
      <c r="N305">
        <v>1</v>
      </c>
      <c r="O305">
        <v>33</v>
      </c>
      <c r="P305">
        <v>34</v>
      </c>
    </row>
    <row r="306" spans="1:16">
      <c r="A306">
        <v>924</v>
      </c>
      <c r="B306" s="1">
        <v>40585</v>
      </c>
      <c r="C306">
        <v>1</v>
      </c>
      <c r="D306">
        <v>0</v>
      </c>
      <c r="E306">
        <v>2</v>
      </c>
      <c r="F306">
        <v>0</v>
      </c>
      <c r="G306" t="b">
        <v>0</v>
      </c>
      <c r="H306">
        <v>5</v>
      </c>
      <c r="I306">
        <v>1</v>
      </c>
      <c r="J306">
        <v>0.1</v>
      </c>
      <c r="K306">
        <v>0.13639999999999999</v>
      </c>
      <c r="L306">
        <v>0.49</v>
      </c>
      <c r="M306">
        <v>0.1045</v>
      </c>
      <c r="N306">
        <v>2</v>
      </c>
      <c r="O306">
        <v>12</v>
      </c>
      <c r="P306">
        <v>14</v>
      </c>
    </row>
    <row r="307" spans="1:16">
      <c r="A307">
        <v>925</v>
      </c>
      <c r="B307" s="1">
        <v>40585</v>
      </c>
      <c r="C307">
        <v>1</v>
      </c>
      <c r="D307">
        <v>0</v>
      </c>
      <c r="E307">
        <v>2</v>
      </c>
      <c r="F307">
        <v>1</v>
      </c>
      <c r="G307" t="b">
        <v>0</v>
      </c>
      <c r="H307">
        <v>5</v>
      </c>
      <c r="I307">
        <v>1</v>
      </c>
      <c r="J307">
        <v>0.1</v>
      </c>
      <c r="K307">
        <v>0.13639999999999999</v>
      </c>
      <c r="L307">
        <v>0.54</v>
      </c>
      <c r="M307">
        <v>8.9599999999999999E-2</v>
      </c>
      <c r="N307">
        <v>1</v>
      </c>
      <c r="O307">
        <v>6</v>
      </c>
      <c r="P307">
        <v>7</v>
      </c>
    </row>
    <row r="308" spans="1:16">
      <c r="A308">
        <v>926</v>
      </c>
      <c r="B308" s="1">
        <v>40585</v>
      </c>
      <c r="C308">
        <v>1</v>
      </c>
      <c r="D308">
        <v>0</v>
      </c>
      <c r="E308">
        <v>2</v>
      </c>
      <c r="F308">
        <v>2</v>
      </c>
      <c r="G308" t="b">
        <v>0</v>
      </c>
      <c r="H308">
        <v>5</v>
      </c>
      <c r="I308">
        <v>1</v>
      </c>
      <c r="J308">
        <v>0.1</v>
      </c>
      <c r="K308">
        <v>0.13639999999999999</v>
      </c>
      <c r="L308">
        <v>0.54</v>
      </c>
      <c r="M308">
        <v>8.9599999999999999E-2</v>
      </c>
      <c r="N308">
        <v>0</v>
      </c>
      <c r="O308">
        <v>3</v>
      </c>
      <c r="P308">
        <v>3</v>
      </c>
    </row>
    <row r="309" spans="1:16">
      <c r="A309">
        <v>927</v>
      </c>
      <c r="B309" s="1">
        <v>40585</v>
      </c>
      <c r="C309">
        <v>1</v>
      </c>
      <c r="D309">
        <v>0</v>
      </c>
      <c r="E309">
        <v>2</v>
      </c>
      <c r="F309">
        <v>5</v>
      </c>
      <c r="G309" t="b">
        <v>0</v>
      </c>
      <c r="H309">
        <v>5</v>
      </c>
      <c r="I309">
        <v>1</v>
      </c>
      <c r="J309">
        <v>0.08</v>
      </c>
      <c r="K309">
        <v>0.1212</v>
      </c>
      <c r="L309">
        <v>0.63</v>
      </c>
      <c r="M309">
        <v>8.9599999999999999E-2</v>
      </c>
      <c r="N309">
        <v>0</v>
      </c>
      <c r="O309">
        <v>4</v>
      </c>
      <c r="P309">
        <v>4</v>
      </c>
    </row>
    <row r="310" spans="1:16">
      <c r="A310">
        <v>928</v>
      </c>
      <c r="B310" s="1">
        <v>40585</v>
      </c>
      <c r="C310">
        <v>1</v>
      </c>
      <c r="D310">
        <v>0</v>
      </c>
      <c r="E310">
        <v>2</v>
      </c>
      <c r="F310">
        <v>6</v>
      </c>
      <c r="G310" t="b">
        <v>0</v>
      </c>
      <c r="H310">
        <v>5</v>
      </c>
      <c r="I310">
        <v>1</v>
      </c>
      <c r="J310">
        <v>0.1</v>
      </c>
      <c r="K310">
        <v>0.18179999999999999</v>
      </c>
      <c r="L310">
        <v>0.68</v>
      </c>
      <c r="M310">
        <v>0</v>
      </c>
      <c r="N310">
        <v>1</v>
      </c>
      <c r="O310">
        <v>23</v>
      </c>
      <c r="P310">
        <v>24</v>
      </c>
    </row>
    <row r="311" spans="1:16">
      <c r="A311">
        <v>929</v>
      </c>
      <c r="B311" s="1">
        <v>40585</v>
      </c>
      <c r="C311">
        <v>1</v>
      </c>
      <c r="D311">
        <v>0</v>
      </c>
      <c r="E311">
        <v>2</v>
      </c>
      <c r="F311">
        <v>7</v>
      </c>
      <c r="G311" t="b">
        <v>0</v>
      </c>
      <c r="H311">
        <v>5</v>
      </c>
      <c r="I311">
        <v>1</v>
      </c>
      <c r="J311">
        <v>0.08</v>
      </c>
      <c r="K311">
        <v>0.16669999999999999</v>
      </c>
      <c r="L311">
        <v>0.73</v>
      </c>
      <c r="M311">
        <v>0</v>
      </c>
      <c r="N311">
        <v>1</v>
      </c>
      <c r="O311">
        <v>73</v>
      </c>
      <c r="P311">
        <v>74</v>
      </c>
    </row>
    <row r="312" spans="1:16">
      <c r="A312">
        <v>930</v>
      </c>
      <c r="B312" s="1">
        <v>40585</v>
      </c>
      <c r="C312">
        <v>1</v>
      </c>
      <c r="D312">
        <v>0</v>
      </c>
      <c r="E312">
        <v>2</v>
      </c>
      <c r="F312">
        <v>8</v>
      </c>
      <c r="G312" t="b">
        <v>0</v>
      </c>
      <c r="H312">
        <v>5</v>
      </c>
      <c r="I312">
        <v>1</v>
      </c>
      <c r="J312">
        <v>0.1</v>
      </c>
      <c r="K312">
        <v>0.1212</v>
      </c>
      <c r="L312">
        <v>0.74</v>
      </c>
      <c r="M312">
        <v>0.16420000000000001</v>
      </c>
      <c r="N312">
        <v>4</v>
      </c>
      <c r="O312">
        <v>212</v>
      </c>
      <c r="P312">
        <v>216</v>
      </c>
    </row>
    <row r="313" spans="1:16">
      <c r="A313">
        <v>931</v>
      </c>
      <c r="B313" s="1">
        <v>40585</v>
      </c>
      <c r="C313">
        <v>1</v>
      </c>
      <c r="D313">
        <v>0</v>
      </c>
      <c r="E313">
        <v>2</v>
      </c>
      <c r="F313">
        <v>9</v>
      </c>
      <c r="G313" t="b">
        <v>0</v>
      </c>
      <c r="H313">
        <v>5</v>
      </c>
      <c r="I313">
        <v>1</v>
      </c>
      <c r="J313">
        <v>0.12</v>
      </c>
      <c r="K313">
        <v>0.1212</v>
      </c>
      <c r="L313">
        <v>0.74</v>
      </c>
      <c r="M313">
        <v>0.22389999999999999</v>
      </c>
      <c r="N313">
        <v>8</v>
      </c>
      <c r="O313">
        <v>132</v>
      </c>
      <c r="P313">
        <v>140</v>
      </c>
    </row>
    <row r="314" spans="1:16">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c r="A315">
        <v>933</v>
      </c>
      <c r="B315" s="1">
        <v>40585</v>
      </c>
      <c r="C315">
        <v>1</v>
      </c>
      <c r="D315">
        <v>0</v>
      </c>
      <c r="E315">
        <v>2</v>
      </c>
      <c r="F315">
        <v>11</v>
      </c>
      <c r="G315" t="b">
        <v>0</v>
      </c>
      <c r="H315">
        <v>5</v>
      </c>
      <c r="I315">
        <v>1</v>
      </c>
      <c r="J315">
        <v>0.22</v>
      </c>
      <c r="K315">
        <v>0.2273</v>
      </c>
      <c r="L315">
        <v>0.47</v>
      </c>
      <c r="M315">
        <v>0.1343</v>
      </c>
      <c r="N315">
        <v>12</v>
      </c>
      <c r="O315">
        <v>52</v>
      </c>
      <c r="P315">
        <v>64</v>
      </c>
    </row>
    <row r="316" spans="1:16">
      <c r="A316">
        <v>934</v>
      </c>
      <c r="B316" s="1">
        <v>40585</v>
      </c>
      <c r="C316">
        <v>1</v>
      </c>
      <c r="D316">
        <v>0</v>
      </c>
      <c r="E316">
        <v>2</v>
      </c>
      <c r="F316">
        <v>12</v>
      </c>
      <c r="G316" t="b">
        <v>0</v>
      </c>
      <c r="H316">
        <v>5</v>
      </c>
      <c r="I316">
        <v>1</v>
      </c>
      <c r="J316">
        <v>0.22</v>
      </c>
      <c r="K316">
        <v>0.2273</v>
      </c>
      <c r="L316">
        <v>0.47</v>
      </c>
      <c r="M316">
        <v>0.1343</v>
      </c>
      <c r="N316">
        <v>7</v>
      </c>
      <c r="O316">
        <v>64</v>
      </c>
      <c r="P316">
        <v>71</v>
      </c>
    </row>
    <row r="317" spans="1:16">
      <c r="A317">
        <v>935</v>
      </c>
      <c r="B317" s="1">
        <v>40585</v>
      </c>
      <c r="C317">
        <v>1</v>
      </c>
      <c r="D317">
        <v>0</v>
      </c>
      <c r="E317">
        <v>2</v>
      </c>
      <c r="F317">
        <v>13</v>
      </c>
      <c r="G317" t="b">
        <v>0</v>
      </c>
      <c r="H317">
        <v>5</v>
      </c>
      <c r="I317">
        <v>1</v>
      </c>
      <c r="J317">
        <v>0.24</v>
      </c>
      <c r="K317">
        <v>0.2273</v>
      </c>
      <c r="L317">
        <v>0.35</v>
      </c>
      <c r="M317">
        <v>0.19400000000000001</v>
      </c>
      <c r="N317">
        <v>21</v>
      </c>
      <c r="O317">
        <v>89</v>
      </c>
      <c r="P317">
        <v>110</v>
      </c>
    </row>
    <row r="318" spans="1:16">
      <c r="A318">
        <v>936</v>
      </c>
      <c r="B318" s="1">
        <v>40585</v>
      </c>
      <c r="C318">
        <v>1</v>
      </c>
      <c r="D318">
        <v>0</v>
      </c>
      <c r="E318">
        <v>2</v>
      </c>
      <c r="F318">
        <v>14</v>
      </c>
      <c r="G318" t="b">
        <v>0</v>
      </c>
      <c r="H318">
        <v>5</v>
      </c>
      <c r="I318">
        <v>1</v>
      </c>
      <c r="J318">
        <v>0.3</v>
      </c>
      <c r="K318">
        <v>0.28789999999999999</v>
      </c>
      <c r="L318">
        <v>0.26</v>
      </c>
      <c r="M318">
        <v>0.25369999999999998</v>
      </c>
      <c r="N318">
        <v>17</v>
      </c>
      <c r="O318">
        <v>67</v>
      </c>
      <c r="P318">
        <v>84</v>
      </c>
    </row>
    <row r="319" spans="1:16">
      <c r="A319">
        <v>937</v>
      </c>
      <c r="B319" s="1">
        <v>40585</v>
      </c>
      <c r="C319">
        <v>1</v>
      </c>
      <c r="D319">
        <v>0</v>
      </c>
      <c r="E319">
        <v>2</v>
      </c>
      <c r="F319">
        <v>15</v>
      </c>
      <c r="G319" t="b">
        <v>0</v>
      </c>
      <c r="H319">
        <v>5</v>
      </c>
      <c r="I319">
        <v>1</v>
      </c>
      <c r="J319">
        <v>0.32</v>
      </c>
      <c r="K319">
        <v>0.31819999999999998</v>
      </c>
      <c r="L319">
        <v>0.21</v>
      </c>
      <c r="M319">
        <v>0.16420000000000001</v>
      </c>
      <c r="N319">
        <v>12</v>
      </c>
      <c r="O319">
        <v>62</v>
      </c>
      <c r="P319">
        <v>74</v>
      </c>
    </row>
    <row r="320" spans="1:16">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c r="A321">
        <v>939</v>
      </c>
      <c r="B321" s="1">
        <v>40585</v>
      </c>
      <c r="C321">
        <v>1</v>
      </c>
      <c r="D321">
        <v>0</v>
      </c>
      <c r="E321">
        <v>2</v>
      </c>
      <c r="F321">
        <v>17</v>
      </c>
      <c r="G321" t="b">
        <v>0</v>
      </c>
      <c r="H321">
        <v>5</v>
      </c>
      <c r="I321">
        <v>1</v>
      </c>
      <c r="J321">
        <v>0.3</v>
      </c>
      <c r="K321">
        <v>0.33329999999999999</v>
      </c>
      <c r="L321">
        <v>0.24</v>
      </c>
      <c r="M321">
        <v>0</v>
      </c>
      <c r="N321">
        <v>18</v>
      </c>
      <c r="O321">
        <v>193</v>
      </c>
      <c r="P321">
        <v>211</v>
      </c>
    </row>
    <row r="322" spans="1:16">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c r="A323">
        <v>941</v>
      </c>
      <c r="B323" s="1">
        <v>40585</v>
      </c>
      <c r="C323">
        <v>1</v>
      </c>
      <c r="D323">
        <v>0</v>
      </c>
      <c r="E323">
        <v>2</v>
      </c>
      <c r="F323">
        <v>19</v>
      </c>
      <c r="G323" t="b">
        <v>0</v>
      </c>
      <c r="H323">
        <v>5</v>
      </c>
      <c r="I323">
        <v>1</v>
      </c>
      <c r="J323">
        <v>0.26</v>
      </c>
      <c r="K323">
        <v>0.30299999999999999</v>
      </c>
      <c r="L323">
        <v>0.33</v>
      </c>
      <c r="M323">
        <v>0</v>
      </c>
      <c r="N323">
        <v>7</v>
      </c>
      <c r="O323">
        <v>94</v>
      </c>
      <c r="P323">
        <v>101</v>
      </c>
    </row>
    <row r="324" spans="1:16">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c r="A325">
        <v>943</v>
      </c>
      <c r="B325" s="1">
        <v>40585</v>
      </c>
      <c r="C325">
        <v>1</v>
      </c>
      <c r="D325">
        <v>0</v>
      </c>
      <c r="E325">
        <v>2</v>
      </c>
      <c r="F325">
        <v>21</v>
      </c>
      <c r="G325" t="b">
        <v>0</v>
      </c>
      <c r="H325">
        <v>5</v>
      </c>
      <c r="I325">
        <v>1</v>
      </c>
      <c r="J325">
        <v>0.2</v>
      </c>
      <c r="K325">
        <v>0.21210000000000001</v>
      </c>
      <c r="L325">
        <v>0.59</v>
      </c>
      <c r="M325">
        <v>0.1343</v>
      </c>
      <c r="N325">
        <v>1</v>
      </c>
      <c r="O325">
        <v>46</v>
      </c>
      <c r="P325">
        <v>47</v>
      </c>
    </row>
    <row r="326" spans="1:16">
      <c r="A326">
        <v>944</v>
      </c>
      <c r="B326" s="1">
        <v>40585</v>
      </c>
      <c r="C326">
        <v>1</v>
      </c>
      <c r="D326">
        <v>0</v>
      </c>
      <c r="E326">
        <v>2</v>
      </c>
      <c r="F326">
        <v>22</v>
      </c>
      <c r="G326" t="b">
        <v>0</v>
      </c>
      <c r="H326">
        <v>5</v>
      </c>
      <c r="I326">
        <v>1</v>
      </c>
      <c r="J326">
        <v>0.2</v>
      </c>
      <c r="K326">
        <v>0.2273</v>
      </c>
      <c r="L326">
        <v>0.64</v>
      </c>
      <c r="M326">
        <v>8.9599999999999999E-2</v>
      </c>
      <c r="N326">
        <v>2</v>
      </c>
      <c r="O326">
        <v>41</v>
      </c>
      <c r="P326">
        <v>43</v>
      </c>
    </row>
    <row r="327" spans="1:16">
      <c r="A327">
        <v>945</v>
      </c>
      <c r="B327" s="1">
        <v>40585</v>
      </c>
      <c r="C327">
        <v>1</v>
      </c>
      <c r="D327">
        <v>0</v>
      </c>
      <c r="E327">
        <v>2</v>
      </c>
      <c r="F327">
        <v>23</v>
      </c>
      <c r="G327" t="b">
        <v>0</v>
      </c>
      <c r="H327">
        <v>5</v>
      </c>
      <c r="I327">
        <v>1</v>
      </c>
      <c r="J327">
        <v>0.18</v>
      </c>
      <c r="K327">
        <v>0.2424</v>
      </c>
      <c r="L327">
        <v>0.69</v>
      </c>
      <c r="M327">
        <v>0</v>
      </c>
      <c r="N327">
        <v>5</v>
      </c>
      <c r="O327">
        <v>48</v>
      </c>
      <c r="P327">
        <v>53</v>
      </c>
    </row>
    <row r="328" spans="1:16">
      <c r="A328">
        <v>946</v>
      </c>
      <c r="B328" s="1">
        <v>40586</v>
      </c>
      <c r="C328">
        <v>1</v>
      </c>
      <c r="D328">
        <v>0</v>
      </c>
      <c r="E328">
        <v>2</v>
      </c>
      <c r="F328">
        <v>0</v>
      </c>
      <c r="G328" t="b">
        <v>0</v>
      </c>
      <c r="H328">
        <v>6</v>
      </c>
      <c r="I328">
        <v>1</v>
      </c>
      <c r="J328">
        <v>0.16</v>
      </c>
      <c r="K328">
        <v>0.19700000000000001</v>
      </c>
      <c r="L328">
        <v>0.69</v>
      </c>
      <c r="M328">
        <v>8.9599999999999999E-2</v>
      </c>
      <c r="N328">
        <v>3</v>
      </c>
      <c r="O328">
        <v>27</v>
      </c>
      <c r="P328">
        <v>30</v>
      </c>
    </row>
    <row r="329" spans="1:16">
      <c r="A329">
        <v>947</v>
      </c>
      <c r="B329" s="1">
        <v>40586</v>
      </c>
      <c r="C329">
        <v>1</v>
      </c>
      <c r="D329">
        <v>0</v>
      </c>
      <c r="E329">
        <v>2</v>
      </c>
      <c r="F329">
        <v>1</v>
      </c>
      <c r="G329" t="b">
        <v>0</v>
      </c>
      <c r="H329">
        <v>6</v>
      </c>
      <c r="I329">
        <v>1</v>
      </c>
      <c r="J329">
        <v>0.14000000000000001</v>
      </c>
      <c r="K329">
        <v>0.21210000000000001</v>
      </c>
      <c r="L329">
        <v>0.86</v>
      </c>
      <c r="M329">
        <v>0</v>
      </c>
      <c r="N329">
        <v>2</v>
      </c>
      <c r="O329">
        <v>22</v>
      </c>
      <c r="P329">
        <v>24</v>
      </c>
    </row>
    <row r="330" spans="1:16">
      <c r="A330">
        <v>948</v>
      </c>
      <c r="B330" s="1">
        <v>40586</v>
      </c>
      <c r="C330">
        <v>1</v>
      </c>
      <c r="D330">
        <v>0</v>
      </c>
      <c r="E330">
        <v>2</v>
      </c>
      <c r="F330">
        <v>2</v>
      </c>
      <c r="G330" t="b">
        <v>0</v>
      </c>
      <c r="H330">
        <v>6</v>
      </c>
      <c r="I330">
        <v>1</v>
      </c>
      <c r="J330">
        <v>0.14000000000000001</v>
      </c>
      <c r="K330">
        <v>0.21210000000000001</v>
      </c>
      <c r="L330">
        <v>0.8</v>
      </c>
      <c r="M330">
        <v>0</v>
      </c>
      <c r="N330">
        <v>2</v>
      </c>
      <c r="O330">
        <v>13</v>
      </c>
      <c r="P330">
        <v>15</v>
      </c>
    </row>
    <row r="331" spans="1:16">
      <c r="A331">
        <v>949</v>
      </c>
      <c r="B331" s="1">
        <v>40586</v>
      </c>
      <c r="C331">
        <v>1</v>
      </c>
      <c r="D331">
        <v>0</v>
      </c>
      <c r="E331">
        <v>2</v>
      </c>
      <c r="F331">
        <v>3</v>
      </c>
      <c r="G331" t="b">
        <v>0</v>
      </c>
      <c r="H331">
        <v>6</v>
      </c>
      <c r="I331">
        <v>1</v>
      </c>
      <c r="J331">
        <v>0.12</v>
      </c>
      <c r="K331">
        <v>0.19700000000000001</v>
      </c>
      <c r="L331">
        <v>0.8</v>
      </c>
      <c r="M331">
        <v>0</v>
      </c>
      <c r="N331">
        <v>3</v>
      </c>
      <c r="O331">
        <v>7</v>
      </c>
      <c r="P331">
        <v>10</v>
      </c>
    </row>
    <row r="332" spans="1:16">
      <c r="A332">
        <v>950</v>
      </c>
      <c r="B332" s="1">
        <v>40586</v>
      </c>
      <c r="C332">
        <v>1</v>
      </c>
      <c r="D332">
        <v>0</v>
      </c>
      <c r="E332">
        <v>2</v>
      </c>
      <c r="F332">
        <v>4</v>
      </c>
      <c r="G332" t="b">
        <v>0</v>
      </c>
      <c r="H332">
        <v>6</v>
      </c>
      <c r="I332">
        <v>1</v>
      </c>
      <c r="J332">
        <v>0.12</v>
      </c>
      <c r="K332">
        <v>0.16669999999999999</v>
      </c>
      <c r="L332">
        <v>0.74</v>
      </c>
      <c r="M332">
        <v>8.9599999999999999E-2</v>
      </c>
      <c r="N332">
        <v>0</v>
      </c>
      <c r="O332">
        <v>4</v>
      </c>
      <c r="P332">
        <v>4</v>
      </c>
    </row>
    <row r="333" spans="1:16">
      <c r="A333">
        <v>951</v>
      </c>
      <c r="B333" s="1">
        <v>40586</v>
      </c>
      <c r="C333">
        <v>1</v>
      </c>
      <c r="D333">
        <v>0</v>
      </c>
      <c r="E333">
        <v>2</v>
      </c>
      <c r="F333">
        <v>5</v>
      </c>
      <c r="G333" t="b">
        <v>0</v>
      </c>
      <c r="H333">
        <v>6</v>
      </c>
      <c r="I333">
        <v>1</v>
      </c>
      <c r="J333">
        <v>0.12</v>
      </c>
      <c r="K333">
        <v>0.16669999999999999</v>
      </c>
      <c r="L333">
        <v>0.74</v>
      </c>
      <c r="M333">
        <v>8.9599999999999999E-2</v>
      </c>
      <c r="N333">
        <v>0</v>
      </c>
      <c r="O333">
        <v>1</v>
      </c>
      <c r="P333">
        <v>1</v>
      </c>
    </row>
    <row r="334" spans="1:16">
      <c r="A334">
        <v>952</v>
      </c>
      <c r="B334" s="1">
        <v>40586</v>
      </c>
      <c r="C334">
        <v>1</v>
      </c>
      <c r="D334">
        <v>0</v>
      </c>
      <c r="E334">
        <v>2</v>
      </c>
      <c r="F334">
        <v>6</v>
      </c>
      <c r="G334" t="b">
        <v>0</v>
      </c>
      <c r="H334">
        <v>6</v>
      </c>
      <c r="I334">
        <v>1</v>
      </c>
      <c r="J334">
        <v>0.12</v>
      </c>
      <c r="K334">
        <v>0.13639999999999999</v>
      </c>
      <c r="L334">
        <v>0.93</v>
      </c>
      <c r="M334">
        <v>0.19400000000000001</v>
      </c>
      <c r="N334">
        <v>1</v>
      </c>
      <c r="O334">
        <v>1</v>
      </c>
      <c r="P334">
        <v>2</v>
      </c>
    </row>
    <row r="335" spans="1:16">
      <c r="A335">
        <v>953</v>
      </c>
      <c r="B335" s="1">
        <v>40586</v>
      </c>
      <c r="C335">
        <v>1</v>
      </c>
      <c r="D335">
        <v>0</v>
      </c>
      <c r="E335">
        <v>2</v>
      </c>
      <c r="F335">
        <v>7</v>
      </c>
      <c r="G335" t="b">
        <v>0</v>
      </c>
      <c r="H335">
        <v>6</v>
      </c>
      <c r="I335">
        <v>1</v>
      </c>
      <c r="J335">
        <v>0.12</v>
      </c>
      <c r="K335">
        <v>0.1515</v>
      </c>
      <c r="L335">
        <v>0.8</v>
      </c>
      <c r="M335">
        <v>0.1045</v>
      </c>
      <c r="N335">
        <v>2</v>
      </c>
      <c r="O335">
        <v>9</v>
      </c>
      <c r="P335">
        <v>11</v>
      </c>
    </row>
    <row r="336" spans="1:16">
      <c r="A336">
        <v>954</v>
      </c>
      <c r="B336" s="1">
        <v>40586</v>
      </c>
      <c r="C336">
        <v>1</v>
      </c>
      <c r="D336">
        <v>0</v>
      </c>
      <c r="E336">
        <v>2</v>
      </c>
      <c r="F336">
        <v>8</v>
      </c>
      <c r="G336" t="b">
        <v>0</v>
      </c>
      <c r="H336">
        <v>6</v>
      </c>
      <c r="I336">
        <v>1</v>
      </c>
      <c r="J336">
        <v>0.14000000000000001</v>
      </c>
      <c r="K336">
        <v>0.1515</v>
      </c>
      <c r="L336">
        <v>0.86</v>
      </c>
      <c r="M336">
        <v>0.1343</v>
      </c>
      <c r="N336">
        <v>2</v>
      </c>
      <c r="O336">
        <v>28</v>
      </c>
      <c r="P336">
        <v>30</v>
      </c>
    </row>
    <row r="337" spans="1:16">
      <c r="A337">
        <v>955</v>
      </c>
      <c r="B337" s="1">
        <v>40586</v>
      </c>
      <c r="C337">
        <v>1</v>
      </c>
      <c r="D337">
        <v>0</v>
      </c>
      <c r="E337">
        <v>2</v>
      </c>
      <c r="F337">
        <v>9</v>
      </c>
      <c r="G337" t="b">
        <v>0</v>
      </c>
      <c r="H337">
        <v>6</v>
      </c>
      <c r="I337">
        <v>1</v>
      </c>
      <c r="J337">
        <v>0.16</v>
      </c>
      <c r="K337">
        <v>0.18179999999999999</v>
      </c>
      <c r="L337">
        <v>0.64</v>
      </c>
      <c r="M337">
        <v>0.1343</v>
      </c>
      <c r="N337">
        <v>5</v>
      </c>
      <c r="O337">
        <v>38</v>
      </c>
      <c r="P337">
        <v>43</v>
      </c>
    </row>
    <row r="338" spans="1:16">
      <c r="A338">
        <v>956</v>
      </c>
      <c r="B338" s="1">
        <v>40586</v>
      </c>
      <c r="C338">
        <v>1</v>
      </c>
      <c r="D338">
        <v>0</v>
      </c>
      <c r="E338">
        <v>2</v>
      </c>
      <c r="F338">
        <v>10</v>
      </c>
      <c r="G338" t="b">
        <v>0</v>
      </c>
      <c r="H338">
        <v>6</v>
      </c>
      <c r="I338">
        <v>1</v>
      </c>
      <c r="J338">
        <v>0.22</v>
      </c>
      <c r="K338">
        <v>0.21210000000000001</v>
      </c>
      <c r="L338">
        <v>0.41</v>
      </c>
      <c r="M338">
        <v>0.25369999999999998</v>
      </c>
      <c r="N338">
        <v>13</v>
      </c>
      <c r="O338">
        <v>71</v>
      </c>
      <c r="P338">
        <v>84</v>
      </c>
    </row>
    <row r="339" spans="1:16">
      <c r="A339">
        <v>957</v>
      </c>
      <c r="B339" s="1">
        <v>40586</v>
      </c>
      <c r="C339">
        <v>1</v>
      </c>
      <c r="D339">
        <v>0</v>
      </c>
      <c r="E339">
        <v>2</v>
      </c>
      <c r="F339">
        <v>11</v>
      </c>
      <c r="G339" t="b">
        <v>0</v>
      </c>
      <c r="H339">
        <v>6</v>
      </c>
      <c r="I339">
        <v>1</v>
      </c>
      <c r="J339">
        <v>0.3</v>
      </c>
      <c r="K339">
        <v>0.2727</v>
      </c>
      <c r="L339">
        <v>0.28000000000000003</v>
      </c>
      <c r="M339">
        <v>0.32840000000000003</v>
      </c>
      <c r="N339">
        <v>30</v>
      </c>
      <c r="O339">
        <v>84</v>
      </c>
      <c r="P339">
        <v>114</v>
      </c>
    </row>
    <row r="340" spans="1:16">
      <c r="A340">
        <v>958</v>
      </c>
      <c r="B340" s="1">
        <v>40586</v>
      </c>
      <c r="C340">
        <v>1</v>
      </c>
      <c r="D340">
        <v>0</v>
      </c>
      <c r="E340">
        <v>2</v>
      </c>
      <c r="F340">
        <v>12</v>
      </c>
      <c r="G340" t="b">
        <v>0</v>
      </c>
      <c r="H340">
        <v>6</v>
      </c>
      <c r="I340">
        <v>1</v>
      </c>
      <c r="J340">
        <v>0.3</v>
      </c>
      <c r="K340">
        <v>0.2727</v>
      </c>
      <c r="L340">
        <v>0.39</v>
      </c>
      <c r="M340">
        <v>0.4627</v>
      </c>
      <c r="N340">
        <v>27</v>
      </c>
      <c r="O340">
        <v>93</v>
      </c>
      <c r="P340">
        <v>120</v>
      </c>
    </row>
    <row r="341" spans="1:16">
      <c r="A341">
        <v>959</v>
      </c>
      <c r="B341" s="1">
        <v>40586</v>
      </c>
      <c r="C341">
        <v>1</v>
      </c>
      <c r="D341">
        <v>0</v>
      </c>
      <c r="E341">
        <v>2</v>
      </c>
      <c r="F341">
        <v>13</v>
      </c>
      <c r="G341" t="b">
        <v>0</v>
      </c>
      <c r="H341">
        <v>6</v>
      </c>
      <c r="I341">
        <v>1</v>
      </c>
      <c r="J341">
        <v>0.3</v>
      </c>
      <c r="K341">
        <v>0.2727</v>
      </c>
      <c r="L341">
        <v>0.39</v>
      </c>
      <c r="M341">
        <v>0.41789999999999999</v>
      </c>
      <c r="N341">
        <v>32</v>
      </c>
      <c r="O341">
        <v>103</v>
      </c>
      <c r="P341">
        <v>135</v>
      </c>
    </row>
    <row r="342" spans="1:16">
      <c r="A342">
        <v>960</v>
      </c>
      <c r="B342" s="1">
        <v>40586</v>
      </c>
      <c r="C342">
        <v>1</v>
      </c>
      <c r="D342">
        <v>0</v>
      </c>
      <c r="E342">
        <v>2</v>
      </c>
      <c r="F342">
        <v>14</v>
      </c>
      <c r="G342" t="b">
        <v>0</v>
      </c>
      <c r="H342">
        <v>6</v>
      </c>
      <c r="I342">
        <v>1</v>
      </c>
      <c r="J342">
        <v>0.34</v>
      </c>
      <c r="K342">
        <v>0.31819999999999998</v>
      </c>
      <c r="L342">
        <v>0.31</v>
      </c>
      <c r="M342">
        <v>0.28360000000000002</v>
      </c>
      <c r="N342">
        <v>30</v>
      </c>
      <c r="O342">
        <v>90</v>
      </c>
      <c r="P342">
        <v>120</v>
      </c>
    </row>
    <row r="343" spans="1:16">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c r="A345">
        <v>963</v>
      </c>
      <c r="B345" s="1">
        <v>40586</v>
      </c>
      <c r="C345">
        <v>1</v>
      </c>
      <c r="D345">
        <v>0</v>
      </c>
      <c r="E345">
        <v>2</v>
      </c>
      <c r="F345">
        <v>17</v>
      </c>
      <c r="G345" t="b">
        <v>0</v>
      </c>
      <c r="H345">
        <v>6</v>
      </c>
      <c r="I345">
        <v>1</v>
      </c>
      <c r="J345">
        <v>0.32</v>
      </c>
      <c r="K345">
        <v>0.28789999999999999</v>
      </c>
      <c r="L345">
        <v>0.31</v>
      </c>
      <c r="M345">
        <v>0.52239999999999998</v>
      </c>
      <c r="N345">
        <v>24</v>
      </c>
      <c r="O345">
        <v>113</v>
      </c>
      <c r="P345">
        <v>137</v>
      </c>
    </row>
    <row r="346" spans="1:16">
      <c r="A346">
        <v>964</v>
      </c>
      <c r="B346" s="1">
        <v>40586</v>
      </c>
      <c r="C346">
        <v>1</v>
      </c>
      <c r="D346">
        <v>0</v>
      </c>
      <c r="E346">
        <v>2</v>
      </c>
      <c r="F346">
        <v>18</v>
      </c>
      <c r="G346" t="b">
        <v>0</v>
      </c>
      <c r="H346">
        <v>6</v>
      </c>
      <c r="I346">
        <v>1</v>
      </c>
      <c r="J346">
        <v>0.28000000000000003</v>
      </c>
      <c r="K346">
        <v>0.2576</v>
      </c>
      <c r="L346">
        <v>0.38</v>
      </c>
      <c r="M346">
        <v>0.32840000000000003</v>
      </c>
      <c r="N346">
        <v>4</v>
      </c>
      <c r="O346">
        <v>60</v>
      </c>
      <c r="P346">
        <v>64</v>
      </c>
    </row>
    <row r="347" spans="1:16">
      <c r="A347">
        <v>965</v>
      </c>
      <c r="B347" s="1">
        <v>40586</v>
      </c>
      <c r="C347">
        <v>1</v>
      </c>
      <c r="D347">
        <v>0</v>
      </c>
      <c r="E347">
        <v>2</v>
      </c>
      <c r="F347">
        <v>19</v>
      </c>
      <c r="G347" t="b">
        <v>0</v>
      </c>
      <c r="H347">
        <v>6</v>
      </c>
      <c r="I347">
        <v>1</v>
      </c>
      <c r="J347">
        <v>0.28000000000000003</v>
      </c>
      <c r="K347">
        <v>0.2727</v>
      </c>
      <c r="L347">
        <v>0.38</v>
      </c>
      <c r="M347">
        <v>0.16420000000000001</v>
      </c>
      <c r="N347">
        <v>2</v>
      </c>
      <c r="O347">
        <v>39</v>
      </c>
      <c r="P347">
        <v>41</v>
      </c>
    </row>
    <row r="348" spans="1:16">
      <c r="A348">
        <v>966</v>
      </c>
      <c r="B348" s="1">
        <v>40586</v>
      </c>
      <c r="C348">
        <v>1</v>
      </c>
      <c r="D348">
        <v>0</v>
      </c>
      <c r="E348">
        <v>2</v>
      </c>
      <c r="F348">
        <v>20</v>
      </c>
      <c r="G348" t="b">
        <v>0</v>
      </c>
      <c r="H348">
        <v>6</v>
      </c>
      <c r="I348">
        <v>1</v>
      </c>
      <c r="J348">
        <v>0.26</v>
      </c>
      <c r="K348">
        <v>0.2576</v>
      </c>
      <c r="L348">
        <v>0.41</v>
      </c>
      <c r="M348">
        <v>0.22389999999999999</v>
      </c>
      <c r="N348">
        <v>1</v>
      </c>
      <c r="O348">
        <v>39</v>
      </c>
      <c r="P348">
        <v>40</v>
      </c>
    </row>
    <row r="349" spans="1:16">
      <c r="A349">
        <v>967</v>
      </c>
      <c r="B349" s="1">
        <v>40586</v>
      </c>
      <c r="C349">
        <v>1</v>
      </c>
      <c r="D349">
        <v>0</v>
      </c>
      <c r="E349">
        <v>2</v>
      </c>
      <c r="F349">
        <v>21</v>
      </c>
      <c r="G349" t="b">
        <v>0</v>
      </c>
      <c r="H349">
        <v>6</v>
      </c>
      <c r="I349">
        <v>1</v>
      </c>
      <c r="J349">
        <v>0.26</v>
      </c>
      <c r="K349">
        <v>0.30299999999999999</v>
      </c>
      <c r="L349">
        <v>0.41</v>
      </c>
      <c r="M349">
        <v>0</v>
      </c>
      <c r="N349">
        <v>9</v>
      </c>
      <c r="O349">
        <v>42</v>
      </c>
      <c r="P349">
        <v>51</v>
      </c>
    </row>
    <row r="350" spans="1:16">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c r="A351">
        <v>969</v>
      </c>
      <c r="B351" s="1">
        <v>40586</v>
      </c>
      <c r="C351">
        <v>1</v>
      </c>
      <c r="D351">
        <v>0</v>
      </c>
      <c r="E351">
        <v>2</v>
      </c>
      <c r="F351">
        <v>23</v>
      </c>
      <c r="G351" t="b">
        <v>0</v>
      </c>
      <c r="H351">
        <v>6</v>
      </c>
      <c r="I351">
        <v>1</v>
      </c>
      <c r="J351">
        <v>0.22</v>
      </c>
      <c r="K351">
        <v>0.2273</v>
      </c>
      <c r="L351">
        <v>0.51</v>
      </c>
      <c r="M351">
        <v>0.1343</v>
      </c>
      <c r="N351">
        <v>1</v>
      </c>
      <c r="O351">
        <v>31</v>
      </c>
      <c r="P351">
        <v>32</v>
      </c>
    </row>
    <row r="352" spans="1:16">
      <c r="A352">
        <v>970</v>
      </c>
      <c r="B352" s="1">
        <v>40587</v>
      </c>
      <c r="C352">
        <v>1</v>
      </c>
      <c r="D352">
        <v>0</v>
      </c>
      <c r="E352">
        <v>2</v>
      </c>
      <c r="F352">
        <v>0</v>
      </c>
      <c r="G352" t="b">
        <v>0</v>
      </c>
      <c r="H352">
        <v>0</v>
      </c>
      <c r="I352">
        <v>1</v>
      </c>
      <c r="J352">
        <v>0.2</v>
      </c>
      <c r="K352">
        <v>0.2273</v>
      </c>
      <c r="L352">
        <v>0.64</v>
      </c>
      <c r="M352">
        <v>0.1045</v>
      </c>
      <c r="N352">
        <v>5</v>
      </c>
      <c r="O352">
        <v>34</v>
      </c>
      <c r="P352">
        <v>39</v>
      </c>
    </row>
    <row r="353" spans="1:16">
      <c r="A353">
        <v>971</v>
      </c>
      <c r="B353" s="1">
        <v>40587</v>
      </c>
      <c r="C353">
        <v>1</v>
      </c>
      <c r="D353">
        <v>0</v>
      </c>
      <c r="E353">
        <v>2</v>
      </c>
      <c r="F353">
        <v>1</v>
      </c>
      <c r="G353" t="b">
        <v>0</v>
      </c>
      <c r="H353">
        <v>0</v>
      </c>
      <c r="I353">
        <v>1</v>
      </c>
      <c r="J353">
        <v>0.2</v>
      </c>
      <c r="K353">
        <v>0.2273</v>
      </c>
      <c r="L353">
        <v>0.59</v>
      </c>
      <c r="M353">
        <v>8.9599999999999999E-2</v>
      </c>
      <c r="N353">
        <v>1</v>
      </c>
      <c r="O353">
        <v>23</v>
      </c>
      <c r="P353">
        <v>24</v>
      </c>
    </row>
    <row r="354" spans="1:16">
      <c r="A354">
        <v>972</v>
      </c>
      <c r="B354" s="1">
        <v>40587</v>
      </c>
      <c r="C354">
        <v>1</v>
      </c>
      <c r="D354">
        <v>0</v>
      </c>
      <c r="E354">
        <v>2</v>
      </c>
      <c r="F354">
        <v>2</v>
      </c>
      <c r="G354" t="b">
        <v>0</v>
      </c>
      <c r="H354">
        <v>0</v>
      </c>
      <c r="I354">
        <v>2</v>
      </c>
      <c r="J354">
        <v>0.2</v>
      </c>
      <c r="K354">
        <v>0.2273</v>
      </c>
      <c r="L354">
        <v>0.75</v>
      </c>
      <c r="M354">
        <v>8.9599999999999999E-2</v>
      </c>
      <c r="N354">
        <v>1</v>
      </c>
      <c r="O354">
        <v>19</v>
      </c>
      <c r="P354">
        <v>20</v>
      </c>
    </row>
    <row r="355" spans="1:16">
      <c r="A355">
        <v>973</v>
      </c>
      <c r="B355" s="1">
        <v>40587</v>
      </c>
      <c r="C355">
        <v>1</v>
      </c>
      <c r="D355">
        <v>0</v>
      </c>
      <c r="E355">
        <v>2</v>
      </c>
      <c r="F355">
        <v>3</v>
      </c>
      <c r="G355" t="b">
        <v>0</v>
      </c>
      <c r="H355">
        <v>0</v>
      </c>
      <c r="I355">
        <v>2</v>
      </c>
      <c r="J355">
        <v>0.2</v>
      </c>
      <c r="K355">
        <v>0.2273</v>
      </c>
      <c r="L355">
        <v>0.69</v>
      </c>
      <c r="M355">
        <v>0.1045</v>
      </c>
      <c r="N355">
        <v>4</v>
      </c>
      <c r="O355">
        <v>8</v>
      </c>
      <c r="P355">
        <v>12</v>
      </c>
    </row>
    <row r="356" spans="1:16">
      <c r="A356">
        <v>974</v>
      </c>
      <c r="B356" s="1">
        <v>40587</v>
      </c>
      <c r="C356">
        <v>1</v>
      </c>
      <c r="D356">
        <v>0</v>
      </c>
      <c r="E356">
        <v>2</v>
      </c>
      <c r="F356">
        <v>4</v>
      </c>
      <c r="G356" t="b">
        <v>0</v>
      </c>
      <c r="H356">
        <v>0</v>
      </c>
      <c r="I356">
        <v>2</v>
      </c>
      <c r="J356">
        <v>0.2</v>
      </c>
      <c r="K356">
        <v>0.21210000000000001</v>
      </c>
      <c r="L356">
        <v>0.69</v>
      </c>
      <c r="M356">
        <v>0.16420000000000001</v>
      </c>
      <c r="N356">
        <v>0</v>
      </c>
      <c r="O356">
        <v>2</v>
      </c>
      <c r="P356">
        <v>2</v>
      </c>
    </row>
    <row r="357" spans="1:16">
      <c r="A357">
        <v>975</v>
      </c>
      <c r="B357" s="1">
        <v>40587</v>
      </c>
      <c r="C357">
        <v>1</v>
      </c>
      <c r="D357">
        <v>0</v>
      </c>
      <c r="E357">
        <v>2</v>
      </c>
      <c r="F357">
        <v>6</v>
      </c>
      <c r="G357" t="b">
        <v>0</v>
      </c>
      <c r="H357">
        <v>0</v>
      </c>
      <c r="I357">
        <v>2</v>
      </c>
      <c r="J357">
        <v>0.2</v>
      </c>
      <c r="K357">
        <v>0.21210000000000001</v>
      </c>
      <c r="L357">
        <v>0.69</v>
      </c>
      <c r="M357">
        <v>0.1343</v>
      </c>
      <c r="N357">
        <v>2</v>
      </c>
      <c r="O357">
        <v>3</v>
      </c>
      <c r="P357">
        <v>5</v>
      </c>
    </row>
    <row r="358" spans="1:16">
      <c r="A358">
        <v>976</v>
      </c>
      <c r="B358" s="1">
        <v>40587</v>
      </c>
      <c r="C358">
        <v>1</v>
      </c>
      <c r="D358">
        <v>0</v>
      </c>
      <c r="E358">
        <v>2</v>
      </c>
      <c r="F358">
        <v>7</v>
      </c>
      <c r="G358" t="b">
        <v>0</v>
      </c>
      <c r="H358">
        <v>0</v>
      </c>
      <c r="I358">
        <v>2</v>
      </c>
      <c r="J358">
        <v>0.22</v>
      </c>
      <c r="K358">
        <v>0.2727</v>
      </c>
      <c r="L358">
        <v>0.55000000000000004</v>
      </c>
      <c r="M358">
        <v>0</v>
      </c>
      <c r="N358">
        <v>0</v>
      </c>
      <c r="O358">
        <v>3</v>
      </c>
      <c r="P358">
        <v>3</v>
      </c>
    </row>
    <row r="359" spans="1:16">
      <c r="A359">
        <v>977</v>
      </c>
      <c r="B359" s="1">
        <v>40587</v>
      </c>
      <c r="C359">
        <v>1</v>
      </c>
      <c r="D359">
        <v>0</v>
      </c>
      <c r="E359">
        <v>2</v>
      </c>
      <c r="F359">
        <v>8</v>
      </c>
      <c r="G359" t="b">
        <v>0</v>
      </c>
      <c r="H359">
        <v>0</v>
      </c>
      <c r="I359">
        <v>2</v>
      </c>
      <c r="J359">
        <v>0.22</v>
      </c>
      <c r="K359">
        <v>0.2273</v>
      </c>
      <c r="L359">
        <v>0.64</v>
      </c>
      <c r="M359">
        <v>0.19400000000000001</v>
      </c>
      <c r="N359">
        <v>1</v>
      </c>
      <c r="O359">
        <v>11</v>
      </c>
      <c r="P359">
        <v>12</v>
      </c>
    </row>
    <row r="360" spans="1:16">
      <c r="A360">
        <v>978</v>
      </c>
      <c r="B360" s="1">
        <v>40587</v>
      </c>
      <c r="C360">
        <v>1</v>
      </c>
      <c r="D360">
        <v>0</v>
      </c>
      <c r="E360">
        <v>2</v>
      </c>
      <c r="F360">
        <v>9</v>
      </c>
      <c r="G360" t="b">
        <v>0</v>
      </c>
      <c r="H360">
        <v>0</v>
      </c>
      <c r="I360">
        <v>2</v>
      </c>
      <c r="J360">
        <v>0.24</v>
      </c>
      <c r="K360">
        <v>0.2273</v>
      </c>
      <c r="L360">
        <v>0.6</v>
      </c>
      <c r="M360">
        <v>0.22389999999999999</v>
      </c>
      <c r="N360">
        <v>12</v>
      </c>
      <c r="O360">
        <v>35</v>
      </c>
      <c r="P360">
        <v>47</v>
      </c>
    </row>
    <row r="361" spans="1:16">
      <c r="A361">
        <v>979</v>
      </c>
      <c r="B361" s="1">
        <v>40587</v>
      </c>
      <c r="C361">
        <v>1</v>
      </c>
      <c r="D361">
        <v>0</v>
      </c>
      <c r="E361">
        <v>2</v>
      </c>
      <c r="F361">
        <v>10</v>
      </c>
      <c r="G361" t="b">
        <v>0</v>
      </c>
      <c r="H361">
        <v>0</v>
      </c>
      <c r="I361">
        <v>1</v>
      </c>
      <c r="J361">
        <v>0.3</v>
      </c>
      <c r="K361">
        <v>0.2727</v>
      </c>
      <c r="L361">
        <v>0.45</v>
      </c>
      <c r="M361">
        <v>0.32840000000000003</v>
      </c>
      <c r="N361">
        <v>19</v>
      </c>
      <c r="O361">
        <v>86</v>
      </c>
      <c r="P361">
        <v>105</v>
      </c>
    </row>
    <row r="362" spans="1:16">
      <c r="A362">
        <v>980</v>
      </c>
      <c r="B362" s="1">
        <v>40587</v>
      </c>
      <c r="C362">
        <v>1</v>
      </c>
      <c r="D362">
        <v>0</v>
      </c>
      <c r="E362">
        <v>2</v>
      </c>
      <c r="F362">
        <v>11</v>
      </c>
      <c r="G362" t="b">
        <v>0</v>
      </c>
      <c r="H362">
        <v>0</v>
      </c>
      <c r="I362">
        <v>1</v>
      </c>
      <c r="J362">
        <v>0.32</v>
      </c>
      <c r="K362">
        <v>0.28789999999999999</v>
      </c>
      <c r="L362">
        <v>0.39</v>
      </c>
      <c r="M362">
        <v>0.44779999999999998</v>
      </c>
      <c r="N362">
        <v>26</v>
      </c>
      <c r="O362">
        <v>86</v>
      </c>
      <c r="P362">
        <v>112</v>
      </c>
    </row>
    <row r="363" spans="1:16">
      <c r="A363">
        <v>981</v>
      </c>
      <c r="B363" s="1">
        <v>40587</v>
      </c>
      <c r="C363">
        <v>1</v>
      </c>
      <c r="D363">
        <v>0</v>
      </c>
      <c r="E363">
        <v>2</v>
      </c>
      <c r="F363">
        <v>12</v>
      </c>
      <c r="G363" t="b">
        <v>0</v>
      </c>
      <c r="H363">
        <v>0</v>
      </c>
      <c r="I363">
        <v>1</v>
      </c>
      <c r="J363">
        <v>0.36</v>
      </c>
      <c r="K363">
        <v>0.31819999999999998</v>
      </c>
      <c r="L363">
        <v>0.32</v>
      </c>
      <c r="M363">
        <v>0.4627</v>
      </c>
      <c r="N363">
        <v>58</v>
      </c>
      <c r="O363">
        <v>94</v>
      </c>
      <c r="P363">
        <v>152</v>
      </c>
    </row>
    <row r="364" spans="1:16">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c r="A365">
        <v>983</v>
      </c>
      <c r="B365" s="1">
        <v>40587</v>
      </c>
      <c r="C365">
        <v>1</v>
      </c>
      <c r="D365">
        <v>0</v>
      </c>
      <c r="E365">
        <v>2</v>
      </c>
      <c r="F365">
        <v>14</v>
      </c>
      <c r="G365" t="b">
        <v>0</v>
      </c>
      <c r="H365">
        <v>0</v>
      </c>
      <c r="I365">
        <v>2</v>
      </c>
      <c r="J365">
        <v>0.4</v>
      </c>
      <c r="K365">
        <v>0.40910000000000002</v>
      </c>
      <c r="L365">
        <v>0.3</v>
      </c>
      <c r="M365">
        <v>0.41789999999999999</v>
      </c>
      <c r="N365">
        <v>51</v>
      </c>
      <c r="O365">
        <v>110</v>
      </c>
      <c r="P365">
        <v>161</v>
      </c>
    </row>
    <row r="366" spans="1:16">
      <c r="A366">
        <v>984</v>
      </c>
      <c r="B366" s="1">
        <v>40587</v>
      </c>
      <c r="C366">
        <v>1</v>
      </c>
      <c r="D366">
        <v>0</v>
      </c>
      <c r="E366">
        <v>2</v>
      </c>
      <c r="F366">
        <v>15</v>
      </c>
      <c r="G366" t="b">
        <v>0</v>
      </c>
      <c r="H366">
        <v>0</v>
      </c>
      <c r="I366">
        <v>2</v>
      </c>
      <c r="J366">
        <v>0.4</v>
      </c>
      <c r="K366">
        <v>0.40910000000000002</v>
      </c>
      <c r="L366">
        <v>0.3</v>
      </c>
      <c r="M366">
        <v>0.29849999999999999</v>
      </c>
      <c r="N366">
        <v>40</v>
      </c>
      <c r="O366">
        <v>122</v>
      </c>
      <c r="P366">
        <v>162</v>
      </c>
    </row>
    <row r="367" spans="1:16">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c r="A369">
        <v>987</v>
      </c>
      <c r="B369" s="1">
        <v>40587</v>
      </c>
      <c r="C369">
        <v>1</v>
      </c>
      <c r="D369">
        <v>0</v>
      </c>
      <c r="E369">
        <v>2</v>
      </c>
      <c r="F369">
        <v>18</v>
      </c>
      <c r="G369" t="b">
        <v>0</v>
      </c>
      <c r="H369">
        <v>0</v>
      </c>
      <c r="I369">
        <v>1</v>
      </c>
      <c r="J369">
        <v>0.4</v>
      </c>
      <c r="K369">
        <v>0.40910000000000002</v>
      </c>
      <c r="L369">
        <v>0.32</v>
      </c>
      <c r="M369">
        <v>0.29849999999999999</v>
      </c>
      <c r="N369">
        <v>17</v>
      </c>
      <c r="O369">
        <v>78</v>
      </c>
      <c r="P369">
        <v>95</v>
      </c>
    </row>
    <row r="370" spans="1:16">
      <c r="A370">
        <v>988</v>
      </c>
      <c r="B370" s="1">
        <v>40587</v>
      </c>
      <c r="C370">
        <v>1</v>
      </c>
      <c r="D370">
        <v>0</v>
      </c>
      <c r="E370">
        <v>2</v>
      </c>
      <c r="F370">
        <v>19</v>
      </c>
      <c r="G370" t="b">
        <v>0</v>
      </c>
      <c r="H370">
        <v>0</v>
      </c>
      <c r="I370">
        <v>1</v>
      </c>
      <c r="J370">
        <v>0.4</v>
      </c>
      <c r="K370">
        <v>0.40910000000000002</v>
      </c>
      <c r="L370">
        <v>0.35</v>
      </c>
      <c r="M370">
        <v>0.28360000000000002</v>
      </c>
      <c r="N370">
        <v>11</v>
      </c>
      <c r="O370">
        <v>50</v>
      </c>
      <c r="P370">
        <v>61</v>
      </c>
    </row>
    <row r="371" spans="1:16">
      <c r="A371">
        <v>989</v>
      </c>
      <c r="B371" s="1">
        <v>40587</v>
      </c>
      <c r="C371">
        <v>1</v>
      </c>
      <c r="D371">
        <v>0</v>
      </c>
      <c r="E371">
        <v>2</v>
      </c>
      <c r="F371">
        <v>20</v>
      </c>
      <c r="G371" t="b">
        <v>0</v>
      </c>
      <c r="H371">
        <v>0</v>
      </c>
      <c r="I371">
        <v>1</v>
      </c>
      <c r="J371">
        <v>0.4</v>
      </c>
      <c r="K371">
        <v>0.40910000000000002</v>
      </c>
      <c r="L371">
        <v>0.35</v>
      </c>
      <c r="M371">
        <v>0.32840000000000003</v>
      </c>
      <c r="N371">
        <v>15</v>
      </c>
      <c r="O371">
        <v>32</v>
      </c>
      <c r="P371">
        <v>47</v>
      </c>
    </row>
    <row r="372" spans="1:16">
      <c r="A372">
        <v>990</v>
      </c>
      <c r="B372" s="1">
        <v>40587</v>
      </c>
      <c r="C372">
        <v>1</v>
      </c>
      <c r="D372">
        <v>0</v>
      </c>
      <c r="E372">
        <v>2</v>
      </c>
      <c r="F372">
        <v>21</v>
      </c>
      <c r="G372" t="b">
        <v>0</v>
      </c>
      <c r="H372">
        <v>0</v>
      </c>
      <c r="I372">
        <v>1</v>
      </c>
      <c r="J372">
        <v>0.4</v>
      </c>
      <c r="K372">
        <v>0.40910000000000002</v>
      </c>
      <c r="L372">
        <v>0.35</v>
      </c>
      <c r="M372">
        <v>0.35820000000000002</v>
      </c>
      <c r="N372">
        <v>6</v>
      </c>
      <c r="O372">
        <v>45</v>
      </c>
      <c r="P372">
        <v>51</v>
      </c>
    </row>
    <row r="373" spans="1:16">
      <c r="A373">
        <v>991</v>
      </c>
      <c r="B373" s="1">
        <v>40587</v>
      </c>
      <c r="C373">
        <v>1</v>
      </c>
      <c r="D373">
        <v>0</v>
      </c>
      <c r="E373">
        <v>2</v>
      </c>
      <c r="F373">
        <v>22</v>
      </c>
      <c r="G373" t="b">
        <v>0</v>
      </c>
      <c r="H373">
        <v>0</v>
      </c>
      <c r="I373">
        <v>1</v>
      </c>
      <c r="J373">
        <v>0.4</v>
      </c>
      <c r="K373">
        <v>0.40910000000000002</v>
      </c>
      <c r="L373">
        <v>0.35</v>
      </c>
      <c r="M373">
        <v>0.29849999999999999</v>
      </c>
      <c r="N373">
        <v>5</v>
      </c>
      <c r="O373">
        <v>31</v>
      </c>
      <c r="P373">
        <v>36</v>
      </c>
    </row>
    <row r="374" spans="1:16">
      <c r="A374">
        <v>992</v>
      </c>
      <c r="B374" s="1">
        <v>40587</v>
      </c>
      <c r="C374">
        <v>1</v>
      </c>
      <c r="D374">
        <v>0</v>
      </c>
      <c r="E374">
        <v>2</v>
      </c>
      <c r="F374">
        <v>23</v>
      </c>
      <c r="G374" t="b">
        <v>0</v>
      </c>
      <c r="H374">
        <v>0</v>
      </c>
      <c r="I374">
        <v>1</v>
      </c>
      <c r="J374">
        <v>0.4</v>
      </c>
      <c r="K374">
        <v>0.40910000000000002</v>
      </c>
      <c r="L374">
        <v>0.35</v>
      </c>
      <c r="M374">
        <v>0.35820000000000002</v>
      </c>
      <c r="N374">
        <v>3</v>
      </c>
      <c r="O374">
        <v>27</v>
      </c>
      <c r="P374">
        <v>30</v>
      </c>
    </row>
    <row r="375" spans="1:16">
      <c r="A375">
        <v>993</v>
      </c>
      <c r="B375" s="1">
        <v>40588</v>
      </c>
      <c r="C375">
        <v>1</v>
      </c>
      <c r="D375">
        <v>0</v>
      </c>
      <c r="E375">
        <v>2</v>
      </c>
      <c r="F375">
        <v>0</v>
      </c>
      <c r="G375" t="b">
        <v>0</v>
      </c>
      <c r="H375">
        <v>1</v>
      </c>
      <c r="I375">
        <v>1</v>
      </c>
      <c r="J375">
        <v>0.38</v>
      </c>
      <c r="K375">
        <v>0.39389999999999997</v>
      </c>
      <c r="L375">
        <v>0.37</v>
      </c>
      <c r="M375">
        <v>0.35820000000000002</v>
      </c>
      <c r="N375">
        <v>3</v>
      </c>
      <c r="O375">
        <v>8</v>
      </c>
      <c r="P375">
        <v>11</v>
      </c>
    </row>
    <row r="376" spans="1:16">
      <c r="A376">
        <v>994</v>
      </c>
      <c r="B376" s="1">
        <v>40588</v>
      </c>
      <c r="C376">
        <v>1</v>
      </c>
      <c r="D376">
        <v>0</v>
      </c>
      <c r="E376">
        <v>2</v>
      </c>
      <c r="F376">
        <v>1</v>
      </c>
      <c r="G376" t="b">
        <v>0</v>
      </c>
      <c r="H376">
        <v>1</v>
      </c>
      <c r="I376">
        <v>1</v>
      </c>
      <c r="J376">
        <v>0.38</v>
      </c>
      <c r="K376">
        <v>0.39389999999999997</v>
      </c>
      <c r="L376">
        <v>0.37</v>
      </c>
      <c r="M376">
        <v>0.35820000000000002</v>
      </c>
      <c r="N376">
        <v>1</v>
      </c>
      <c r="O376">
        <v>6</v>
      </c>
      <c r="P376">
        <v>7</v>
      </c>
    </row>
    <row r="377" spans="1:16">
      <c r="A377">
        <v>995</v>
      </c>
      <c r="B377" s="1">
        <v>40588</v>
      </c>
      <c r="C377">
        <v>1</v>
      </c>
      <c r="D377">
        <v>0</v>
      </c>
      <c r="E377">
        <v>2</v>
      </c>
      <c r="F377">
        <v>2</v>
      </c>
      <c r="G377" t="b">
        <v>0</v>
      </c>
      <c r="H377">
        <v>1</v>
      </c>
      <c r="I377">
        <v>1</v>
      </c>
      <c r="J377">
        <v>0.36</v>
      </c>
      <c r="K377">
        <v>0.33329999999999999</v>
      </c>
      <c r="L377">
        <v>0.4</v>
      </c>
      <c r="M377">
        <v>0.29849999999999999</v>
      </c>
      <c r="N377">
        <v>0</v>
      </c>
      <c r="O377">
        <v>2</v>
      </c>
      <c r="P377">
        <v>2</v>
      </c>
    </row>
    <row r="378" spans="1:16">
      <c r="A378">
        <v>996</v>
      </c>
      <c r="B378" s="1">
        <v>40588</v>
      </c>
      <c r="C378">
        <v>1</v>
      </c>
      <c r="D378">
        <v>0</v>
      </c>
      <c r="E378">
        <v>2</v>
      </c>
      <c r="F378">
        <v>3</v>
      </c>
      <c r="G378" t="b">
        <v>0</v>
      </c>
      <c r="H378">
        <v>1</v>
      </c>
      <c r="I378">
        <v>1</v>
      </c>
      <c r="J378">
        <v>0.34</v>
      </c>
      <c r="K378">
        <v>0.31819999999999998</v>
      </c>
      <c r="L378">
        <v>0.46</v>
      </c>
      <c r="M378">
        <v>0.22389999999999999</v>
      </c>
      <c r="N378">
        <v>1</v>
      </c>
      <c r="O378">
        <v>1</v>
      </c>
      <c r="P378">
        <v>2</v>
      </c>
    </row>
    <row r="379" spans="1:16">
      <c r="A379">
        <v>997</v>
      </c>
      <c r="B379" s="1">
        <v>40588</v>
      </c>
      <c r="C379">
        <v>1</v>
      </c>
      <c r="D379">
        <v>0</v>
      </c>
      <c r="E379">
        <v>2</v>
      </c>
      <c r="F379">
        <v>4</v>
      </c>
      <c r="G379" t="b">
        <v>0</v>
      </c>
      <c r="H379">
        <v>1</v>
      </c>
      <c r="I379">
        <v>1</v>
      </c>
      <c r="J379">
        <v>0.32</v>
      </c>
      <c r="K379">
        <v>0.30299999999999999</v>
      </c>
      <c r="L379">
        <v>0.53</v>
      </c>
      <c r="M379">
        <v>0.28360000000000002</v>
      </c>
      <c r="N379">
        <v>0</v>
      </c>
      <c r="O379">
        <v>2</v>
      </c>
      <c r="P379">
        <v>2</v>
      </c>
    </row>
    <row r="380" spans="1:16">
      <c r="A380">
        <v>998</v>
      </c>
      <c r="B380" s="1">
        <v>40588</v>
      </c>
      <c r="C380">
        <v>1</v>
      </c>
      <c r="D380">
        <v>0</v>
      </c>
      <c r="E380">
        <v>2</v>
      </c>
      <c r="F380">
        <v>5</v>
      </c>
      <c r="G380" t="b">
        <v>0</v>
      </c>
      <c r="H380">
        <v>1</v>
      </c>
      <c r="I380">
        <v>1</v>
      </c>
      <c r="J380">
        <v>0.32</v>
      </c>
      <c r="K380">
        <v>0.30299999999999999</v>
      </c>
      <c r="L380">
        <v>0.53</v>
      </c>
      <c r="M380">
        <v>0.28360000000000002</v>
      </c>
      <c r="N380">
        <v>0</v>
      </c>
      <c r="O380">
        <v>3</v>
      </c>
      <c r="P380">
        <v>3</v>
      </c>
    </row>
    <row r="381" spans="1:16">
      <c r="A381">
        <v>999</v>
      </c>
      <c r="B381" s="1">
        <v>40588</v>
      </c>
      <c r="C381">
        <v>1</v>
      </c>
      <c r="D381">
        <v>0</v>
      </c>
      <c r="E381">
        <v>2</v>
      </c>
      <c r="F381">
        <v>6</v>
      </c>
      <c r="G381" t="b">
        <v>0</v>
      </c>
      <c r="H381">
        <v>1</v>
      </c>
      <c r="I381">
        <v>1</v>
      </c>
      <c r="J381">
        <v>0.34</v>
      </c>
      <c r="K381">
        <v>0.30299999999999999</v>
      </c>
      <c r="L381">
        <v>0.46</v>
      </c>
      <c r="M381">
        <v>0.29849999999999999</v>
      </c>
      <c r="N381">
        <v>1</v>
      </c>
      <c r="O381">
        <v>25</v>
      </c>
      <c r="P381">
        <v>26</v>
      </c>
    </row>
    <row r="382" spans="1:16">
      <c r="A382">
        <v>1000</v>
      </c>
      <c r="B382" s="1">
        <v>40588</v>
      </c>
      <c r="C382">
        <v>1</v>
      </c>
      <c r="D382">
        <v>0</v>
      </c>
      <c r="E382">
        <v>2</v>
      </c>
      <c r="F382">
        <v>7</v>
      </c>
      <c r="G382" t="b">
        <v>0</v>
      </c>
      <c r="H382">
        <v>1</v>
      </c>
      <c r="I382">
        <v>1</v>
      </c>
      <c r="J382">
        <v>0.34</v>
      </c>
      <c r="K382">
        <v>0.30299999999999999</v>
      </c>
      <c r="L382">
        <v>0.46</v>
      </c>
      <c r="M382">
        <v>0.29849999999999999</v>
      </c>
      <c r="N382">
        <v>2</v>
      </c>
      <c r="O382">
        <v>96</v>
      </c>
      <c r="P382">
        <v>98</v>
      </c>
    </row>
    <row r="383" spans="1:16">
      <c r="A383">
        <v>611</v>
      </c>
      <c r="B383" s="1">
        <v>40571</v>
      </c>
      <c r="C383">
        <v>1</v>
      </c>
      <c r="D383">
        <v>0</v>
      </c>
      <c r="E383">
        <v>1</v>
      </c>
      <c r="F383">
        <v>16</v>
      </c>
      <c r="G383" t="b">
        <v>0</v>
      </c>
      <c r="H383">
        <v>5</v>
      </c>
      <c r="I383">
        <v>1</v>
      </c>
      <c r="J383">
        <v>0.22</v>
      </c>
      <c r="K383">
        <v>0.2727</v>
      </c>
      <c r="L383">
        <v>0.8</v>
      </c>
      <c r="M383">
        <v>0</v>
      </c>
      <c r="N383">
        <v>10</v>
      </c>
      <c r="O383">
        <v>70</v>
      </c>
      <c r="P383">
        <v>80</v>
      </c>
    </row>
    <row r="384" spans="1:16">
      <c r="A384">
        <v>612</v>
      </c>
      <c r="B384" s="1">
        <v>40571</v>
      </c>
      <c r="C384">
        <v>1</v>
      </c>
      <c r="D384">
        <v>0</v>
      </c>
      <c r="E384">
        <v>1</v>
      </c>
      <c r="F384">
        <v>17</v>
      </c>
      <c r="G384" t="b">
        <v>0</v>
      </c>
      <c r="H384">
        <v>5</v>
      </c>
      <c r="I384">
        <v>1</v>
      </c>
      <c r="J384">
        <v>0.24</v>
      </c>
      <c r="K384">
        <v>0.2424</v>
      </c>
      <c r="L384">
        <v>0.75</v>
      </c>
      <c r="M384">
        <v>0.1343</v>
      </c>
      <c r="N384">
        <v>2</v>
      </c>
      <c r="O384">
        <v>147</v>
      </c>
      <c r="P384">
        <v>149</v>
      </c>
    </row>
    <row r="385" spans="1:16">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c r="A386">
        <v>614</v>
      </c>
      <c r="B386" s="1">
        <v>40571</v>
      </c>
      <c r="C386">
        <v>1</v>
      </c>
      <c r="D386">
        <v>0</v>
      </c>
      <c r="E386">
        <v>1</v>
      </c>
      <c r="F386">
        <v>19</v>
      </c>
      <c r="G386" t="b">
        <v>0</v>
      </c>
      <c r="H386">
        <v>5</v>
      </c>
      <c r="I386">
        <v>2</v>
      </c>
      <c r="J386">
        <v>0.24</v>
      </c>
      <c r="K386">
        <v>0.2424</v>
      </c>
      <c r="L386">
        <v>0.75</v>
      </c>
      <c r="M386">
        <v>0.1343</v>
      </c>
      <c r="N386">
        <v>5</v>
      </c>
      <c r="O386">
        <v>84</v>
      </c>
      <c r="P386">
        <v>89</v>
      </c>
    </row>
    <row r="387" spans="1:16">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c r="A388">
        <v>616</v>
      </c>
      <c r="B388" s="1">
        <v>40571</v>
      </c>
      <c r="C388">
        <v>1</v>
      </c>
      <c r="D388">
        <v>0</v>
      </c>
      <c r="E388">
        <v>1</v>
      </c>
      <c r="F388">
        <v>21</v>
      </c>
      <c r="G388" t="b">
        <v>0</v>
      </c>
      <c r="H388">
        <v>5</v>
      </c>
      <c r="I388">
        <v>2</v>
      </c>
      <c r="J388">
        <v>0.22</v>
      </c>
      <c r="K388">
        <v>0.2273</v>
      </c>
      <c r="L388">
        <v>0.75</v>
      </c>
      <c r="M388">
        <v>0.1343</v>
      </c>
      <c r="N388">
        <v>1</v>
      </c>
      <c r="O388">
        <v>57</v>
      </c>
      <c r="P388">
        <v>58</v>
      </c>
    </row>
    <row r="389" spans="1:16">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FA9E-D738-403B-B08B-5C1B8931FDF1}">
  <dimension ref="A1:AR1001"/>
  <sheetViews>
    <sheetView tabSelected="1" topLeftCell="D1" zoomScaleNormal="100" workbookViewId="0">
      <selection activeCell="S14" sqref="S14"/>
    </sheetView>
  </sheetViews>
  <sheetFormatPr defaultRowHeight="14.4"/>
  <cols>
    <col min="1" max="3" width="10.88671875" bestFit="1" customWidth="1"/>
    <col min="4" max="4" width="7" bestFit="1" customWidth="1"/>
    <col min="5" max="5" width="9.6640625" bestFit="1" customWidth="1"/>
    <col min="6" max="6" width="8.77734375" style="152" bestFit="1" customWidth="1"/>
    <col min="7" max="7" width="11.109375" bestFit="1" customWidth="1"/>
    <col min="8" max="8" width="12.5546875" bestFit="1" customWidth="1"/>
    <col min="9" max="9" width="14" bestFit="1" customWidth="1"/>
    <col min="10" max="10" width="9.6640625" bestFit="1" customWidth="1"/>
    <col min="11" max="11" width="16.109375" bestFit="1" customWidth="1"/>
    <col min="12" max="12" width="13.77734375" bestFit="1" customWidth="1"/>
    <col min="13" max="13" width="15" bestFit="1" customWidth="1"/>
    <col min="14" max="14" width="21.6640625" bestFit="1" customWidth="1"/>
    <col min="15" max="15" width="24.77734375" bestFit="1" customWidth="1"/>
    <col min="16" max="16" width="10.44140625" bestFit="1" customWidth="1"/>
    <col min="20" max="20" width="19.33203125" customWidth="1"/>
    <col min="21" max="21" width="24.21875" customWidth="1"/>
    <col min="22" max="22" width="23" customWidth="1"/>
    <col min="23" max="23" width="19.44140625" customWidth="1"/>
    <col min="24" max="24" width="14.33203125" customWidth="1"/>
    <col min="25" max="25" width="14.6640625" customWidth="1"/>
    <col min="26" max="26" width="27.77734375" customWidth="1"/>
    <col min="27" max="27" width="21.77734375" customWidth="1"/>
    <col min="29" max="29" width="9.33203125" customWidth="1"/>
    <col min="30" max="30" width="14.5546875" customWidth="1"/>
    <col min="31" max="31" width="13" customWidth="1"/>
    <col min="32" max="32" width="15.88671875" customWidth="1"/>
    <col min="33" max="33" width="16.21875" customWidth="1"/>
    <col min="34" max="34" width="8.88671875" customWidth="1"/>
    <col min="37" max="37" width="19.109375" customWidth="1"/>
    <col min="38" max="38" width="17.6640625" customWidth="1"/>
    <col min="39" max="39" width="17.88671875" customWidth="1"/>
    <col min="40" max="40" width="11.6640625" customWidth="1"/>
    <col min="41" max="41" width="18.6640625" customWidth="1"/>
    <col min="42" max="42" width="18.33203125" customWidth="1"/>
    <col min="43" max="43" width="12.21875" customWidth="1"/>
  </cols>
  <sheetData>
    <row r="1" spans="1:44" ht="21.6">
      <c r="A1" s="4" t="s">
        <v>20</v>
      </c>
      <c r="B1" s="5" t="s">
        <v>21</v>
      </c>
      <c r="C1" s="4" t="s">
        <v>22</v>
      </c>
      <c r="D1" s="4" t="s">
        <v>23</v>
      </c>
      <c r="E1" s="4" t="s">
        <v>24</v>
      </c>
      <c r="F1" s="150" t="s">
        <v>25</v>
      </c>
      <c r="G1" s="4" t="s">
        <v>26</v>
      </c>
      <c r="H1" s="4" t="s">
        <v>27</v>
      </c>
      <c r="I1" s="4" t="s">
        <v>28</v>
      </c>
      <c r="J1" s="4" t="s">
        <v>29</v>
      </c>
      <c r="K1" s="4" t="s">
        <v>30</v>
      </c>
      <c r="L1" s="4" t="s">
        <v>31</v>
      </c>
      <c r="M1" s="4" t="s">
        <v>32</v>
      </c>
      <c r="N1" s="4" t="s">
        <v>33</v>
      </c>
      <c r="O1" s="4" t="s">
        <v>34</v>
      </c>
      <c r="P1" s="4" t="s">
        <v>35</v>
      </c>
      <c r="Q1" s="29"/>
      <c r="R1" s="3"/>
      <c r="S1" s="9"/>
      <c r="T1" s="10"/>
      <c r="U1" s="10"/>
      <c r="V1" s="98"/>
      <c r="W1" s="186" t="s">
        <v>125</v>
      </c>
      <c r="X1" s="186"/>
      <c r="Y1" s="186"/>
      <c r="Z1" s="186"/>
      <c r="AA1" s="186"/>
      <c r="AB1" s="98"/>
      <c r="AC1" s="98"/>
      <c r="AD1" s="98"/>
      <c r="AE1" s="98"/>
      <c r="AF1" s="98"/>
      <c r="AG1" s="98"/>
      <c r="AH1" s="10"/>
      <c r="AI1" s="29"/>
      <c r="AJ1" s="10"/>
      <c r="AK1" s="10"/>
      <c r="AL1" s="10"/>
      <c r="AM1" s="10"/>
      <c r="AN1" s="10"/>
      <c r="AO1" s="10"/>
      <c r="AP1" s="10"/>
      <c r="AQ1" s="10"/>
      <c r="AR1" s="11"/>
    </row>
    <row r="2" spans="1:44">
      <c r="A2">
        <v>1</v>
      </c>
      <c r="B2" s="2">
        <v>40544</v>
      </c>
      <c r="C2">
        <v>1</v>
      </c>
      <c r="D2" t="s">
        <v>17</v>
      </c>
      <c r="E2" s="76" t="s">
        <v>18</v>
      </c>
      <c r="F2" s="151">
        <v>0</v>
      </c>
      <c r="G2" s="7" t="s">
        <v>36</v>
      </c>
      <c r="H2" s="7" t="s">
        <v>37</v>
      </c>
      <c r="I2" s="7" t="s">
        <v>38</v>
      </c>
      <c r="J2">
        <v>0.24</v>
      </c>
      <c r="K2" s="148">
        <v>0.28789999999999999</v>
      </c>
      <c r="L2">
        <v>0.81</v>
      </c>
      <c r="M2" s="148">
        <v>0</v>
      </c>
      <c r="N2">
        <v>3</v>
      </c>
      <c r="O2">
        <v>13</v>
      </c>
      <c r="P2">
        <v>16</v>
      </c>
      <c r="Q2" s="29"/>
      <c r="R2" s="3"/>
      <c r="S2" s="72"/>
      <c r="T2" s="29"/>
      <c r="U2" s="29"/>
      <c r="V2" s="29"/>
      <c r="W2" s="29"/>
      <c r="X2" s="29"/>
      <c r="Y2" s="29"/>
      <c r="Z2" s="29"/>
      <c r="AA2" s="29"/>
      <c r="AB2" s="29"/>
      <c r="AC2" s="29"/>
      <c r="AD2" s="29"/>
      <c r="AE2" s="29"/>
      <c r="AF2" s="29"/>
      <c r="AG2" s="29"/>
      <c r="AH2" s="29"/>
      <c r="AI2" s="29"/>
      <c r="AJ2" s="29"/>
      <c r="AK2" s="29"/>
      <c r="AL2" s="29"/>
      <c r="AM2" s="29"/>
      <c r="AN2" s="29"/>
      <c r="AO2" s="29"/>
      <c r="AP2" s="29"/>
      <c r="AQ2" s="29"/>
      <c r="AR2" s="13"/>
    </row>
    <row r="3" spans="1:44" thickBot="1">
      <c r="A3">
        <v>2</v>
      </c>
      <c r="B3" s="2">
        <v>40544</v>
      </c>
      <c r="C3">
        <v>1</v>
      </c>
      <c r="D3" t="s">
        <v>17</v>
      </c>
      <c r="E3" s="6" t="s">
        <v>19</v>
      </c>
      <c r="F3" s="151">
        <v>4.1666666666666657E-2</v>
      </c>
      <c r="G3" s="7" t="s">
        <v>36</v>
      </c>
      <c r="H3" s="7" t="s">
        <v>37</v>
      </c>
      <c r="I3" s="7" t="s">
        <v>38</v>
      </c>
      <c r="J3">
        <v>0.22</v>
      </c>
      <c r="K3" s="148">
        <v>0.2727</v>
      </c>
      <c r="L3">
        <v>0.8</v>
      </c>
      <c r="M3" s="148">
        <v>0</v>
      </c>
      <c r="N3">
        <v>8</v>
      </c>
      <c r="O3">
        <v>32</v>
      </c>
      <c r="P3">
        <v>40</v>
      </c>
      <c r="Q3" s="29"/>
      <c r="R3" s="3"/>
      <c r="S3" s="72"/>
      <c r="T3" s="29"/>
      <c r="U3" s="29"/>
      <c r="V3" s="29"/>
      <c r="W3" s="29"/>
      <c r="X3" s="29"/>
      <c r="Y3" s="29"/>
      <c r="Z3" s="29"/>
      <c r="AA3" s="29"/>
      <c r="AB3" s="29"/>
      <c r="AC3" s="29"/>
      <c r="AD3" s="29"/>
      <c r="AE3" s="29"/>
      <c r="AF3" s="29"/>
      <c r="AG3" s="29"/>
      <c r="AH3" s="29"/>
      <c r="AI3" s="29"/>
      <c r="AJ3" s="29"/>
      <c r="AK3" s="29"/>
      <c r="AL3" s="29"/>
      <c r="AM3" s="29"/>
      <c r="AN3" s="29"/>
      <c r="AO3" s="29"/>
      <c r="AP3" s="29"/>
      <c r="AQ3" s="29"/>
      <c r="AR3" s="13"/>
    </row>
    <row r="4" spans="1:44" ht="15" thickBot="1">
      <c r="A4">
        <v>3</v>
      </c>
      <c r="B4" s="2">
        <v>40544</v>
      </c>
      <c r="C4">
        <v>1</v>
      </c>
      <c r="D4" t="s">
        <v>17</v>
      </c>
      <c r="E4" s="6" t="s">
        <v>18</v>
      </c>
      <c r="F4" s="151">
        <v>8.3333333333333329E-2</v>
      </c>
      <c r="G4" s="7" t="s">
        <v>36</v>
      </c>
      <c r="H4" s="7" t="s">
        <v>37</v>
      </c>
      <c r="I4" s="7" t="s">
        <v>38</v>
      </c>
      <c r="J4">
        <v>0.22</v>
      </c>
      <c r="K4" s="148">
        <v>0.2727</v>
      </c>
      <c r="L4">
        <v>0.8</v>
      </c>
      <c r="M4" s="148">
        <v>0</v>
      </c>
      <c r="N4">
        <v>5</v>
      </c>
      <c r="O4">
        <v>27</v>
      </c>
      <c r="P4">
        <v>32</v>
      </c>
      <c r="Q4" s="29"/>
      <c r="R4" s="3"/>
      <c r="S4" s="72"/>
      <c r="T4" s="29"/>
      <c r="U4" s="91" t="s">
        <v>126</v>
      </c>
      <c r="V4" s="29"/>
      <c r="W4" s="29"/>
      <c r="X4" s="29"/>
      <c r="Y4" s="29"/>
      <c r="Z4" s="162" t="s">
        <v>130</v>
      </c>
      <c r="AA4" s="162"/>
      <c r="AB4" s="29"/>
      <c r="AC4" s="29"/>
      <c r="AD4" s="29"/>
      <c r="AE4" s="162" t="s">
        <v>132</v>
      </c>
      <c r="AF4" s="162"/>
      <c r="AG4" s="29"/>
      <c r="AH4" s="29"/>
      <c r="AI4" s="29"/>
      <c r="AJ4" s="29"/>
      <c r="AL4" s="29"/>
      <c r="AM4" s="142" t="s">
        <v>136</v>
      </c>
      <c r="AN4" s="29"/>
      <c r="AO4" s="29"/>
      <c r="AP4" s="29"/>
      <c r="AQ4" s="29"/>
      <c r="AR4" s="13"/>
    </row>
    <row r="5" spans="1:44" ht="15" thickBot="1">
      <c r="A5">
        <v>4</v>
      </c>
      <c r="B5" s="2">
        <v>40544</v>
      </c>
      <c r="C5">
        <v>1</v>
      </c>
      <c r="D5" t="s">
        <v>17</v>
      </c>
      <c r="E5" s="6" t="s">
        <v>18</v>
      </c>
      <c r="F5" s="151">
        <v>0.125</v>
      </c>
      <c r="G5" s="7" t="s">
        <v>36</v>
      </c>
      <c r="H5" s="7" t="s">
        <v>37</v>
      </c>
      <c r="I5" s="7" t="s">
        <v>38</v>
      </c>
      <c r="J5">
        <v>0.24</v>
      </c>
      <c r="K5" s="148">
        <v>0.28789999999999999</v>
      </c>
      <c r="L5">
        <v>0.75</v>
      </c>
      <c r="M5" s="148">
        <v>0</v>
      </c>
      <c r="N5">
        <v>3</v>
      </c>
      <c r="O5">
        <v>10</v>
      </c>
      <c r="P5">
        <v>13</v>
      </c>
      <c r="Q5" s="29"/>
      <c r="R5" s="3"/>
      <c r="S5" s="72"/>
      <c r="T5" s="29"/>
      <c r="U5" s="29"/>
      <c r="V5" s="29"/>
      <c r="W5" s="29"/>
      <c r="X5" s="29"/>
      <c r="Y5" s="29"/>
      <c r="Z5" s="29"/>
      <c r="AA5" s="29"/>
      <c r="AB5" s="29"/>
      <c r="AC5" s="29"/>
      <c r="AD5" s="29"/>
      <c r="AE5" s="29"/>
      <c r="AF5" s="29"/>
      <c r="AG5" s="29"/>
      <c r="AH5" s="29"/>
      <c r="AI5" s="29"/>
      <c r="AJ5" s="29"/>
      <c r="AK5" s="83" t="s">
        <v>196</v>
      </c>
      <c r="AL5" s="143" t="s">
        <v>199</v>
      </c>
      <c r="AM5" s="143" t="s">
        <v>200</v>
      </c>
      <c r="AN5" s="82" t="s">
        <v>201</v>
      </c>
      <c r="AO5" s="29"/>
      <c r="AP5" s="162" t="s">
        <v>208</v>
      </c>
      <c r="AQ5" s="162"/>
      <c r="AR5" s="13"/>
    </row>
    <row r="6" spans="1:44" ht="21" thickBot="1">
      <c r="A6">
        <v>5</v>
      </c>
      <c r="B6" s="2">
        <v>40544</v>
      </c>
      <c r="C6">
        <v>1</v>
      </c>
      <c r="D6" t="s">
        <v>17</v>
      </c>
      <c r="E6" s="76" t="s">
        <v>18</v>
      </c>
      <c r="F6" s="151">
        <v>0.16666666666666671</v>
      </c>
      <c r="G6" s="7" t="s">
        <v>36</v>
      </c>
      <c r="H6" s="7" t="s">
        <v>37</v>
      </c>
      <c r="I6" s="7" t="s">
        <v>38</v>
      </c>
      <c r="J6">
        <v>0.24</v>
      </c>
      <c r="K6" s="148">
        <v>0.28789999999999999</v>
      </c>
      <c r="L6">
        <v>0.75</v>
      </c>
      <c r="M6" s="148">
        <v>0</v>
      </c>
      <c r="N6">
        <v>0</v>
      </c>
      <c r="O6">
        <v>1</v>
      </c>
      <c r="P6">
        <v>1</v>
      </c>
      <c r="Q6" s="29"/>
      <c r="R6" s="3"/>
      <c r="S6" s="72"/>
      <c r="T6" s="29"/>
      <c r="U6" s="29"/>
      <c r="V6" s="29"/>
      <c r="W6" s="29"/>
      <c r="X6" s="29"/>
      <c r="Y6" s="29"/>
      <c r="Z6" s="187" t="s">
        <v>129</v>
      </c>
      <c r="AA6" s="188"/>
      <c r="AB6" s="29"/>
      <c r="AC6" s="29"/>
      <c r="AD6" s="29"/>
      <c r="AE6" s="29"/>
      <c r="AF6" s="29"/>
      <c r="AG6" s="29"/>
      <c r="AH6" s="29"/>
      <c r="AI6" s="29"/>
      <c r="AJ6" s="29"/>
      <c r="AK6" s="81" t="s">
        <v>202</v>
      </c>
      <c r="AL6" s="84">
        <f>MIN(J:J)</f>
        <v>0.02</v>
      </c>
      <c r="AM6" s="146">
        <f>MAX(J:J)</f>
        <v>0.46</v>
      </c>
      <c r="AN6" s="146">
        <f>AVERAGE(K:K)</f>
        <v>0.20962630000000054</v>
      </c>
      <c r="AO6" s="29"/>
      <c r="AP6" s="29"/>
      <c r="AQ6" s="29"/>
      <c r="AR6" s="13"/>
    </row>
    <row r="7" spans="1:44" ht="15" customHeight="1" thickBot="1">
      <c r="A7">
        <v>6</v>
      </c>
      <c r="B7" s="2">
        <v>40544</v>
      </c>
      <c r="C7">
        <v>1</v>
      </c>
      <c r="D7" t="s">
        <v>17</v>
      </c>
      <c r="E7" s="76" t="s">
        <v>18</v>
      </c>
      <c r="F7" s="151">
        <v>0.20833333333333334</v>
      </c>
      <c r="G7" s="7" t="s">
        <v>36</v>
      </c>
      <c r="H7" s="7" t="s">
        <v>37</v>
      </c>
      <c r="I7" s="7" t="s">
        <v>39</v>
      </c>
      <c r="J7">
        <v>0.24</v>
      </c>
      <c r="K7" s="148">
        <v>0.2576</v>
      </c>
      <c r="L7">
        <v>0.75</v>
      </c>
      <c r="M7" s="148">
        <v>8.9599999999999999E-2</v>
      </c>
      <c r="N7">
        <v>0</v>
      </c>
      <c r="O7">
        <v>1</v>
      </c>
      <c r="P7">
        <v>1</v>
      </c>
      <c r="Q7" s="29"/>
      <c r="R7" s="3"/>
      <c r="S7" s="72"/>
      <c r="T7" s="29"/>
      <c r="U7" s="29"/>
      <c r="V7" s="29"/>
      <c r="W7" s="29"/>
      <c r="X7" s="29"/>
      <c r="Y7" s="29"/>
      <c r="Z7" s="111" t="s">
        <v>196</v>
      </c>
      <c r="AA7" s="112" t="s">
        <v>128</v>
      </c>
      <c r="AB7" s="29"/>
      <c r="AC7" s="29"/>
      <c r="AD7" s="170" t="s">
        <v>131</v>
      </c>
      <c r="AE7" s="171"/>
      <c r="AF7" s="171"/>
      <c r="AG7" s="172"/>
      <c r="AH7" s="29"/>
      <c r="AI7" s="29"/>
      <c r="AJ7" s="29"/>
      <c r="AK7" s="81" t="s">
        <v>203</v>
      </c>
      <c r="AL7" s="84">
        <f>MIN(K:K)</f>
        <v>0</v>
      </c>
      <c r="AM7" s="146">
        <f>MAX(K:K)</f>
        <v>0.45450000000000002</v>
      </c>
      <c r="AN7" s="146">
        <f>AVERAGE(L:L)</f>
        <v>0.58248000000000033</v>
      </c>
      <c r="AO7" s="29"/>
      <c r="AP7" s="166" t="s">
        <v>213</v>
      </c>
      <c r="AQ7" s="167"/>
      <c r="AR7" s="13"/>
    </row>
    <row r="8" spans="1:44" ht="21" customHeight="1" thickBot="1">
      <c r="A8">
        <v>7</v>
      </c>
      <c r="B8" s="2">
        <v>40544</v>
      </c>
      <c r="C8">
        <v>1</v>
      </c>
      <c r="D8" t="s">
        <v>17</v>
      </c>
      <c r="E8" s="76" t="s">
        <v>18</v>
      </c>
      <c r="F8" s="151">
        <v>0.25</v>
      </c>
      <c r="G8" s="7" t="s">
        <v>36</v>
      </c>
      <c r="H8" s="7" t="s">
        <v>37</v>
      </c>
      <c r="I8" s="7" t="s">
        <v>38</v>
      </c>
      <c r="J8">
        <v>0.22</v>
      </c>
      <c r="K8" s="148">
        <v>0.2727</v>
      </c>
      <c r="L8">
        <v>0.8</v>
      </c>
      <c r="M8" s="148">
        <v>0</v>
      </c>
      <c r="N8">
        <v>2</v>
      </c>
      <c r="O8">
        <v>0</v>
      </c>
      <c r="P8">
        <v>2</v>
      </c>
      <c r="Q8" s="29"/>
      <c r="R8" s="3"/>
      <c r="S8" s="72"/>
      <c r="T8" s="191" t="s">
        <v>197</v>
      </c>
      <c r="U8" s="193"/>
      <c r="V8" s="193"/>
      <c r="W8" s="192"/>
      <c r="X8" s="77"/>
      <c r="Y8" s="29"/>
      <c r="Z8" s="109" t="s">
        <v>38</v>
      </c>
      <c r="AA8" s="110">
        <f>COUNTIF(I:I,"bright sunny")</f>
        <v>606</v>
      </c>
      <c r="AB8" s="29"/>
      <c r="AC8" s="29"/>
      <c r="AD8" s="183"/>
      <c r="AE8" s="184"/>
      <c r="AF8" s="184"/>
      <c r="AG8" s="185"/>
      <c r="AH8" s="29"/>
      <c r="AI8" s="29"/>
      <c r="AJ8" s="29"/>
      <c r="AK8" s="144" t="s">
        <v>204</v>
      </c>
      <c r="AL8" s="84">
        <f>MIN(M:M)</f>
        <v>0</v>
      </c>
      <c r="AM8" s="146">
        <f>MAX(M:M)</f>
        <v>0.58209999999999995</v>
      </c>
      <c r="AN8" s="146">
        <f>AVERAGE(N:N)</f>
        <v>4.9210000000000003</v>
      </c>
      <c r="AO8" s="29"/>
      <c r="AP8" s="111" t="s">
        <v>209</v>
      </c>
      <c r="AQ8" s="112" t="s">
        <v>210</v>
      </c>
      <c r="AR8" s="13"/>
    </row>
    <row r="9" spans="1:44" ht="24" customHeight="1" thickBot="1">
      <c r="A9">
        <v>8</v>
      </c>
      <c r="B9" s="2">
        <v>40544</v>
      </c>
      <c r="C9">
        <v>1</v>
      </c>
      <c r="D9" t="s">
        <v>17</v>
      </c>
      <c r="E9" s="76" t="s">
        <v>18</v>
      </c>
      <c r="F9" s="151">
        <v>0.29166666666666669</v>
      </c>
      <c r="G9" s="7" t="s">
        <v>36</v>
      </c>
      <c r="H9" s="7" t="s">
        <v>37</v>
      </c>
      <c r="I9" s="7" t="s">
        <v>38</v>
      </c>
      <c r="J9">
        <v>0.2</v>
      </c>
      <c r="K9" s="148">
        <v>0.2576</v>
      </c>
      <c r="L9">
        <v>0.86</v>
      </c>
      <c r="M9" s="148">
        <v>0</v>
      </c>
      <c r="N9">
        <v>1</v>
      </c>
      <c r="O9">
        <v>2</v>
      </c>
      <c r="P9">
        <v>3</v>
      </c>
      <c r="Q9" s="29"/>
      <c r="R9" s="3"/>
      <c r="S9" s="72"/>
      <c r="T9" s="66" t="s">
        <v>58</v>
      </c>
      <c r="U9" s="67" t="s">
        <v>122</v>
      </c>
      <c r="V9" s="67" t="s">
        <v>123</v>
      </c>
      <c r="W9" s="67" t="s">
        <v>124</v>
      </c>
      <c r="X9" s="29"/>
      <c r="Y9" s="29"/>
      <c r="Z9" s="81" t="s">
        <v>39</v>
      </c>
      <c r="AA9" s="110">
        <f>COUNTIF(I:I,"little cloudy")</f>
        <v>309</v>
      </c>
      <c r="AB9" s="29"/>
      <c r="AC9" s="29"/>
      <c r="AD9" s="113" t="s">
        <v>133</v>
      </c>
      <c r="AE9" s="114" t="s">
        <v>52</v>
      </c>
      <c r="AF9" s="114" t="s">
        <v>53</v>
      </c>
      <c r="AG9" s="115" t="s">
        <v>54</v>
      </c>
      <c r="AH9" s="29"/>
      <c r="AI9" s="29"/>
      <c r="AJ9" s="29"/>
      <c r="AK9" s="145" t="s">
        <v>205</v>
      </c>
      <c r="AL9" s="85">
        <f>MIN(L:L)</f>
        <v>0.21</v>
      </c>
      <c r="AM9" s="147">
        <f>MAX(L:L)</f>
        <v>1</v>
      </c>
      <c r="AN9" s="147">
        <f>AVERAGE(M:M)</f>
        <v>0.19493129999999903</v>
      </c>
      <c r="AO9" s="29"/>
      <c r="AP9" s="109" t="s">
        <v>211</v>
      </c>
      <c r="AQ9" s="110">
        <f>COUNTIF(E:E,"jan")</f>
        <v>687</v>
      </c>
      <c r="AR9" s="13"/>
    </row>
    <row r="10" spans="1:44" ht="15" thickBot="1">
      <c r="A10">
        <v>9</v>
      </c>
      <c r="B10" s="2">
        <v>40544</v>
      </c>
      <c r="C10">
        <v>1</v>
      </c>
      <c r="D10" t="s">
        <v>17</v>
      </c>
      <c r="E10" s="76" t="s">
        <v>18</v>
      </c>
      <c r="F10" s="151">
        <v>0.33333333333333331</v>
      </c>
      <c r="G10" s="7" t="s">
        <v>36</v>
      </c>
      <c r="H10" s="7" t="s">
        <v>37</v>
      </c>
      <c r="I10" s="7" t="s">
        <v>38</v>
      </c>
      <c r="J10">
        <v>0.24</v>
      </c>
      <c r="K10" s="148">
        <v>0</v>
      </c>
      <c r="L10">
        <v>0.75</v>
      </c>
      <c r="M10" s="148">
        <v>0</v>
      </c>
      <c r="N10">
        <v>1</v>
      </c>
      <c r="O10">
        <v>7</v>
      </c>
      <c r="P10">
        <v>8</v>
      </c>
      <c r="Q10" s="29"/>
      <c r="R10" s="3"/>
      <c r="S10" s="72"/>
      <c r="T10" s="68" t="s">
        <v>29</v>
      </c>
      <c r="U10" s="69">
        <f>CORREL('[1]DATASET A'!J:J,'[1]DATASET A'!O:O)</f>
        <v>0.16904504909761614</v>
      </c>
      <c r="V10" s="69">
        <f>CORREL('[1]DATASET A'!N:N,'[1]DATASET A'!J:J)</f>
        <v>0.47022073160199324</v>
      </c>
      <c r="W10" s="69">
        <f>CORREL('[1]DATASET A'!P:P,'[1]DATASET A'!J:J)</f>
        <v>0.22929155386993369</v>
      </c>
      <c r="X10" s="29"/>
      <c r="Y10" s="29"/>
      <c r="Z10" s="81" t="s">
        <v>127</v>
      </c>
      <c r="AA10" s="110">
        <f>COUNTIF(I:I,"heavy rain")</f>
        <v>84</v>
      </c>
      <c r="AB10" s="29"/>
      <c r="AC10" s="29"/>
      <c r="AD10" s="81" t="s">
        <v>134</v>
      </c>
      <c r="AE10" s="84">
        <f>SUMIF(G:G,"holiday",N:N)</f>
        <v>117</v>
      </c>
      <c r="AF10" s="84">
        <v>883</v>
      </c>
      <c r="AG10" s="80">
        <v>1000</v>
      </c>
      <c r="AH10" s="29"/>
      <c r="AI10" s="29"/>
      <c r="AJ10" s="29"/>
      <c r="AK10" s="29"/>
      <c r="AL10" s="29"/>
      <c r="AP10" s="79" t="s">
        <v>212</v>
      </c>
      <c r="AQ10" s="149">
        <f>COUNTIF(E:E,"feb")</f>
        <v>313</v>
      </c>
      <c r="AR10" s="13"/>
    </row>
    <row r="11" spans="1:44" ht="15" thickBot="1">
      <c r="A11">
        <v>10</v>
      </c>
      <c r="B11" s="2">
        <v>40544</v>
      </c>
      <c r="C11">
        <v>1</v>
      </c>
      <c r="D11" t="s">
        <v>17</v>
      </c>
      <c r="E11" s="76" t="s">
        <v>18</v>
      </c>
      <c r="F11" s="151">
        <v>0.375</v>
      </c>
      <c r="G11" s="7" t="s">
        <v>36</v>
      </c>
      <c r="H11" s="7" t="s">
        <v>37</v>
      </c>
      <c r="I11" s="7" t="s">
        <v>38</v>
      </c>
      <c r="J11">
        <v>0.32</v>
      </c>
      <c r="K11" s="148">
        <v>0.34849999999999998</v>
      </c>
      <c r="L11">
        <v>0.76</v>
      </c>
      <c r="M11" s="148">
        <v>0</v>
      </c>
      <c r="N11">
        <v>8</v>
      </c>
      <c r="O11">
        <v>6</v>
      </c>
      <c r="P11">
        <v>14</v>
      </c>
      <c r="Q11" s="29"/>
      <c r="R11" s="3"/>
      <c r="S11" s="72"/>
      <c r="T11" s="68" t="s">
        <v>30</v>
      </c>
      <c r="U11" s="69">
        <f>CORREL('[1]DATASET A'!K:K,'[1]DATASET A'!O:O)</f>
        <v>0.13765257022727309</v>
      </c>
      <c r="V11" s="69">
        <f>CORREL('[1]DATASET A'!N:N,'[1]DATASET A'!K:K)</f>
        <v>0.42471808854997634</v>
      </c>
      <c r="W11" s="69">
        <f>CORREL('[1]DATASET A'!P:P,'[1]DATASET A'!K:K)</f>
        <v>0.19299386277830383</v>
      </c>
      <c r="X11" s="29"/>
      <c r="Y11" s="29"/>
      <c r="Z11" s="79" t="s">
        <v>193</v>
      </c>
      <c r="AA11" s="110">
        <f>COUNTIF(I:I,"high thunderstorm")</f>
        <v>1</v>
      </c>
      <c r="AB11" s="29"/>
      <c r="AC11" s="29"/>
      <c r="AD11" s="79" t="s">
        <v>135</v>
      </c>
      <c r="AE11" s="84">
        <f>SUMIF(G:G,"non-holiday",N:N)</f>
        <v>4804</v>
      </c>
      <c r="AF11" s="85">
        <v>52500</v>
      </c>
      <c r="AG11" s="78">
        <v>57304</v>
      </c>
      <c r="AH11" s="29"/>
      <c r="AI11" s="29"/>
      <c r="AJ11" s="29"/>
      <c r="AK11" s="29"/>
      <c r="AL11" s="29"/>
      <c r="AQ11" s="29"/>
      <c r="AR11" s="13"/>
    </row>
    <row r="12" spans="1:44" thickBot="1">
      <c r="A12">
        <v>11</v>
      </c>
      <c r="B12" s="2">
        <v>40544</v>
      </c>
      <c r="C12">
        <v>1</v>
      </c>
      <c r="D12" t="s">
        <v>17</v>
      </c>
      <c r="E12" s="76" t="s">
        <v>18</v>
      </c>
      <c r="F12" s="151">
        <v>0.41666666666666669</v>
      </c>
      <c r="G12" s="7" t="s">
        <v>36</v>
      </c>
      <c r="H12" s="7" t="s">
        <v>37</v>
      </c>
      <c r="I12" s="7" t="s">
        <v>38</v>
      </c>
      <c r="J12">
        <v>0.38</v>
      </c>
      <c r="K12" s="148">
        <v>0.39389999999999997</v>
      </c>
      <c r="L12">
        <v>0.76</v>
      </c>
      <c r="M12" s="148">
        <v>0.25369999999999998</v>
      </c>
      <c r="N12">
        <v>12</v>
      </c>
      <c r="O12">
        <v>24</v>
      </c>
      <c r="P12">
        <v>36</v>
      </c>
      <c r="Q12" s="29"/>
      <c r="R12" s="3"/>
      <c r="S12" s="72"/>
      <c r="T12" s="68" t="s">
        <v>31</v>
      </c>
      <c r="U12" s="69">
        <f>CORREL('[1]DATASET A'!O:O,'[1]DATASET A'!L:L)</f>
        <v>-0.22937044088624536</v>
      </c>
      <c r="V12" s="69">
        <f>CORREL('[1]DATASET A'!N:N,'[1]DATASET A'!L:L)</f>
        <v>-0.2594074545428624</v>
      </c>
      <c r="W12" s="69">
        <f>CORREL('[1]DATASET A'!P:P,'[1]DATASET A'!L:L)</f>
        <v>-0.25435329828790432</v>
      </c>
      <c r="X12" s="29"/>
      <c r="Y12" s="29"/>
      <c r="Z12" s="29"/>
      <c r="AA12" s="29"/>
      <c r="AB12" s="29"/>
      <c r="AC12" s="29"/>
      <c r="AD12" s="29"/>
      <c r="AE12" s="29"/>
      <c r="AF12" s="29"/>
      <c r="AG12" s="29"/>
      <c r="AH12" s="29"/>
      <c r="AI12" s="29"/>
      <c r="AJ12" s="29"/>
      <c r="AK12" s="29"/>
      <c r="AL12" s="29"/>
      <c r="AQ12" s="29"/>
      <c r="AR12" s="13"/>
    </row>
    <row r="13" spans="1:44" thickBot="1">
      <c r="A13">
        <v>12</v>
      </c>
      <c r="B13" s="2">
        <v>40544</v>
      </c>
      <c r="C13">
        <v>1</v>
      </c>
      <c r="D13" t="s">
        <v>17</v>
      </c>
      <c r="E13" s="6" t="s">
        <v>18</v>
      </c>
      <c r="F13" s="151">
        <v>0.45833333333333331</v>
      </c>
      <c r="G13" s="7" t="s">
        <v>36</v>
      </c>
      <c r="H13" s="7" t="s">
        <v>37</v>
      </c>
      <c r="I13" s="7" t="s">
        <v>38</v>
      </c>
      <c r="J13">
        <v>0.36</v>
      </c>
      <c r="K13" s="148">
        <v>0.33329999999999999</v>
      </c>
      <c r="L13">
        <v>0.81</v>
      </c>
      <c r="M13" s="148">
        <v>0.28360000000000002</v>
      </c>
      <c r="N13">
        <v>26</v>
      </c>
      <c r="O13">
        <v>30</v>
      </c>
      <c r="P13">
        <v>56</v>
      </c>
      <c r="Q13" s="29"/>
      <c r="R13" s="3"/>
      <c r="S13" s="72"/>
      <c r="T13" s="70" t="s">
        <v>32</v>
      </c>
      <c r="U13" s="71">
        <f>CORREL('[1]DATASET A'!O:O,'[1]DATASET A'!M:M)</f>
        <v>9.0058728679306796E-2</v>
      </c>
      <c r="V13" s="71">
        <f>CORREL('[1]DATASET A'!N:N,'[1]DATASET A'!M:M)</f>
        <v>0.12939194234487605</v>
      </c>
      <c r="W13" s="71">
        <f>CORREL('[1]DATASET A'!P:P,'[1]DATASET A'!M:M)</f>
        <v>0.10399668008577614</v>
      </c>
      <c r="X13" s="29"/>
      <c r="Y13" s="29"/>
      <c r="Z13" s="29"/>
      <c r="AA13" s="29"/>
      <c r="AB13" s="29"/>
      <c r="AC13" s="29"/>
      <c r="AD13" s="29"/>
      <c r="AE13" s="29"/>
      <c r="AF13" s="29"/>
      <c r="AG13" s="29"/>
      <c r="AH13" s="29"/>
      <c r="AI13" s="29"/>
      <c r="AJ13" s="29"/>
      <c r="AK13" s="29"/>
      <c r="AL13" s="29"/>
      <c r="AQ13" s="29"/>
      <c r="AR13" s="13"/>
    </row>
    <row r="14" spans="1:44">
      <c r="A14">
        <v>13</v>
      </c>
      <c r="B14" s="2">
        <v>40544</v>
      </c>
      <c r="C14">
        <v>1</v>
      </c>
      <c r="D14" t="s">
        <v>17</v>
      </c>
      <c r="E14" s="6" t="s">
        <v>18</v>
      </c>
      <c r="F14" s="151">
        <v>0.5</v>
      </c>
      <c r="G14" s="7" t="s">
        <v>36</v>
      </c>
      <c r="H14" s="7" t="s">
        <v>37</v>
      </c>
      <c r="I14" s="7" t="s">
        <v>38</v>
      </c>
      <c r="J14">
        <v>0.42</v>
      </c>
      <c r="K14" s="148">
        <v>0.42420000000000002</v>
      </c>
      <c r="L14">
        <v>0.77</v>
      </c>
      <c r="M14" s="148">
        <v>0.28360000000000002</v>
      </c>
      <c r="N14">
        <v>29</v>
      </c>
      <c r="O14">
        <v>55</v>
      </c>
      <c r="P14">
        <v>84</v>
      </c>
      <c r="Q14" s="29"/>
      <c r="R14" s="3"/>
      <c r="S14" s="72"/>
      <c r="T14" s="70"/>
      <c r="U14" s="71"/>
      <c r="V14" s="71"/>
      <c r="W14" s="71"/>
      <c r="X14" s="29"/>
      <c r="Y14" s="29"/>
      <c r="Z14" s="29"/>
      <c r="AA14" s="29"/>
      <c r="AB14" s="29"/>
      <c r="AC14" s="29"/>
      <c r="AD14" s="120" t="s">
        <v>167</v>
      </c>
      <c r="AE14" s="29"/>
      <c r="AF14" s="29"/>
      <c r="AG14" s="29"/>
      <c r="AH14" s="29"/>
      <c r="AI14" s="29"/>
      <c r="AJ14" s="29"/>
      <c r="AK14" s="29"/>
      <c r="AL14" s="29"/>
      <c r="AQ14" s="29"/>
      <c r="AR14" s="13"/>
    </row>
    <row r="15" spans="1:44">
      <c r="A15">
        <v>14</v>
      </c>
      <c r="B15" s="2">
        <v>40544</v>
      </c>
      <c r="C15">
        <v>1</v>
      </c>
      <c r="D15" t="s">
        <v>17</v>
      </c>
      <c r="E15" s="6" t="s">
        <v>18</v>
      </c>
      <c r="F15" s="151">
        <v>0.54166666666666663</v>
      </c>
      <c r="G15" s="7" t="s">
        <v>36</v>
      </c>
      <c r="H15" s="7" t="s">
        <v>37</v>
      </c>
      <c r="I15" s="7" t="s">
        <v>39</v>
      </c>
      <c r="J15">
        <v>0.46</v>
      </c>
      <c r="K15" s="148">
        <v>0.45450000000000002</v>
      </c>
      <c r="L15">
        <v>0.72</v>
      </c>
      <c r="M15" s="148">
        <v>0.29849999999999999</v>
      </c>
      <c r="N15">
        <v>47</v>
      </c>
      <c r="O15">
        <v>47</v>
      </c>
      <c r="P15">
        <v>94</v>
      </c>
      <c r="Q15" s="3"/>
      <c r="R15" s="3"/>
      <c r="S15" s="72"/>
      <c r="T15" s="29" t="s">
        <v>160</v>
      </c>
      <c r="U15" s="119"/>
      <c r="V15" s="119"/>
      <c r="W15" s="119"/>
      <c r="X15" s="29"/>
      <c r="Y15" s="29"/>
      <c r="Z15" s="29"/>
      <c r="AA15" s="29"/>
      <c r="AB15" s="29"/>
      <c r="AC15" s="29"/>
      <c r="AD15" s="29" t="s">
        <v>168</v>
      </c>
      <c r="AE15" s="29"/>
      <c r="AF15" s="29"/>
      <c r="AG15" s="29"/>
      <c r="AH15" s="29"/>
      <c r="AI15" s="29"/>
      <c r="AJ15" s="29"/>
      <c r="AK15" s="29"/>
      <c r="AL15" s="29"/>
      <c r="AQ15" s="29"/>
      <c r="AR15" s="13"/>
    </row>
    <row r="16" spans="1:44" thickBot="1">
      <c r="A16">
        <v>15</v>
      </c>
      <c r="B16" s="2">
        <v>40544</v>
      </c>
      <c r="C16">
        <v>1</v>
      </c>
      <c r="D16" t="s">
        <v>17</v>
      </c>
      <c r="E16" s="6" t="s">
        <v>18</v>
      </c>
      <c r="F16" s="151">
        <v>0.58333333333333337</v>
      </c>
      <c r="G16" s="7" t="s">
        <v>36</v>
      </c>
      <c r="H16" s="7" t="s">
        <v>37</v>
      </c>
      <c r="I16" s="7" t="s">
        <v>39</v>
      </c>
      <c r="J16">
        <v>0.46</v>
      </c>
      <c r="K16" s="148">
        <v>0.45450000000000002</v>
      </c>
      <c r="L16">
        <v>0.72</v>
      </c>
      <c r="M16" s="148">
        <v>0.28360000000000002</v>
      </c>
      <c r="N16">
        <v>35</v>
      </c>
      <c r="O16">
        <v>71</v>
      </c>
      <c r="P16">
        <v>106</v>
      </c>
      <c r="Q16" s="3"/>
      <c r="R16" s="3"/>
      <c r="S16" s="72"/>
      <c r="T16" s="29" t="s">
        <v>161</v>
      </c>
      <c r="U16" s="119"/>
      <c r="V16" s="119"/>
      <c r="W16" s="119"/>
      <c r="X16" s="29"/>
      <c r="Y16" s="29"/>
      <c r="Z16" s="29"/>
      <c r="AA16" s="29"/>
      <c r="AB16" s="29"/>
      <c r="AC16" s="29"/>
      <c r="AD16" s="29"/>
      <c r="AE16" s="29"/>
      <c r="AF16" s="29"/>
      <c r="AG16" s="29"/>
      <c r="AH16" s="29"/>
      <c r="AI16" s="29"/>
      <c r="AJ16" s="29"/>
      <c r="AK16" s="29"/>
      <c r="AL16" s="29"/>
      <c r="AM16" s="29"/>
      <c r="AN16" s="29"/>
      <c r="AO16" s="29"/>
      <c r="AP16" s="29"/>
      <c r="AQ16" s="29"/>
      <c r="AR16" s="13"/>
    </row>
    <row r="17" spans="1:44" thickBot="1">
      <c r="A17">
        <v>16</v>
      </c>
      <c r="B17" s="2">
        <v>40544</v>
      </c>
      <c r="C17">
        <v>1</v>
      </c>
      <c r="D17" t="s">
        <v>17</v>
      </c>
      <c r="E17" s="6" t="s">
        <v>18</v>
      </c>
      <c r="F17" s="151">
        <v>0.625</v>
      </c>
      <c r="G17" s="7" t="s">
        <v>36</v>
      </c>
      <c r="H17" s="7" t="s">
        <v>37</v>
      </c>
      <c r="I17" s="7" t="s">
        <v>39</v>
      </c>
      <c r="J17">
        <v>0.44</v>
      </c>
      <c r="K17" s="148">
        <v>0.43940000000000001</v>
      </c>
      <c r="L17">
        <v>0.77</v>
      </c>
      <c r="M17" s="148">
        <v>0.29849999999999999</v>
      </c>
      <c r="N17">
        <v>40</v>
      </c>
      <c r="O17">
        <v>70</v>
      </c>
      <c r="P17">
        <v>110</v>
      </c>
      <c r="Q17" s="3"/>
      <c r="R17" s="3"/>
      <c r="S17" s="72"/>
      <c r="T17" s="29" t="s">
        <v>162</v>
      </c>
      <c r="U17" s="29"/>
      <c r="V17" s="29"/>
      <c r="W17" s="29"/>
      <c r="X17" s="29"/>
      <c r="Y17" s="29"/>
      <c r="Z17" s="89" t="s">
        <v>169</v>
      </c>
      <c r="AA17" s="29"/>
      <c r="AB17" s="29"/>
      <c r="AC17" s="29"/>
      <c r="AD17" s="29"/>
      <c r="AE17" s="29"/>
      <c r="AF17" s="89" t="s">
        <v>198</v>
      </c>
      <c r="AG17" s="29"/>
      <c r="AH17" s="29"/>
      <c r="AI17" s="29"/>
      <c r="AJ17" s="29"/>
      <c r="AK17" s="29"/>
      <c r="AL17" s="29"/>
      <c r="AM17" s="29"/>
      <c r="AN17" s="29"/>
      <c r="AO17" s="29"/>
      <c r="AP17" s="29"/>
      <c r="AQ17" s="29"/>
      <c r="AR17" s="13"/>
    </row>
    <row r="18" spans="1:44" ht="15" thickBot="1">
      <c r="A18">
        <v>17</v>
      </c>
      <c r="B18" s="2">
        <v>40544</v>
      </c>
      <c r="C18">
        <v>1</v>
      </c>
      <c r="D18" t="s">
        <v>17</v>
      </c>
      <c r="E18" s="6" t="s">
        <v>18</v>
      </c>
      <c r="F18" s="151">
        <v>0.66666666666666663</v>
      </c>
      <c r="G18" s="7" t="s">
        <v>36</v>
      </c>
      <c r="H18" s="7" t="s">
        <v>37</v>
      </c>
      <c r="I18" s="7" t="s">
        <v>39</v>
      </c>
      <c r="J18">
        <v>0.42</v>
      </c>
      <c r="K18" s="148">
        <v>0.42420000000000002</v>
      </c>
      <c r="L18">
        <v>0.82</v>
      </c>
      <c r="M18" s="148">
        <v>0.29849999999999999</v>
      </c>
      <c r="N18">
        <v>41</v>
      </c>
      <c r="O18">
        <v>52</v>
      </c>
      <c r="P18">
        <v>93</v>
      </c>
      <c r="Q18" s="3"/>
      <c r="R18" s="3"/>
      <c r="S18" s="72"/>
      <c r="T18" s="29" t="s">
        <v>163</v>
      </c>
      <c r="U18" s="29"/>
      <c r="V18" s="29"/>
      <c r="W18" s="29"/>
      <c r="X18" s="29"/>
      <c r="Y18" s="29"/>
      <c r="Z18" s="29"/>
      <c r="AA18" s="29"/>
      <c r="AB18" s="29"/>
      <c r="AC18" s="29"/>
      <c r="AD18" s="29"/>
      <c r="AE18" s="29"/>
      <c r="AF18" s="29"/>
      <c r="AG18" s="29"/>
      <c r="AH18" s="29"/>
      <c r="AI18" s="29"/>
      <c r="AJ18" s="29"/>
      <c r="AK18" s="29"/>
      <c r="AL18" s="29"/>
      <c r="AM18" s="29"/>
      <c r="AN18" s="162" t="s">
        <v>217</v>
      </c>
      <c r="AO18" s="162"/>
      <c r="AP18" s="29"/>
      <c r="AQ18" s="29"/>
      <c r="AR18" s="13"/>
    </row>
    <row r="19" spans="1:44" ht="18.600000000000001" thickBot="1">
      <c r="A19">
        <v>18</v>
      </c>
      <c r="B19" s="2">
        <v>40544</v>
      </c>
      <c r="C19">
        <v>1</v>
      </c>
      <c r="D19" t="s">
        <v>17</v>
      </c>
      <c r="E19" s="6" t="s">
        <v>18</v>
      </c>
      <c r="F19" s="151">
        <v>0.70833333333333337</v>
      </c>
      <c r="G19" s="7" t="s">
        <v>36</v>
      </c>
      <c r="H19" s="7" t="s">
        <v>37</v>
      </c>
      <c r="I19" s="7" t="s">
        <v>39</v>
      </c>
      <c r="J19">
        <v>0.44</v>
      </c>
      <c r="K19" s="148">
        <v>0</v>
      </c>
      <c r="L19">
        <v>0.82</v>
      </c>
      <c r="M19" s="148">
        <v>0.28360000000000002</v>
      </c>
      <c r="N19">
        <v>15</v>
      </c>
      <c r="O19">
        <v>52</v>
      </c>
      <c r="P19">
        <v>67</v>
      </c>
      <c r="Q19" s="3"/>
      <c r="R19" s="3"/>
      <c r="S19" s="72"/>
      <c r="T19" s="29"/>
      <c r="U19" s="29"/>
      <c r="V19" s="29"/>
      <c r="W19" s="29"/>
      <c r="X19" s="29"/>
      <c r="Y19" s="29"/>
      <c r="Z19" s="191" t="s">
        <v>152</v>
      </c>
      <c r="AA19" s="192"/>
      <c r="AB19" s="29"/>
      <c r="AC19" s="29"/>
      <c r="AD19" s="173" t="s">
        <v>175</v>
      </c>
      <c r="AE19" s="174"/>
      <c r="AF19" s="174"/>
      <c r="AG19" s="175"/>
      <c r="AH19" s="29">
        <f>_xlfn.MINIFS(F:F,N:N,1)</f>
        <v>0.29166666666666669</v>
      </c>
      <c r="AI19" s="29"/>
      <c r="AJ19" s="29"/>
      <c r="AK19" s="162" t="s">
        <v>207</v>
      </c>
      <c r="AL19" s="162"/>
      <c r="AM19" s="29"/>
      <c r="AN19" s="29"/>
      <c r="AO19" s="29"/>
      <c r="AQ19" s="29"/>
      <c r="AR19" s="13"/>
    </row>
    <row r="20" spans="1:44" ht="17.399999999999999" thickBot="1">
      <c r="A20">
        <v>19</v>
      </c>
      <c r="B20" s="2">
        <v>40544</v>
      </c>
      <c r="C20">
        <v>1</v>
      </c>
      <c r="D20" t="s">
        <v>17</v>
      </c>
      <c r="E20" s="6" t="s">
        <v>18</v>
      </c>
      <c r="F20" s="151">
        <v>0.75</v>
      </c>
      <c r="G20" s="7" t="s">
        <v>36</v>
      </c>
      <c r="H20" s="7" t="s">
        <v>37</v>
      </c>
      <c r="I20" s="7" t="s">
        <v>45</v>
      </c>
      <c r="J20">
        <v>0.42</v>
      </c>
      <c r="K20" s="148">
        <v>0.42420000000000002</v>
      </c>
      <c r="L20">
        <v>0.88</v>
      </c>
      <c r="M20" s="148">
        <v>0.25369999999999998</v>
      </c>
      <c r="N20">
        <v>9</v>
      </c>
      <c r="O20">
        <v>26</v>
      </c>
      <c r="P20">
        <v>35</v>
      </c>
      <c r="Q20" s="3"/>
      <c r="R20" s="3"/>
      <c r="S20" s="72"/>
      <c r="T20" s="29"/>
      <c r="U20" s="29"/>
      <c r="V20" s="29"/>
      <c r="W20" s="29"/>
      <c r="X20" s="29"/>
      <c r="Y20" s="29"/>
      <c r="Z20" s="83" t="s">
        <v>151</v>
      </c>
      <c r="AA20" s="82" t="s">
        <v>150</v>
      </c>
      <c r="AB20" s="29"/>
      <c r="AC20" s="29"/>
      <c r="AD20" s="121" t="s">
        <v>171</v>
      </c>
      <c r="AE20" s="122" t="s">
        <v>172</v>
      </c>
      <c r="AF20" s="122" t="s">
        <v>173</v>
      </c>
      <c r="AG20" s="123" t="s">
        <v>174</v>
      </c>
      <c r="AH20" s="29"/>
      <c r="AI20" s="29"/>
      <c r="AJ20" s="29"/>
      <c r="AK20" s="29"/>
      <c r="AL20" s="29"/>
      <c r="AM20" s="29"/>
      <c r="AN20" s="156" t="s">
        <v>215</v>
      </c>
      <c r="AO20" s="157"/>
      <c r="AP20" s="10"/>
      <c r="AQ20" s="11"/>
      <c r="AR20" s="13"/>
    </row>
    <row r="21" spans="1:44" ht="17.399999999999999" thickBot="1">
      <c r="A21">
        <v>20</v>
      </c>
      <c r="B21" s="2">
        <v>40544</v>
      </c>
      <c r="C21">
        <v>1</v>
      </c>
      <c r="D21" t="s">
        <v>17</v>
      </c>
      <c r="E21" s="6" t="s">
        <v>18</v>
      </c>
      <c r="F21" s="151">
        <v>0.79166666666666663</v>
      </c>
      <c r="G21" s="7" t="s">
        <v>36</v>
      </c>
      <c r="H21" s="7" t="s">
        <v>37</v>
      </c>
      <c r="I21" s="7" t="s">
        <v>45</v>
      </c>
      <c r="J21">
        <v>0.42</v>
      </c>
      <c r="K21" s="148">
        <v>0.42420000000000002</v>
      </c>
      <c r="L21">
        <v>0.88</v>
      </c>
      <c r="M21" s="148">
        <v>0.25369999999999998</v>
      </c>
      <c r="N21">
        <v>6</v>
      </c>
      <c r="O21">
        <v>31</v>
      </c>
      <c r="P21">
        <v>37</v>
      </c>
      <c r="Q21" s="3"/>
      <c r="R21" s="3"/>
      <c r="S21" s="72"/>
      <c r="T21" s="29"/>
      <c r="U21" s="89" t="s">
        <v>153</v>
      </c>
      <c r="V21" s="88"/>
      <c r="W21" s="29"/>
      <c r="X21" s="29"/>
      <c r="Y21" s="29"/>
      <c r="Z21" s="81" t="s">
        <v>149</v>
      </c>
      <c r="AA21" s="80">
        <f>SUM(P:P)</f>
        <v>58304</v>
      </c>
      <c r="AB21" s="29"/>
      <c r="AC21" s="29"/>
      <c r="AD21" s="81" t="s">
        <v>170</v>
      </c>
      <c r="AE21" s="84">
        <v>0</v>
      </c>
      <c r="AF21" s="84">
        <v>62</v>
      </c>
      <c r="AG21" s="80">
        <v>4.9210000000000003</v>
      </c>
      <c r="AH21" s="29"/>
      <c r="AI21" s="29"/>
      <c r="AJ21" s="29"/>
      <c r="AK21" s="166" t="s">
        <v>129</v>
      </c>
      <c r="AL21" s="167"/>
      <c r="AM21" s="29"/>
      <c r="AN21" s="153" t="s">
        <v>209</v>
      </c>
      <c r="AO21" s="153" t="s">
        <v>123</v>
      </c>
      <c r="AP21" s="158" t="s">
        <v>216</v>
      </c>
      <c r="AQ21" s="158" t="s">
        <v>124</v>
      </c>
      <c r="AR21" s="13"/>
    </row>
    <row r="22" spans="1:44" ht="15" thickBot="1">
      <c r="A22">
        <v>21</v>
      </c>
      <c r="B22" s="2">
        <v>40544</v>
      </c>
      <c r="C22">
        <v>1</v>
      </c>
      <c r="D22" t="s">
        <v>17</v>
      </c>
      <c r="E22" s="6" t="s">
        <v>18</v>
      </c>
      <c r="F22" s="151">
        <v>0.83333333333333337</v>
      </c>
      <c r="G22" s="7" t="s">
        <v>36</v>
      </c>
      <c r="H22" s="7" t="s">
        <v>37</v>
      </c>
      <c r="I22" s="7" t="s">
        <v>39</v>
      </c>
      <c r="J22">
        <v>0.4</v>
      </c>
      <c r="K22" s="148">
        <v>0.40910000000000002</v>
      </c>
      <c r="L22">
        <v>0.87</v>
      </c>
      <c r="M22" s="148">
        <v>0.25369999999999998</v>
      </c>
      <c r="N22">
        <v>11</v>
      </c>
      <c r="O22">
        <v>25</v>
      </c>
      <c r="P22">
        <v>36</v>
      </c>
      <c r="Q22" s="3"/>
      <c r="R22" s="3"/>
      <c r="S22" s="72"/>
      <c r="T22" s="29"/>
      <c r="U22" s="189" t="s">
        <v>137</v>
      </c>
      <c r="V22" s="190"/>
      <c r="W22" s="29"/>
      <c r="X22" s="29"/>
      <c r="Y22" s="29"/>
      <c r="Z22" s="81" t="s">
        <v>148</v>
      </c>
      <c r="AA22" s="80">
        <f>SUM(N:N)</f>
        <v>4921</v>
      </c>
      <c r="AB22" s="29"/>
      <c r="AC22" s="29"/>
      <c r="AD22" s="81" t="s">
        <v>141</v>
      </c>
      <c r="AE22" s="84">
        <v>0</v>
      </c>
      <c r="AF22" s="84">
        <v>247</v>
      </c>
      <c r="AG22" s="80">
        <v>53.383000000000003</v>
      </c>
      <c r="AH22" s="29"/>
      <c r="AI22" s="29"/>
      <c r="AJ22" s="29"/>
      <c r="AK22" s="111" t="s">
        <v>214</v>
      </c>
      <c r="AL22" s="112" t="s">
        <v>128</v>
      </c>
      <c r="AM22" s="29"/>
      <c r="AN22" s="154" t="s">
        <v>211</v>
      </c>
      <c r="AO22" s="154">
        <f>SUMIF(E:E,"jan",N:N)</f>
        <v>3065</v>
      </c>
      <c r="AP22" s="84">
        <f>SUMIF(E:E,"jan",O:O)</f>
        <v>35084</v>
      </c>
      <c r="AQ22" s="84">
        <f>SUMIF(E:E,"jan",P:P)</f>
        <v>38149</v>
      </c>
      <c r="AR22" s="13"/>
    </row>
    <row r="23" spans="1:44" ht="15" thickBot="1">
      <c r="A23">
        <v>22</v>
      </c>
      <c r="B23" s="2">
        <v>40544</v>
      </c>
      <c r="C23">
        <v>1</v>
      </c>
      <c r="D23" t="s">
        <v>17</v>
      </c>
      <c r="E23" s="6" t="s">
        <v>18</v>
      </c>
      <c r="F23" s="151">
        <v>0.875</v>
      </c>
      <c r="G23" s="7" t="s">
        <v>36</v>
      </c>
      <c r="H23" s="7" t="s">
        <v>37</v>
      </c>
      <c r="I23" s="7" t="s">
        <v>39</v>
      </c>
      <c r="J23">
        <v>0.4</v>
      </c>
      <c r="K23" s="148">
        <v>0.40910000000000002</v>
      </c>
      <c r="L23">
        <v>0.87</v>
      </c>
      <c r="M23" s="148">
        <v>0.19400000000000001</v>
      </c>
      <c r="N23">
        <v>3</v>
      </c>
      <c r="O23">
        <v>31</v>
      </c>
      <c r="P23">
        <v>34</v>
      </c>
      <c r="Q23" s="3"/>
      <c r="R23" s="3"/>
      <c r="S23" s="72"/>
      <c r="T23" s="29"/>
      <c r="U23" s="86" t="s">
        <v>138</v>
      </c>
      <c r="V23" s="87" t="s">
        <v>139</v>
      </c>
      <c r="W23" s="29"/>
      <c r="X23" s="29"/>
      <c r="Y23" s="29"/>
      <c r="Z23" s="81" t="s">
        <v>147</v>
      </c>
      <c r="AA23" s="80">
        <f>SUM(O:O)</f>
        <v>53383</v>
      </c>
      <c r="AB23" s="29"/>
      <c r="AC23" s="29"/>
      <c r="AD23" s="79" t="s">
        <v>142</v>
      </c>
      <c r="AE23" s="85">
        <v>1</v>
      </c>
      <c r="AF23" s="85">
        <v>249</v>
      </c>
      <c r="AG23" s="78">
        <v>58.304000000000002</v>
      </c>
      <c r="AH23" s="29"/>
      <c r="AI23" s="29"/>
      <c r="AJ23" s="29"/>
      <c r="AK23" s="109" t="s">
        <v>47</v>
      </c>
      <c r="AL23" s="110">
        <f>COUNTIF(G:G,"holiday")</f>
        <v>24</v>
      </c>
      <c r="AM23" s="29"/>
      <c r="AN23" s="155" t="s">
        <v>212</v>
      </c>
      <c r="AO23" s="154">
        <f>SUMIF(E:E,"Feb",N:N)</f>
        <v>1856</v>
      </c>
      <c r="AP23" s="84">
        <f>SUMIF(E:E,"feb",O:O)</f>
        <v>18299</v>
      </c>
      <c r="AQ23" s="84">
        <f>SUMIF(E:E,"feb",P:P)</f>
        <v>20155</v>
      </c>
      <c r="AR23" s="13"/>
    </row>
    <row r="24" spans="1:44" ht="15" thickBot="1">
      <c r="A24">
        <v>23</v>
      </c>
      <c r="B24" s="2">
        <v>40544</v>
      </c>
      <c r="C24">
        <v>1</v>
      </c>
      <c r="D24" t="s">
        <v>17</v>
      </c>
      <c r="E24" s="6" t="s">
        <v>18</v>
      </c>
      <c r="F24" s="151">
        <v>0.91666666666666663</v>
      </c>
      <c r="G24" s="7" t="s">
        <v>36</v>
      </c>
      <c r="H24" s="7" t="s">
        <v>37</v>
      </c>
      <c r="I24" s="7" t="s">
        <v>39</v>
      </c>
      <c r="J24">
        <v>0.4</v>
      </c>
      <c r="K24" s="148">
        <v>0.40910000000000002</v>
      </c>
      <c r="L24">
        <v>0.94</v>
      </c>
      <c r="M24" s="148">
        <v>0.22389999999999999</v>
      </c>
      <c r="N24">
        <v>11</v>
      </c>
      <c r="O24">
        <v>17</v>
      </c>
      <c r="P24">
        <v>28</v>
      </c>
      <c r="Q24" s="3"/>
      <c r="R24" s="3"/>
      <c r="S24" s="72"/>
      <c r="T24" s="29"/>
      <c r="U24" s="81" t="s">
        <v>140</v>
      </c>
      <c r="V24" s="80">
        <f>_xlfn.STDEV.P('[1]bike data'!X:X)</f>
        <v>0.34400403414815367</v>
      </c>
      <c r="W24" s="29"/>
      <c r="X24" s="29"/>
      <c r="Y24" s="29"/>
      <c r="Z24" s="81" t="s">
        <v>146</v>
      </c>
      <c r="AA24" s="80">
        <f>COUNT('[1]bike data'!P:P)</f>
        <v>1000</v>
      </c>
      <c r="AB24" s="29"/>
      <c r="AC24" s="29"/>
      <c r="AD24" s="29"/>
      <c r="AE24" s="29"/>
      <c r="AF24" s="29"/>
      <c r="AG24" s="29"/>
      <c r="AH24" s="29"/>
      <c r="AI24" s="29"/>
      <c r="AJ24" s="29"/>
      <c r="AK24" s="79" t="s">
        <v>206</v>
      </c>
      <c r="AL24" s="149">
        <f>COUNTIF(G:G,"non-holiday")</f>
        <v>976</v>
      </c>
      <c r="AM24" s="29"/>
      <c r="AN24" s="29"/>
      <c r="AQ24" s="29"/>
      <c r="AR24" s="13"/>
    </row>
    <row r="25" spans="1:44">
      <c r="A25">
        <v>24</v>
      </c>
      <c r="B25" s="2">
        <v>40544</v>
      </c>
      <c r="C25">
        <v>1</v>
      </c>
      <c r="D25" t="s">
        <v>17</v>
      </c>
      <c r="E25" s="6" t="s">
        <v>18</v>
      </c>
      <c r="F25" s="151">
        <v>0.95833333333333337</v>
      </c>
      <c r="G25" s="7" t="s">
        <v>36</v>
      </c>
      <c r="H25" s="7" t="s">
        <v>37</v>
      </c>
      <c r="I25" s="7" t="s">
        <v>39</v>
      </c>
      <c r="J25">
        <v>0.46</v>
      </c>
      <c r="K25" s="148">
        <v>0</v>
      </c>
      <c r="L25">
        <v>0.88</v>
      </c>
      <c r="M25" s="148">
        <v>0.29849999999999999</v>
      </c>
      <c r="N25">
        <v>15</v>
      </c>
      <c r="O25">
        <v>24</v>
      </c>
      <c r="P25">
        <v>39</v>
      </c>
      <c r="Q25" s="3"/>
      <c r="R25" s="3"/>
      <c r="S25" s="72"/>
      <c r="T25" s="29"/>
      <c r="U25" s="81" t="s">
        <v>141</v>
      </c>
      <c r="V25" s="80">
        <f>_xlfn.STDEV.S('[1]bike data'!Y:Y)</f>
        <v>26.743671194662515</v>
      </c>
      <c r="W25" s="29"/>
      <c r="X25" s="29"/>
      <c r="Y25" s="29"/>
      <c r="Z25" s="81" t="s">
        <v>145</v>
      </c>
      <c r="AA25" s="80">
        <f>MIN('[1]bike data'!P:P)</f>
        <v>1</v>
      </c>
      <c r="AB25" s="29"/>
      <c r="AC25" s="29"/>
      <c r="AD25" s="29"/>
      <c r="AE25" s="29"/>
      <c r="AF25" s="29"/>
      <c r="AG25" s="29"/>
      <c r="AH25" s="29"/>
      <c r="AI25" s="29"/>
      <c r="AJ25" s="29"/>
      <c r="AK25" s="29"/>
      <c r="AL25" s="29"/>
      <c r="AM25" s="29"/>
      <c r="AN25" s="29"/>
      <c r="AO25" s="29"/>
      <c r="AP25" s="29"/>
      <c r="AQ25" s="29"/>
      <c r="AR25" s="13"/>
    </row>
    <row r="26" spans="1:44">
      <c r="A26">
        <v>25</v>
      </c>
      <c r="B26" s="2">
        <v>40545</v>
      </c>
      <c r="C26">
        <v>1</v>
      </c>
      <c r="D26" t="s">
        <v>17</v>
      </c>
      <c r="E26" s="6" t="s">
        <v>18</v>
      </c>
      <c r="F26" s="151">
        <v>1</v>
      </c>
      <c r="G26" s="7" t="s">
        <v>36</v>
      </c>
      <c r="H26" s="7" t="s">
        <v>40</v>
      </c>
      <c r="I26" s="7" t="s">
        <v>39</v>
      </c>
      <c r="J26">
        <v>0.46</v>
      </c>
      <c r="K26" s="148">
        <v>0.45450000000000002</v>
      </c>
      <c r="L26">
        <v>0.88</v>
      </c>
      <c r="M26" s="148">
        <v>0.29849999999999999</v>
      </c>
      <c r="N26">
        <v>4</v>
      </c>
      <c r="O26">
        <v>13</v>
      </c>
      <c r="P26">
        <v>17</v>
      </c>
      <c r="Q26" s="3"/>
      <c r="R26" s="3"/>
      <c r="S26" s="72"/>
      <c r="T26" s="29"/>
      <c r="U26" s="81" t="s">
        <v>142</v>
      </c>
      <c r="V26" s="80">
        <f>_xlfn.STDEV.S('[1]bike data'!Z:Z)</f>
        <v>29502.899219116305</v>
      </c>
      <c r="W26" s="29"/>
      <c r="X26" s="29"/>
      <c r="Y26" s="29"/>
      <c r="Z26" s="81" t="s">
        <v>144</v>
      </c>
      <c r="AA26" s="80">
        <f>MAX('[1]bike data'!P:P)</f>
        <v>249</v>
      </c>
      <c r="AB26" s="29"/>
      <c r="AC26" s="29"/>
      <c r="AD26" s="29"/>
      <c r="AE26" s="29"/>
      <c r="AF26" s="29"/>
      <c r="AG26" s="29"/>
      <c r="AH26" s="29"/>
      <c r="AI26" s="29"/>
      <c r="AJ26" s="29"/>
      <c r="AK26" s="29"/>
      <c r="AL26" s="29"/>
      <c r="AM26" s="29"/>
      <c r="AN26" s="29"/>
      <c r="AO26" s="29"/>
      <c r="AP26" s="29"/>
      <c r="AQ26" s="29"/>
      <c r="AR26" s="13"/>
    </row>
    <row r="27" spans="1:44" ht="15" thickBot="1">
      <c r="A27">
        <v>26</v>
      </c>
      <c r="B27" s="2">
        <v>40545</v>
      </c>
      <c r="C27">
        <v>1</v>
      </c>
      <c r="D27" t="s">
        <v>17</v>
      </c>
      <c r="E27" s="6" t="s">
        <v>18</v>
      </c>
      <c r="F27" s="151">
        <v>1.041666666666667</v>
      </c>
      <c r="G27" s="7" t="s">
        <v>36</v>
      </c>
      <c r="H27" s="7" t="s">
        <v>40</v>
      </c>
      <c r="I27" s="7" t="s">
        <v>39</v>
      </c>
      <c r="J27">
        <v>0.44</v>
      </c>
      <c r="K27" s="148">
        <v>0.43940000000000001</v>
      </c>
      <c r="L27">
        <v>0.94</v>
      </c>
      <c r="M27" s="148">
        <v>0.25369999999999998</v>
      </c>
      <c r="N27">
        <v>1</v>
      </c>
      <c r="O27">
        <v>16</v>
      </c>
      <c r="P27">
        <v>17</v>
      </c>
      <c r="Q27" s="3"/>
      <c r="R27" s="3"/>
      <c r="S27" s="72"/>
      <c r="T27" s="29"/>
      <c r="U27" s="73"/>
      <c r="V27" s="75"/>
      <c r="W27" s="29"/>
      <c r="X27" s="29"/>
      <c r="Y27" s="29"/>
      <c r="Z27" s="79" t="s">
        <v>143</v>
      </c>
      <c r="AA27" s="78">
        <f>AVERAGE('[1]bike data'!P:P)</f>
        <v>58.304000000000002</v>
      </c>
      <c r="AB27" s="29"/>
      <c r="AC27" s="29"/>
      <c r="AD27" s="29"/>
      <c r="AE27" s="29"/>
      <c r="AF27" s="29"/>
      <c r="AG27" s="29"/>
      <c r="AH27" s="29"/>
      <c r="AI27" s="29"/>
      <c r="AJ27" s="29"/>
      <c r="AK27" s="29"/>
      <c r="AL27" s="29"/>
      <c r="AM27" s="29"/>
      <c r="AN27" s="29"/>
      <c r="AO27" s="29"/>
      <c r="AP27" s="29"/>
      <c r="AQ27" s="29"/>
      <c r="AR27" s="13"/>
    </row>
    <row r="28" spans="1:44">
      <c r="A28">
        <v>27</v>
      </c>
      <c r="B28" s="2">
        <v>40545</v>
      </c>
      <c r="C28">
        <v>1</v>
      </c>
      <c r="D28" t="s">
        <v>17</v>
      </c>
      <c r="E28" s="6" t="s">
        <v>18</v>
      </c>
      <c r="F28" s="151">
        <v>1.083333333333333</v>
      </c>
      <c r="G28" s="7" t="s">
        <v>36</v>
      </c>
      <c r="H28" s="7" t="s">
        <v>40</v>
      </c>
      <c r="I28" s="7" t="s">
        <v>39</v>
      </c>
      <c r="J28">
        <v>0.42</v>
      </c>
      <c r="K28" s="148">
        <v>0.42420000000000002</v>
      </c>
      <c r="L28">
        <v>1</v>
      </c>
      <c r="M28" s="148">
        <v>0.28360000000000002</v>
      </c>
      <c r="N28">
        <v>1</v>
      </c>
      <c r="O28">
        <v>8</v>
      </c>
      <c r="P28">
        <v>9</v>
      </c>
      <c r="Q28" s="3"/>
      <c r="R28" s="3"/>
      <c r="S28" s="72"/>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13"/>
    </row>
    <row r="29" spans="1:44">
      <c r="A29">
        <v>28</v>
      </c>
      <c r="B29" s="2">
        <v>40545</v>
      </c>
      <c r="C29">
        <v>1</v>
      </c>
      <c r="D29" t="s">
        <v>17</v>
      </c>
      <c r="E29" s="6" t="s">
        <v>18</v>
      </c>
      <c r="F29" s="151">
        <v>1.125</v>
      </c>
      <c r="G29" s="7" t="s">
        <v>36</v>
      </c>
      <c r="H29" s="7" t="s">
        <v>40</v>
      </c>
      <c r="I29" s="7" t="s">
        <v>39</v>
      </c>
      <c r="J29">
        <v>0.46</v>
      </c>
      <c r="K29" s="148">
        <v>0.45450000000000002</v>
      </c>
      <c r="L29">
        <v>0.94</v>
      </c>
      <c r="M29" s="148">
        <v>0.19400000000000001</v>
      </c>
      <c r="N29">
        <v>2</v>
      </c>
      <c r="O29">
        <v>4</v>
      </c>
      <c r="P29">
        <v>6</v>
      </c>
      <c r="Q29" s="3"/>
      <c r="R29" s="3"/>
      <c r="S29" s="72"/>
      <c r="T29" s="29"/>
      <c r="U29" s="29" t="s">
        <v>164</v>
      </c>
      <c r="V29" s="29"/>
      <c r="W29" s="29"/>
      <c r="X29" s="29"/>
      <c r="Y29" s="29"/>
      <c r="Z29" s="29"/>
      <c r="AA29" s="29"/>
      <c r="AB29" s="29"/>
      <c r="AC29" s="29"/>
      <c r="AD29" s="29"/>
      <c r="AE29" s="29"/>
      <c r="AF29" s="29"/>
      <c r="AG29" s="29"/>
      <c r="AH29" s="29"/>
      <c r="AI29" s="29"/>
      <c r="AJ29" s="29"/>
      <c r="AK29" s="29"/>
      <c r="AL29" s="29"/>
      <c r="AM29" s="29"/>
      <c r="AN29" s="29"/>
      <c r="AO29" s="29"/>
      <c r="AP29" s="29"/>
      <c r="AQ29" s="29"/>
      <c r="AR29" s="13"/>
    </row>
    <row r="30" spans="1:44">
      <c r="A30">
        <v>29</v>
      </c>
      <c r="B30" s="2">
        <v>40545</v>
      </c>
      <c r="C30">
        <v>1</v>
      </c>
      <c r="D30" t="s">
        <v>17</v>
      </c>
      <c r="E30" s="6" t="s">
        <v>18</v>
      </c>
      <c r="F30" s="151">
        <v>1.166666666666667</v>
      </c>
      <c r="G30" s="7" t="s">
        <v>36</v>
      </c>
      <c r="H30" s="7" t="s">
        <v>40</v>
      </c>
      <c r="I30" s="7" t="s">
        <v>39</v>
      </c>
      <c r="J30">
        <v>0.46</v>
      </c>
      <c r="K30" s="148">
        <v>0</v>
      </c>
      <c r="L30">
        <v>0.94</v>
      </c>
      <c r="M30" s="148">
        <v>0.19400000000000001</v>
      </c>
      <c r="N30">
        <v>2</v>
      </c>
      <c r="O30">
        <v>1</v>
      </c>
      <c r="P30">
        <v>3</v>
      </c>
      <c r="Q30" s="3"/>
      <c r="R30" s="3"/>
      <c r="S30" s="72"/>
      <c r="T30" s="29"/>
      <c r="U30" s="29" t="s">
        <v>165</v>
      </c>
      <c r="V30" s="29"/>
      <c r="W30" s="29"/>
      <c r="X30" s="29"/>
      <c r="Y30" s="29"/>
      <c r="Z30" s="29"/>
      <c r="AA30" s="29"/>
      <c r="AB30" s="29"/>
      <c r="AC30" s="29"/>
      <c r="AD30" s="29"/>
      <c r="AE30" s="29"/>
      <c r="AF30" s="29"/>
      <c r="AG30" s="29"/>
      <c r="AH30" s="29"/>
      <c r="AI30" s="29"/>
      <c r="AJ30" s="29"/>
      <c r="AK30" s="29"/>
      <c r="AL30" s="29"/>
      <c r="AM30" s="29"/>
      <c r="AN30" s="29"/>
      <c r="AO30" s="29"/>
      <c r="AP30" s="29"/>
      <c r="AQ30" s="29"/>
      <c r="AR30" s="13"/>
    </row>
    <row r="31" spans="1:44">
      <c r="A31">
        <v>30</v>
      </c>
      <c r="B31" s="2">
        <v>40545</v>
      </c>
      <c r="C31">
        <v>1</v>
      </c>
      <c r="D31" t="s">
        <v>17</v>
      </c>
      <c r="E31" s="6" t="s">
        <v>18</v>
      </c>
      <c r="F31" s="151">
        <v>1.208333333333333</v>
      </c>
      <c r="G31" s="7" t="s">
        <v>36</v>
      </c>
      <c r="H31" s="7" t="s">
        <v>40</v>
      </c>
      <c r="I31" s="7" t="s">
        <v>45</v>
      </c>
      <c r="J31">
        <v>0.42</v>
      </c>
      <c r="K31" s="148">
        <v>0.42420000000000002</v>
      </c>
      <c r="L31">
        <v>0.77</v>
      </c>
      <c r="M31" s="148">
        <v>0.29849999999999999</v>
      </c>
      <c r="N31">
        <v>0</v>
      </c>
      <c r="O31">
        <v>2</v>
      </c>
      <c r="P31">
        <v>2</v>
      </c>
      <c r="Q31" s="3"/>
      <c r="R31" s="3"/>
      <c r="S31" s="72"/>
      <c r="T31" s="29"/>
      <c r="U31" s="29" t="s">
        <v>166</v>
      </c>
      <c r="V31" s="29"/>
      <c r="W31" s="29"/>
      <c r="X31" s="29"/>
      <c r="Y31" s="29"/>
      <c r="Z31" s="29"/>
      <c r="AA31" s="29"/>
      <c r="AB31" s="29"/>
      <c r="AC31" s="29"/>
      <c r="AD31" s="29"/>
      <c r="AE31" s="29"/>
      <c r="AF31" s="29"/>
      <c r="AG31" s="29"/>
      <c r="AH31" s="29"/>
      <c r="AI31" s="29"/>
      <c r="AJ31" s="29"/>
      <c r="AK31" s="29"/>
      <c r="AL31" s="29"/>
      <c r="AM31" s="29"/>
      <c r="AN31" s="29"/>
      <c r="AO31" s="29"/>
      <c r="AP31" s="29"/>
      <c r="AQ31" s="29"/>
      <c r="AR31" s="13"/>
    </row>
    <row r="32" spans="1:44">
      <c r="A32">
        <v>31</v>
      </c>
      <c r="B32" s="2">
        <v>40545</v>
      </c>
      <c r="C32">
        <v>1</v>
      </c>
      <c r="D32" t="s">
        <v>17</v>
      </c>
      <c r="E32" s="6" t="s">
        <v>18</v>
      </c>
      <c r="F32" s="151">
        <v>1.25</v>
      </c>
      <c r="G32" s="7" t="s">
        <v>36</v>
      </c>
      <c r="H32" s="7" t="s">
        <v>40</v>
      </c>
      <c r="I32" s="7" t="s">
        <v>39</v>
      </c>
      <c r="J32">
        <v>0.4</v>
      </c>
      <c r="K32" s="148">
        <v>0.40910000000000002</v>
      </c>
      <c r="L32">
        <v>0.76</v>
      </c>
      <c r="M32" s="148">
        <v>0.19400000000000001</v>
      </c>
      <c r="N32">
        <v>0</v>
      </c>
      <c r="O32">
        <v>1</v>
      </c>
      <c r="P32">
        <v>1</v>
      </c>
      <c r="Q32" s="3"/>
      <c r="R32" s="3"/>
      <c r="S32" s="72"/>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13"/>
    </row>
    <row r="33" spans="1:44">
      <c r="A33">
        <v>32</v>
      </c>
      <c r="B33" s="2">
        <v>40545</v>
      </c>
      <c r="C33">
        <v>1</v>
      </c>
      <c r="D33" t="s">
        <v>17</v>
      </c>
      <c r="E33" s="6" t="s">
        <v>18</v>
      </c>
      <c r="F33" s="151">
        <v>1.291666666666667</v>
      </c>
      <c r="G33" s="7" t="s">
        <v>36</v>
      </c>
      <c r="H33" s="7" t="s">
        <v>40</v>
      </c>
      <c r="I33" s="7" t="s">
        <v>45</v>
      </c>
      <c r="J33">
        <v>0.4</v>
      </c>
      <c r="K33" s="148">
        <v>0.40910000000000002</v>
      </c>
      <c r="L33">
        <v>0.71</v>
      </c>
      <c r="M33" s="148">
        <v>0.22389999999999999</v>
      </c>
      <c r="N33">
        <v>0</v>
      </c>
      <c r="O33">
        <v>8</v>
      </c>
      <c r="P33">
        <v>8</v>
      </c>
      <c r="Q33" s="3"/>
      <c r="R33" s="3"/>
      <c r="S33" s="72"/>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13"/>
    </row>
    <row r="34" spans="1:44">
      <c r="A34">
        <v>33</v>
      </c>
      <c r="B34" s="2">
        <v>40545</v>
      </c>
      <c r="C34">
        <v>1</v>
      </c>
      <c r="D34" t="s">
        <v>17</v>
      </c>
      <c r="E34" s="6" t="s">
        <v>18</v>
      </c>
      <c r="F34" s="151">
        <v>1.333333333333333</v>
      </c>
      <c r="G34" s="7" t="s">
        <v>36</v>
      </c>
      <c r="H34" s="7" t="s">
        <v>40</v>
      </c>
      <c r="I34" s="7" t="s">
        <v>39</v>
      </c>
      <c r="J34">
        <v>0.38</v>
      </c>
      <c r="K34" s="148">
        <v>0</v>
      </c>
      <c r="L34">
        <v>0.76</v>
      </c>
      <c r="M34" s="148">
        <v>0.22389999999999999</v>
      </c>
      <c r="N34">
        <v>1</v>
      </c>
      <c r="O34">
        <v>19</v>
      </c>
      <c r="P34">
        <v>20</v>
      </c>
      <c r="S34" s="72"/>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13"/>
    </row>
    <row r="35" spans="1:44">
      <c r="A35">
        <v>34</v>
      </c>
      <c r="B35" s="2">
        <v>40545</v>
      </c>
      <c r="C35">
        <v>1</v>
      </c>
      <c r="D35" t="s">
        <v>17</v>
      </c>
      <c r="E35" s="6" t="s">
        <v>18</v>
      </c>
      <c r="F35" s="151">
        <v>1.375</v>
      </c>
      <c r="G35" s="7" t="s">
        <v>36</v>
      </c>
      <c r="H35" s="7" t="s">
        <v>40</v>
      </c>
      <c r="I35" s="7" t="s">
        <v>39</v>
      </c>
      <c r="J35">
        <v>0.36</v>
      </c>
      <c r="K35" s="148">
        <v>0.34849999999999998</v>
      </c>
      <c r="L35">
        <v>0.81</v>
      </c>
      <c r="M35" s="148">
        <v>0.22389999999999999</v>
      </c>
      <c r="N35">
        <v>7</v>
      </c>
      <c r="O35">
        <v>46</v>
      </c>
      <c r="P35">
        <v>53</v>
      </c>
      <c r="S35" s="72"/>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13"/>
    </row>
    <row r="36" spans="1:44" ht="15" thickBot="1">
      <c r="A36">
        <v>35</v>
      </c>
      <c r="B36" s="2">
        <v>40545</v>
      </c>
      <c r="C36">
        <v>1</v>
      </c>
      <c r="D36" t="s">
        <v>17</v>
      </c>
      <c r="E36" s="6" t="s">
        <v>18</v>
      </c>
      <c r="F36" s="151">
        <v>1.416666666666667</v>
      </c>
      <c r="G36" s="7" t="s">
        <v>36</v>
      </c>
      <c r="H36" s="7" t="s">
        <v>40</v>
      </c>
      <c r="I36" s="7" t="s">
        <v>39</v>
      </c>
      <c r="J36">
        <v>0.36</v>
      </c>
      <c r="K36" s="148">
        <v>0.33329999999999999</v>
      </c>
      <c r="L36">
        <v>0.71</v>
      </c>
      <c r="M36" s="148">
        <v>0.25369999999999998</v>
      </c>
      <c r="N36">
        <v>16</v>
      </c>
      <c r="O36">
        <v>54</v>
      </c>
      <c r="P36">
        <v>70</v>
      </c>
      <c r="S36" s="73"/>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5"/>
    </row>
    <row r="37" spans="1:44" ht="15">
      <c r="A37">
        <v>36</v>
      </c>
      <c r="B37" s="2">
        <v>40545</v>
      </c>
      <c r="C37">
        <v>1</v>
      </c>
      <c r="D37" t="s">
        <v>17</v>
      </c>
      <c r="E37" s="6" t="s">
        <v>18</v>
      </c>
      <c r="F37" s="151">
        <v>1.458333333333333</v>
      </c>
      <c r="G37" s="7" t="s">
        <v>36</v>
      </c>
      <c r="H37" s="7" t="s">
        <v>40</v>
      </c>
      <c r="I37" s="7" t="s">
        <v>39</v>
      </c>
      <c r="J37">
        <v>0.36</v>
      </c>
      <c r="K37" s="148">
        <v>0.33329999999999999</v>
      </c>
      <c r="L37">
        <v>0.66</v>
      </c>
      <c r="M37" s="148">
        <v>0.29849999999999999</v>
      </c>
      <c r="N37">
        <v>20</v>
      </c>
      <c r="O37">
        <v>73</v>
      </c>
      <c r="P37">
        <v>93</v>
      </c>
    </row>
    <row r="38" spans="1:44" ht="29.4" thickBot="1">
      <c r="A38">
        <v>37</v>
      </c>
      <c r="B38" s="2">
        <v>40545</v>
      </c>
      <c r="C38">
        <v>1</v>
      </c>
      <c r="D38" t="s">
        <v>17</v>
      </c>
      <c r="E38" s="6" t="s">
        <v>18</v>
      </c>
      <c r="F38" s="151">
        <v>1.5</v>
      </c>
      <c r="G38" s="7" t="s">
        <v>36</v>
      </c>
      <c r="H38" s="7" t="s">
        <v>40</v>
      </c>
      <c r="I38" s="7" t="s">
        <v>39</v>
      </c>
      <c r="J38">
        <v>0.36</v>
      </c>
      <c r="K38" s="148">
        <v>0.34849999999999998</v>
      </c>
      <c r="L38">
        <v>0.66</v>
      </c>
      <c r="M38" s="148">
        <v>0.1343</v>
      </c>
      <c r="N38">
        <v>11</v>
      </c>
      <c r="O38">
        <v>64</v>
      </c>
      <c r="P38">
        <v>75</v>
      </c>
      <c r="S38" s="9"/>
      <c r="T38" s="10"/>
      <c r="U38" s="10"/>
      <c r="V38" s="10"/>
      <c r="W38" s="159" t="s">
        <v>154</v>
      </c>
      <c r="X38" s="160"/>
      <c r="Y38" s="160"/>
      <c r="Z38" s="160"/>
      <c r="AA38" s="160"/>
      <c r="AB38" s="160"/>
      <c r="AC38" s="161"/>
      <c r="AD38" s="10"/>
      <c r="AE38" s="10"/>
      <c r="AF38" s="10"/>
      <c r="AG38" s="10"/>
      <c r="AH38" s="10"/>
      <c r="AI38" s="10"/>
      <c r="AJ38" s="10"/>
      <c r="AK38" s="10"/>
      <c r="AL38" s="10"/>
      <c r="AM38" s="10"/>
      <c r="AN38" s="10"/>
      <c r="AO38" s="10"/>
      <c r="AP38" s="10"/>
      <c r="AQ38" s="10"/>
      <c r="AR38" s="11"/>
    </row>
    <row r="39" spans="1:44">
      <c r="A39">
        <v>38</v>
      </c>
      <c r="B39" s="2">
        <v>40545</v>
      </c>
      <c r="C39">
        <v>1</v>
      </c>
      <c r="D39" t="s">
        <v>17</v>
      </c>
      <c r="E39" s="6" t="s">
        <v>18</v>
      </c>
      <c r="F39" s="151">
        <v>1.541666666666667</v>
      </c>
      <c r="G39" s="7" t="s">
        <v>36</v>
      </c>
      <c r="H39" s="7" t="s">
        <v>40</v>
      </c>
      <c r="I39" s="7" t="s">
        <v>45</v>
      </c>
      <c r="J39">
        <v>0.36</v>
      </c>
      <c r="K39" s="148">
        <v>0</v>
      </c>
      <c r="L39">
        <v>0.76</v>
      </c>
      <c r="M39" s="148">
        <v>0.19400000000000001</v>
      </c>
      <c r="N39">
        <v>4</v>
      </c>
      <c r="O39">
        <v>55</v>
      </c>
      <c r="P39">
        <v>59</v>
      </c>
      <c r="S39" s="72"/>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13"/>
    </row>
    <row r="40" spans="1:44">
      <c r="A40">
        <v>39</v>
      </c>
      <c r="B40" s="2">
        <v>40545</v>
      </c>
      <c r="C40">
        <v>1</v>
      </c>
      <c r="D40" t="s">
        <v>17</v>
      </c>
      <c r="E40" s="6" t="s">
        <v>18</v>
      </c>
      <c r="F40" s="151">
        <v>1.583333333333333</v>
      </c>
      <c r="G40" s="7" t="s">
        <v>36</v>
      </c>
      <c r="H40" s="7" t="s">
        <v>40</v>
      </c>
      <c r="I40" s="7" t="s">
        <v>45</v>
      </c>
      <c r="J40">
        <v>0.34</v>
      </c>
      <c r="K40" s="148">
        <v>0.33329999999999999</v>
      </c>
      <c r="L40">
        <v>0.81</v>
      </c>
      <c r="M40" s="148">
        <v>0.16420000000000001</v>
      </c>
      <c r="N40">
        <v>19</v>
      </c>
      <c r="O40">
        <v>55</v>
      </c>
      <c r="P40">
        <v>74</v>
      </c>
      <c r="S40" s="72"/>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13"/>
    </row>
    <row r="41" spans="1:44">
      <c r="A41">
        <v>40</v>
      </c>
      <c r="B41" s="2">
        <v>40545</v>
      </c>
      <c r="C41">
        <v>1</v>
      </c>
      <c r="D41" t="s">
        <v>17</v>
      </c>
      <c r="E41" s="6" t="s">
        <v>18</v>
      </c>
      <c r="F41" s="151">
        <v>1.625</v>
      </c>
      <c r="G41" s="7" t="s">
        <v>36</v>
      </c>
      <c r="H41" s="7" t="s">
        <v>40</v>
      </c>
      <c r="I41" s="7" t="s">
        <v>45</v>
      </c>
      <c r="J41">
        <v>0.34</v>
      </c>
      <c r="K41" s="148">
        <v>0.33329999999999999</v>
      </c>
      <c r="L41">
        <v>0.71</v>
      </c>
      <c r="M41" s="148">
        <v>0.16420000000000001</v>
      </c>
      <c r="N41">
        <v>9</v>
      </c>
      <c r="O41">
        <v>67</v>
      </c>
      <c r="P41">
        <v>76</v>
      </c>
      <c r="S41" s="72"/>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13"/>
    </row>
    <row r="42" spans="1:44">
      <c r="A42">
        <v>41</v>
      </c>
      <c r="B42" s="2">
        <v>40545</v>
      </c>
      <c r="C42">
        <v>1</v>
      </c>
      <c r="D42" t="s">
        <v>17</v>
      </c>
      <c r="E42" s="6" t="s">
        <v>18</v>
      </c>
      <c r="F42" s="151">
        <v>1.666666666666667</v>
      </c>
      <c r="G42" s="7" t="s">
        <v>36</v>
      </c>
      <c r="H42" s="7" t="s">
        <v>40</v>
      </c>
      <c r="I42" s="7" t="s">
        <v>38</v>
      </c>
      <c r="J42">
        <v>0.34</v>
      </c>
      <c r="K42" s="148">
        <v>0.33329999999999999</v>
      </c>
      <c r="L42">
        <v>0.56999999999999995</v>
      </c>
      <c r="M42" s="148">
        <v>0.19400000000000001</v>
      </c>
      <c r="N42">
        <v>7</v>
      </c>
      <c r="O42">
        <v>58</v>
      </c>
      <c r="P42">
        <v>65</v>
      </c>
      <c r="S42" s="72"/>
      <c r="T42" s="29"/>
      <c r="U42" s="92" t="s">
        <v>155</v>
      </c>
      <c r="V42" s="29"/>
      <c r="W42" s="29"/>
      <c r="X42" s="29"/>
      <c r="Y42" s="29"/>
      <c r="Z42" s="92" t="s">
        <v>156</v>
      </c>
      <c r="AA42" s="29"/>
      <c r="AB42" s="29"/>
      <c r="AC42" s="29"/>
      <c r="AD42" s="29"/>
      <c r="AE42" s="29"/>
      <c r="AF42" s="92" t="s">
        <v>157</v>
      </c>
      <c r="AG42" s="29"/>
      <c r="AH42" s="29"/>
      <c r="AI42" s="29"/>
      <c r="AJ42" s="29"/>
      <c r="AK42" s="29"/>
      <c r="AL42" s="29"/>
      <c r="AM42" s="182" t="s">
        <v>158</v>
      </c>
      <c r="AN42" s="182"/>
      <c r="AO42" s="29"/>
      <c r="AP42" s="29"/>
      <c r="AQ42" s="29"/>
      <c r="AR42" s="13"/>
    </row>
    <row r="43" spans="1:44" ht="15" thickBot="1">
      <c r="A43">
        <v>42</v>
      </c>
      <c r="B43" s="2">
        <v>40545</v>
      </c>
      <c r="C43">
        <v>1</v>
      </c>
      <c r="D43" t="s">
        <v>17</v>
      </c>
      <c r="E43" s="6" t="s">
        <v>18</v>
      </c>
      <c r="F43" s="151">
        <v>1.708333333333333</v>
      </c>
      <c r="G43" s="7" t="s">
        <v>36</v>
      </c>
      <c r="H43" s="7" t="s">
        <v>40</v>
      </c>
      <c r="I43" s="7" t="s">
        <v>39</v>
      </c>
      <c r="J43">
        <v>0.36</v>
      </c>
      <c r="K43" s="148">
        <v>0.33329999999999999</v>
      </c>
      <c r="L43">
        <v>0.46</v>
      </c>
      <c r="M43" s="148">
        <v>0.32840000000000003</v>
      </c>
      <c r="N43">
        <v>10</v>
      </c>
      <c r="O43">
        <v>43</v>
      </c>
      <c r="P43">
        <v>53</v>
      </c>
      <c r="S43" s="72"/>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13"/>
    </row>
    <row r="44" spans="1:44" ht="15.6" thickBot="1">
      <c r="A44">
        <v>43</v>
      </c>
      <c r="B44" s="2">
        <v>40545</v>
      </c>
      <c r="C44">
        <v>1</v>
      </c>
      <c r="D44" t="s">
        <v>17</v>
      </c>
      <c r="E44" s="6" t="s">
        <v>18</v>
      </c>
      <c r="F44" s="151">
        <v>1.75</v>
      </c>
      <c r="G44" s="7" t="s">
        <v>36</v>
      </c>
      <c r="H44" s="7" t="s">
        <v>40</v>
      </c>
      <c r="I44" s="7" t="s">
        <v>38</v>
      </c>
      <c r="J44">
        <v>0.32</v>
      </c>
      <c r="K44" s="148">
        <v>0.28789999999999999</v>
      </c>
      <c r="L44">
        <v>0.42</v>
      </c>
      <c r="M44" s="148">
        <v>0.44779999999999998</v>
      </c>
      <c r="N44">
        <v>1</v>
      </c>
      <c r="O44">
        <v>29</v>
      </c>
      <c r="P44">
        <v>30</v>
      </c>
      <c r="S44" s="72"/>
      <c r="T44" s="29"/>
      <c r="U44" s="29"/>
      <c r="V44" s="29"/>
      <c r="W44" s="29"/>
      <c r="X44" s="29"/>
      <c r="Y44" s="168" t="s">
        <v>120</v>
      </c>
      <c r="Z44" s="168"/>
      <c r="AA44" s="168"/>
      <c r="AB44" s="29"/>
      <c r="AC44" s="29"/>
      <c r="AD44" s="29"/>
      <c r="AE44" s="169" t="s">
        <v>121</v>
      </c>
      <c r="AF44" s="169"/>
      <c r="AG44" s="169"/>
      <c r="AH44" s="29"/>
      <c r="AI44" s="29"/>
      <c r="AJ44" s="29"/>
      <c r="AK44" s="29"/>
      <c r="AL44" s="163" t="s">
        <v>109</v>
      </c>
      <c r="AM44" s="164"/>
      <c r="AN44" s="164"/>
      <c r="AO44" s="165"/>
      <c r="AP44" s="29"/>
      <c r="AQ44" s="29"/>
      <c r="AR44" s="13"/>
    </row>
    <row r="45" spans="1:44" ht="29.4" thickBot="1">
      <c r="A45">
        <v>44</v>
      </c>
      <c r="B45" s="2">
        <v>40545</v>
      </c>
      <c r="C45">
        <v>1</v>
      </c>
      <c r="D45" t="s">
        <v>17</v>
      </c>
      <c r="E45" s="6" t="s">
        <v>18</v>
      </c>
      <c r="F45" s="151">
        <v>1.791666666666667</v>
      </c>
      <c r="G45" s="7" t="s">
        <v>36</v>
      </c>
      <c r="H45" s="7" t="s">
        <v>40</v>
      </c>
      <c r="I45" s="7" t="s">
        <v>38</v>
      </c>
      <c r="J45">
        <v>0.3</v>
      </c>
      <c r="K45" s="148">
        <v>0</v>
      </c>
      <c r="L45">
        <v>0.39</v>
      </c>
      <c r="M45" s="148">
        <v>0.35820000000000002</v>
      </c>
      <c r="N45">
        <v>5</v>
      </c>
      <c r="O45">
        <v>17</v>
      </c>
      <c r="P45">
        <v>22</v>
      </c>
      <c r="S45" s="72"/>
      <c r="T45" s="176" t="s">
        <v>115</v>
      </c>
      <c r="U45" s="177"/>
      <c r="V45" s="178"/>
      <c r="W45" s="29"/>
      <c r="X45" s="29"/>
      <c r="Y45" s="93" t="s">
        <v>58</v>
      </c>
      <c r="Z45" s="93" t="s">
        <v>53</v>
      </c>
      <c r="AA45" s="93" t="s">
        <v>52</v>
      </c>
      <c r="AB45" s="29"/>
      <c r="AC45" s="29"/>
      <c r="AD45" s="29"/>
      <c r="AE45" s="179" t="s">
        <v>114</v>
      </c>
      <c r="AF45" s="180"/>
      <c r="AG45" s="181"/>
      <c r="AH45" s="29"/>
      <c r="AI45" s="29"/>
      <c r="AJ45" s="29"/>
      <c r="AK45" s="29"/>
      <c r="AL45" s="101" t="s">
        <v>110</v>
      </c>
      <c r="AM45" s="43" t="s">
        <v>111</v>
      </c>
      <c r="AN45" s="43" t="s">
        <v>112</v>
      </c>
      <c r="AO45" s="102" t="s">
        <v>113</v>
      </c>
      <c r="AP45" s="29"/>
      <c r="AQ45" s="29"/>
      <c r="AR45" s="13"/>
    </row>
    <row r="46" spans="1:44">
      <c r="A46">
        <v>45</v>
      </c>
      <c r="B46" s="2">
        <v>40545</v>
      </c>
      <c r="C46">
        <v>1</v>
      </c>
      <c r="D46" t="s">
        <v>17</v>
      </c>
      <c r="E46" s="6" t="s">
        <v>18</v>
      </c>
      <c r="F46" s="151">
        <v>1.833333333333333</v>
      </c>
      <c r="G46" s="7" t="s">
        <v>36</v>
      </c>
      <c r="H46" s="7" t="s">
        <v>40</v>
      </c>
      <c r="I46" s="7" t="s">
        <v>38</v>
      </c>
      <c r="J46">
        <v>0.26</v>
      </c>
      <c r="K46" s="148">
        <v>0.2273</v>
      </c>
      <c r="L46">
        <v>0.44</v>
      </c>
      <c r="M46" s="148">
        <v>0.32840000000000003</v>
      </c>
      <c r="N46">
        <v>11</v>
      </c>
      <c r="O46">
        <v>20</v>
      </c>
      <c r="P46">
        <v>31</v>
      </c>
      <c r="S46" s="72"/>
      <c r="T46" s="56" t="s">
        <v>116</v>
      </c>
      <c r="U46" s="57" t="s">
        <v>113</v>
      </c>
      <c r="V46" s="58" t="s">
        <v>117</v>
      </c>
      <c r="W46" s="29"/>
      <c r="X46" s="29"/>
      <c r="Y46" s="94" t="s">
        <v>38</v>
      </c>
      <c r="Z46" s="48">
        <v>34162</v>
      </c>
      <c r="AA46" s="48">
        <v>3211</v>
      </c>
      <c r="AB46" s="29"/>
      <c r="AC46" s="29"/>
      <c r="AD46" s="29"/>
      <c r="AE46" s="44" t="s">
        <v>51</v>
      </c>
      <c r="AF46" s="45" t="s">
        <v>18</v>
      </c>
      <c r="AG46" s="46" t="s">
        <v>19</v>
      </c>
      <c r="AH46" s="29"/>
      <c r="AI46" s="29"/>
      <c r="AJ46" s="29"/>
      <c r="AK46" s="29"/>
      <c r="AL46" s="103">
        <v>0</v>
      </c>
      <c r="AM46" s="99">
        <v>245</v>
      </c>
      <c r="AN46" s="100">
        <v>1966</v>
      </c>
      <c r="AO46" s="104">
        <v>2211</v>
      </c>
      <c r="AP46" s="29"/>
      <c r="AQ46" s="29"/>
      <c r="AR46" s="13"/>
    </row>
    <row r="47" spans="1:44">
      <c r="A47">
        <v>46</v>
      </c>
      <c r="B47" s="2">
        <v>40545</v>
      </c>
      <c r="C47">
        <v>1</v>
      </c>
      <c r="D47" t="s">
        <v>17</v>
      </c>
      <c r="E47" s="6" t="s">
        <v>18</v>
      </c>
      <c r="F47" s="151">
        <v>1.875</v>
      </c>
      <c r="G47" s="7" t="s">
        <v>36</v>
      </c>
      <c r="H47" s="7" t="s">
        <v>40</v>
      </c>
      <c r="I47" s="7" t="s">
        <v>38</v>
      </c>
      <c r="J47">
        <v>0.24</v>
      </c>
      <c r="K47" s="148">
        <v>0.21210000000000001</v>
      </c>
      <c r="L47">
        <v>0.44</v>
      </c>
      <c r="M47" s="148">
        <v>0.29849999999999999</v>
      </c>
      <c r="N47">
        <v>0</v>
      </c>
      <c r="O47">
        <v>9</v>
      </c>
      <c r="P47">
        <v>9</v>
      </c>
      <c r="S47" s="72"/>
      <c r="T47" s="65" t="s">
        <v>118</v>
      </c>
      <c r="U47" s="59">
        <f>SUM('[2]bike data'!N5:N1004)</f>
        <v>4921</v>
      </c>
      <c r="V47" s="60">
        <f>U47/SUM('[2]bike data'!P5:P1004)</f>
        <v>8.4402442371020861E-2</v>
      </c>
      <c r="W47" s="29"/>
      <c r="X47" s="29"/>
      <c r="Y47" s="94" t="s">
        <v>45</v>
      </c>
      <c r="Z47" s="48">
        <v>2618</v>
      </c>
      <c r="AA47" s="48">
        <v>171</v>
      </c>
      <c r="AB47" s="29"/>
      <c r="AC47" s="29"/>
      <c r="AD47" s="29"/>
      <c r="AE47" s="47" t="s">
        <v>40</v>
      </c>
      <c r="AF47" s="48">
        <v>4909</v>
      </c>
      <c r="AG47" s="49">
        <v>3212</v>
      </c>
      <c r="AH47" s="29"/>
      <c r="AI47" s="29"/>
      <c r="AJ47" s="29"/>
      <c r="AK47" s="29"/>
      <c r="AL47" s="103">
        <v>4.1666666666666699E-2</v>
      </c>
      <c r="AM47" s="99">
        <v>298</v>
      </c>
      <c r="AN47" s="100">
        <v>2376</v>
      </c>
      <c r="AO47" s="104">
        <v>2674</v>
      </c>
      <c r="AP47" s="29"/>
      <c r="AQ47" s="29"/>
      <c r="AR47" s="13"/>
    </row>
    <row r="48" spans="1:44">
      <c r="A48">
        <v>47</v>
      </c>
      <c r="B48" s="2">
        <v>40545</v>
      </c>
      <c r="C48">
        <v>1</v>
      </c>
      <c r="D48" t="s">
        <v>17</v>
      </c>
      <c r="E48" s="6" t="s">
        <v>18</v>
      </c>
      <c r="F48" s="151">
        <v>1.916666666666667</v>
      </c>
      <c r="G48" s="7" t="s">
        <v>36</v>
      </c>
      <c r="H48" s="7" t="s">
        <v>40</v>
      </c>
      <c r="I48" s="7" t="s">
        <v>38</v>
      </c>
      <c r="J48">
        <v>0.22</v>
      </c>
      <c r="K48" s="148">
        <v>0.2273</v>
      </c>
      <c r="L48">
        <v>0.47</v>
      </c>
      <c r="M48" s="148">
        <v>0.16420000000000001</v>
      </c>
      <c r="N48">
        <v>0</v>
      </c>
      <c r="O48">
        <v>8</v>
      </c>
      <c r="P48">
        <v>8</v>
      </c>
      <c r="S48" s="72"/>
      <c r="T48" s="65" t="s">
        <v>119</v>
      </c>
      <c r="U48" s="59">
        <f>SUM('[2]bike data'!O5:O1004)</f>
        <v>53383</v>
      </c>
      <c r="V48" s="60">
        <f>U48/SUM('[2]bike data'!P5:P1004)</f>
        <v>0.9155975576289791</v>
      </c>
      <c r="W48" s="29"/>
      <c r="X48" s="29"/>
      <c r="Y48" s="94" t="s">
        <v>194</v>
      </c>
      <c r="Z48" s="48">
        <v>35</v>
      </c>
      <c r="AA48" s="48">
        <v>1</v>
      </c>
      <c r="AB48" s="29"/>
      <c r="AC48" s="29"/>
      <c r="AD48" s="29"/>
      <c r="AE48" s="47" t="s">
        <v>41</v>
      </c>
      <c r="AF48" s="48">
        <v>6587</v>
      </c>
      <c r="AG48" s="49">
        <v>1863</v>
      </c>
      <c r="AH48" s="29"/>
      <c r="AI48" s="29"/>
      <c r="AJ48" s="29"/>
      <c r="AK48" s="29"/>
      <c r="AL48" s="103">
        <v>8.3333333333333301E-2</v>
      </c>
      <c r="AM48" s="99">
        <v>259</v>
      </c>
      <c r="AN48" s="100">
        <v>2614</v>
      </c>
      <c r="AO48" s="104">
        <v>2873</v>
      </c>
      <c r="AP48" s="29"/>
      <c r="AQ48" s="29"/>
      <c r="AR48" s="13"/>
    </row>
    <row r="49" spans="1:44">
      <c r="A49">
        <v>48</v>
      </c>
      <c r="B49" s="2">
        <v>40546</v>
      </c>
      <c r="C49">
        <v>1</v>
      </c>
      <c r="D49" t="s">
        <v>17</v>
      </c>
      <c r="E49" s="6" t="s">
        <v>18</v>
      </c>
      <c r="F49" s="151">
        <v>1.958333333333333</v>
      </c>
      <c r="G49" s="7" t="s">
        <v>36</v>
      </c>
      <c r="H49" s="7" t="s">
        <v>41</v>
      </c>
      <c r="I49" s="7" t="s">
        <v>38</v>
      </c>
      <c r="J49">
        <v>0.22</v>
      </c>
      <c r="K49" s="148">
        <v>0.19700000000000001</v>
      </c>
      <c r="L49">
        <v>0.44</v>
      </c>
      <c r="M49" s="148">
        <v>0.35820000000000002</v>
      </c>
      <c r="N49">
        <v>0</v>
      </c>
      <c r="O49">
        <v>5</v>
      </c>
      <c r="P49">
        <v>5</v>
      </c>
      <c r="S49" s="72"/>
      <c r="T49" s="29"/>
      <c r="U49" s="29"/>
      <c r="V49" s="29"/>
      <c r="W49" s="29"/>
      <c r="X49" s="29"/>
      <c r="Y49" s="94" t="s">
        <v>39</v>
      </c>
      <c r="Z49" s="48">
        <v>16568</v>
      </c>
      <c r="AA49" s="48">
        <v>1538</v>
      </c>
      <c r="AB49" s="29"/>
      <c r="AC49" s="29"/>
      <c r="AD49" s="29"/>
      <c r="AE49" s="47" t="s">
        <v>42</v>
      </c>
      <c r="AF49" s="48">
        <v>5493</v>
      </c>
      <c r="AG49" s="49">
        <v>2890</v>
      </c>
      <c r="AH49" s="29"/>
      <c r="AI49" s="29"/>
      <c r="AJ49" s="29"/>
      <c r="AK49" s="29"/>
      <c r="AL49" s="103">
        <v>0.125</v>
      </c>
      <c r="AM49" s="99">
        <v>280</v>
      </c>
      <c r="AN49" s="100">
        <v>2595</v>
      </c>
      <c r="AO49" s="104">
        <v>2875</v>
      </c>
      <c r="AP49" s="29"/>
      <c r="AQ49" s="29"/>
      <c r="AR49" s="13"/>
    </row>
    <row r="50" spans="1:44">
      <c r="A50">
        <v>49</v>
      </c>
      <c r="B50" s="2">
        <v>40546</v>
      </c>
      <c r="C50">
        <v>1</v>
      </c>
      <c r="D50" t="s">
        <v>17</v>
      </c>
      <c r="E50" s="6" t="s">
        <v>18</v>
      </c>
      <c r="F50" s="151">
        <v>2</v>
      </c>
      <c r="G50" s="7" t="s">
        <v>36</v>
      </c>
      <c r="H50" s="7" t="s">
        <v>41</v>
      </c>
      <c r="I50" s="7" t="s">
        <v>38</v>
      </c>
      <c r="J50">
        <v>0.2</v>
      </c>
      <c r="K50" s="148">
        <v>0</v>
      </c>
      <c r="L50">
        <v>0.44</v>
      </c>
      <c r="M50" s="148">
        <v>0.41789999999999999</v>
      </c>
      <c r="N50">
        <v>0</v>
      </c>
      <c r="O50">
        <v>2</v>
      </c>
      <c r="P50">
        <v>2</v>
      </c>
      <c r="S50" s="72"/>
      <c r="T50" s="29"/>
      <c r="U50" s="29"/>
      <c r="V50" s="29"/>
      <c r="W50" s="29"/>
      <c r="X50" s="29"/>
      <c r="Y50" s="95" t="s">
        <v>57</v>
      </c>
      <c r="Z50" s="96">
        <v>53383</v>
      </c>
      <c r="AA50" s="97">
        <v>4921</v>
      </c>
      <c r="AB50" s="29"/>
      <c r="AC50" s="29"/>
      <c r="AD50" s="29"/>
      <c r="AE50" s="47" t="s">
        <v>46</v>
      </c>
      <c r="AF50" s="48">
        <v>4918</v>
      </c>
      <c r="AG50" s="49">
        <v>3131</v>
      </c>
      <c r="AH50" s="29"/>
      <c r="AI50" s="29"/>
      <c r="AJ50" s="29"/>
      <c r="AK50" s="29"/>
      <c r="AL50" s="103">
        <v>0.16666666666666699</v>
      </c>
      <c r="AM50" s="99">
        <v>286</v>
      </c>
      <c r="AN50" s="100">
        <v>2591</v>
      </c>
      <c r="AO50" s="104">
        <v>2877</v>
      </c>
      <c r="AP50" s="29"/>
      <c r="AQ50" s="29"/>
      <c r="AR50" s="13"/>
    </row>
    <row r="51" spans="1:44">
      <c r="A51">
        <v>50</v>
      </c>
      <c r="B51" s="2">
        <v>40546</v>
      </c>
      <c r="C51">
        <v>1</v>
      </c>
      <c r="D51" t="s">
        <v>17</v>
      </c>
      <c r="E51" s="6" t="s">
        <v>18</v>
      </c>
      <c r="F51" s="151">
        <v>2.041666666666667</v>
      </c>
      <c r="G51" s="7" t="s">
        <v>36</v>
      </c>
      <c r="H51" s="7" t="s">
        <v>41</v>
      </c>
      <c r="I51" s="7" t="s">
        <v>38</v>
      </c>
      <c r="J51">
        <v>0.16</v>
      </c>
      <c r="K51" s="148">
        <v>0.13639999999999999</v>
      </c>
      <c r="L51">
        <v>0.47</v>
      </c>
      <c r="M51" s="148">
        <v>0.3881</v>
      </c>
      <c r="N51">
        <v>0</v>
      </c>
      <c r="O51">
        <v>1</v>
      </c>
      <c r="P51">
        <v>1</v>
      </c>
      <c r="S51" s="72"/>
      <c r="T51" s="29"/>
      <c r="U51" s="29"/>
      <c r="V51" s="29"/>
      <c r="W51" s="29"/>
      <c r="X51" s="29"/>
      <c r="Y51" s="29"/>
      <c r="Z51" s="29"/>
      <c r="AA51" s="29"/>
      <c r="AB51" s="29"/>
      <c r="AC51" s="29"/>
      <c r="AD51" s="29"/>
      <c r="AE51" s="47" t="s">
        <v>44</v>
      </c>
      <c r="AF51" s="48">
        <v>5641</v>
      </c>
      <c r="AG51" s="49">
        <v>3454</v>
      </c>
      <c r="AH51" s="29"/>
      <c r="AI51" s="29"/>
      <c r="AJ51" s="29"/>
      <c r="AK51" s="29"/>
      <c r="AL51" s="103">
        <v>0.20833333333333301</v>
      </c>
      <c r="AM51" s="99">
        <v>261</v>
      </c>
      <c r="AN51" s="100">
        <v>2784</v>
      </c>
      <c r="AO51" s="104">
        <v>3045</v>
      </c>
      <c r="AP51" s="29"/>
      <c r="AQ51" s="29"/>
      <c r="AR51" s="13"/>
    </row>
    <row r="52" spans="1:44">
      <c r="A52">
        <v>51</v>
      </c>
      <c r="B52" s="2">
        <v>40546</v>
      </c>
      <c r="C52">
        <v>1</v>
      </c>
      <c r="D52" t="s">
        <v>17</v>
      </c>
      <c r="E52" s="6" t="s">
        <v>18</v>
      </c>
      <c r="F52" s="151">
        <v>2.083333333333333</v>
      </c>
      <c r="G52" s="7" t="s">
        <v>36</v>
      </c>
      <c r="H52" s="7" t="s">
        <v>41</v>
      </c>
      <c r="I52" s="7" t="s">
        <v>38</v>
      </c>
      <c r="J52">
        <v>0.16</v>
      </c>
      <c r="K52" s="148">
        <v>0.13639999999999999</v>
      </c>
      <c r="L52">
        <v>0.47</v>
      </c>
      <c r="M52" s="148">
        <v>0.28360000000000002</v>
      </c>
      <c r="N52">
        <v>0</v>
      </c>
      <c r="O52">
        <v>3</v>
      </c>
      <c r="P52">
        <v>3</v>
      </c>
      <c r="S52" s="72"/>
      <c r="T52" s="29"/>
      <c r="U52" s="29"/>
      <c r="V52" s="29"/>
      <c r="W52" s="29"/>
      <c r="X52" s="29"/>
      <c r="Y52" s="29"/>
      <c r="Z52" s="29"/>
      <c r="AA52" s="29"/>
      <c r="AB52" s="29"/>
      <c r="AC52" s="29"/>
      <c r="AD52" s="29"/>
      <c r="AE52" s="47" t="s">
        <v>37</v>
      </c>
      <c r="AF52" s="48">
        <v>5231</v>
      </c>
      <c r="AG52" s="49">
        <v>2517</v>
      </c>
      <c r="AH52" s="29"/>
      <c r="AI52" s="29"/>
      <c r="AJ52" s="29"/>
      <c r="AK52" s="29"/>
      <c r="AL52" s="103">
        <v>0.25</v>
      </c>
      <c r="AM52" s="99">
        <v>257</v>
      </c>
      <c r="AN52" s="100">
        <v>3222</v>
      </c>
      <c r="AO52" s="104">
        <v>3479</v>
      </c>
      <c r="AP52" s="29"/>
      <c r="AQ52" s="29"/>
      <c r="AR52" s="13"/>
    </row>
    <row r="53" spans="1:44" ht="15">
      <c r="A53">
        <v>52</v>
      </c>
      <c r="B53" s="2">
        <v>40546</v>
      </c>
      <c r="C53">
        <v>1</v>
      </c>
      <c r="D53" t="s">
        <v>17</v>
      </c>
      <c r="E53" s="6" t="s">
        <v>18</v>
      </c>
      <c r="F53" s="151">
        <v>2.125</v>
      </c>
      <c r="G53" s="7" t="s">
        <v>36</v>
      </c>
      <c r="H53" s="7" t="s">
        <v>41</v>
      </c>
      <c r="I53" s="7" t="s">
        <v>38</v>
      </c>
      <c r="J53">
        <v>0.14000000000000001</v>
      </c>
      <c r="K53" s="148">
        <v>0.1061</v>
      </c>
      <c r="L53">
        <v>0.5</v>
      </c>
      <c r="M53" s="148">
        <v>0.3881</v>
      </c>
      <c r="N53">
        <v>0</v>
      </c>
      <c r="O53">
        <v>30</v>
      </c>
      <c r="P53">
        <v>30</v>
      </c>
      <c r="S53" s="72"/>
      <c r="T53" s="29"/>
      <c r="U53" s="29"/>
      <c r="V53" s="29"/>
      <c r="W53" s="29"/>
      <c r="X53" s="29"/>
      <c r="Y53" s="29"/>
      <c r="Z53" s="29"/>
      <c r="AA53" s="29"/>
      <c r="AB53" s="29"/>
      <c r="AC53" s="29"/>
      <c r="AD53" s="29"/>
      <c r="AE53" s="50" t="s">
        <v>195</v>
      </c>
      <c r="AF53" s="51">
        <v>5370</v>
      </c>
      <c r="AG53" s="52">
        <v>3088</v>
      </c>
      <c r="AH53" s="29"/>
      <c r="AI53" s="29"/>
      <c r="AJ53" s="29"/>
      <c r="AK53" s="29"/>
      <c r="AL53" s="103">
        <v>0.29166666666666702</v>
      </c>
      <c r="AM53" s="99">
        <v>232</v>
      </c>
      <c r="AN53" s="100">
        <v>3454</v>
      </c>
      <c r="AO53" s="104">
        <v>3686</v>
      </c>
      <c r="AP53" s="29"/>
      <c r="AQ53" s="29"/>
      <c r="AR53" s="13"/>
    </row>
    <row r="54" spans="1:44" ht="15" thickBot="1">
      <c r="A54">
        <v>53</v>
      </c>
      <c r="B54" s="2">
        <v>40546</v>
      </c>
      <c r="C54">
        <v>1</v>
      </c>
      <c r="D54" t="s">
        <v>17</v>
      </c>
      <c r="E54" s="6" t="s">
        <v>18</v>
      </c>
      <c r="F54" s="151">
        <v>2.166666666666667</v>
      </c>
      <c r="G54" s="7" t="s">
        <v>36</v>
      </c>
      <c r="H54" s="7" t="s">
        <v>41</v>
      </c>
      <c r="I54" s="7" t="s">
        <v>38</v>
      </c>
      <c r="J54">
        <v>0.14000000000000001</v>
      </c>
      <c r="K54" s="148">
        <v>0.13639999999999999</v>
      </c>
      <c r="L54">
        <v>0.5</v>
      </c>
      <c r="M54" s="148">
        <v>0.19400000000000001</v>
      </c>
      <c r="N54">
        <v>1</v>
      </c>
      <c r="O54">
        <v>63</v>
      </c>
      <c r="P54">
        <v>64</v>
      </c>
      <c r="S54" s="72"/>
      <c r="T54" s="29"/>
      <c r="U54" s="29"/>
      <c r="V54" s="29"/>
      <c r="W54" s="29"/>
      <c r="X54" s="29"/>
      <c r="Y54" s="29"/>
      <c r="Z54" s="29"/>
      <c r="AA54" s="29"/>
      <c r="AB54" s="29"/>
      <c r="AC54" s="29"/>
      <c r="AD54" s="29"/>
      <c r="AE54" s="53" t="s">
        <v>35</v>
      </c>
      <c r="AF54" s="54">
        <f>SUM(AF47:AF53)</f>
        <v>38149</v>
      </c>
      <c r="AG54" s="55">
        <f>SUM(AG47:AG53)</f>
        <v>20155</v>
      </c>
      <c r="AH54" s="29"/>
      <c r="AI54" s="29"/>
      <c r="AJ54" s="29"/>
      <c r="AK54" s="29"/>
      <c r="AL54" s="103">
        <v>0.33333333333333298</v>
      </c>
      <c r="AM54" s="99">
        <v>241</v>
      </c>
      <c r="AN54" s="100">
        <v>3185</v>
      </c>
      <c r="AO54" s="104">
        <v>3426</v>
      </c>
      <c r="AP54" s="29"/>
      <c r="AQ54" s="29"/>
      <c r="AR54" s="13"/>
    </row>
    <row r="55" spans="1:44">
      <c r="A55">
        <v>54</v>
      </c>
      <c r="B55" s="2">
        <v>40546</v>
      </c>
      <c r="C55">
        <v>1</v>
      </c>
      <c r="D55" t="s">
        <v>17</v>
      </c>
      <c r="E55" s="6" t="s">
        <v>18</v>
      </c>
      <c r="F55" s="151">
        <v>2.208333333333333</v>
      </c>
      <c r="G55" s="7" t="s">
        <v>36</v>
      </c>
      <c r="H55" s="7" t="s">
        <v>41</v>
      </c>
      <c r="I55" s="7" t="s">
        <v>38</v>
      </c>
      <c r="J55">
        <v>0.14000000000000001</v>
      </c>
      <c r="K55" s="148">
        <v>0.1212</v>
      </c>
      <c r="L55">
        <v>0.5</v>
      </c>
      <c r="M55" s="148">
        <v>0.28360000000000002</v>
      </c>
      <c r="N55">
        <v>1</v>
      </c>
      <c r="O55">
        <v>153</v>
      </c>
      <c r="P55">
        <v>154</v>
      </c>
      <c r="S55" s="72"/>
      <c r="T55" s="29"/>
      <c r="U55" s="29"/>
      <c r="V55" s="29"/>
      <c r="W55" s="29"/>
      <c r="X55" s="29"/>
      <c r="Y55" s="29"/>
      <c r="Z55" s="29"/>
      <c r="AA55" s="29"/>
      <c r="AB55" s="29"/>
      <c r="AC55" s="29"/>
      <c r="AD55" s="29"/>
      <c r="AE55" s="29"/>
      <c r="AF55" s="29"/>
      <c r="AG55" s="29"/>
      <c r="AH55" s="29"/>
      <c r="AI55" s="29"/>
      <c r="AJ55" s="29"/>
      <c r="AK55" s="29"/>
      <c r="AL55" s="103">
        <v>0.375</v>
      </c>
      <c r="AM55" s="99">
        <v>250</v>
      </c>
      <c r="AN55" s="100">
        <v>2669</v>
      </c>
      <c r="AO55" s="104">
        <v>2919</v>
      </c>
      <c r="AP55" s="29"/>
      <c r="AQ55" s="29"/>
      <c r="AR55" s="13"/>
    </row>
    <row r="56" spans="1:44">
      <c r="A56">
        <v>55</v>
      </c>
      <c r="B56" s="2">
        <v>40546</v>
      </c>
      <c r="C56">
        <v>1</v>
      </c>
      <c r="D56" t="s">
        <v>17</v>
      </c>
      <c r="E56" s="6" t="s">
        <v>18</v>
      </c>
      <c r="F56" s="151">
        <v>2.25</v>
      </c>
      <c r="G56" s="7" t="s">
        <v>36</v>
      </c>
      <c r="H56" s="7" t="s">
        <v>41</v>
      </c>
      <c r="I56" s="7" t="s">
        <v>38</v>
      </c>
      <c r="J56">
        <v>0.16</v>
      </c>
      <c r="K56" s="148">
        <v>0.13639999999999999</v>
      </c>
      <c r="L56">
        <v>0.43</v>
      </c>
      <c r="M56" s="148">
        <v>0.3881</v>
      </c>
      <c r="N56">
        <v>7</v>
      </c>
      <c r="O56">
        <v>81</v>
      </c>
      <c r="P56">
        <v>88</v>
      </c>
      <c r="S56" s="72"/>
      <c r="T56" s="29"/>
      <c r="U56" s="29"/>
      <c r="V56" s="29"/>
      <c r="W56" s="29"/>
      <c r="X56" s="29"/>
      <c r="Y56" s="29"/>
      <c r="Z56" s="29"/>
      <c r="AA56" s="29"/>
      <c r="AB56" s="29"/>
      <c r="AC56" s="29"/>
      <c r="AD56" s="29"/>
      <c r="AE56" s="29"/>
      <c r="AF56" s="29"/>
      <c r="AG56" s="29"/>
      <c r="AH56" s="29"/>
      <c r="AI56" s="29"/>
      <c r="AJ56" s="29"/>
      <c r="AK56" s="29"/>
      <c r="AL56" s="103">
        <v>0.41666666666666702</v>
      </c>
      <c r="AM56" s="99">
        <v>216</v>
      </c>
      <c r="AN56" s="100">
        <v>2481</v>
      </c>
      <c r="AO56" s="104">
        <v>2697</v>
      </c>
      <c r="AP56" s="29"/>
      <c r="AQ56" s="29"/>
      <c r="AR56" s="13"/>
    </row>
    <row r="57" spans="1:44">
      <c r="A57">
        <v>56</v>
      </c>
      <c r="B57" s="2">
        <v>40546</v>
      </c>
      <c r="C57">
        <v>1</v>
      </c>
      <c r="D57" t="s">
        <v>17</v>
      </c>
      <c r="E57" s="6" t="s">
        <v>18</v>
      </c>
      <c r="F57" s="151">
        <v>2.291666666666667</v>
      </c>
      <c r="G57" s="7" t="s">
        <v>36</v>
      </c>
      <c r="H57" s="7" t="s">
        <v>41</v>
      </c>
      <c r="I57" s="7" t="s">
        <v>38</v>
      </c>
      <c r="J57">
        <v>0.18</v>
      </c>
      <c r="K57" s="148">
        <v>0.16669999999999999</v>
      </c>
      <c r="L57">
        <v>0.43</v>
      </c>
      <c r="M57" s="148">
        <v>0.25369999999999998</v>
      </c>
      <c r="N57">
        <v>11</v>
      </c>
      <c r="O57">
        <v>33</v>
      </c>
      <c r="P57">
        <v>44</v>
      </c>
      <c r="S57" s="72"/>
      <c r="T57" s="29"/>
      <c r="U57" s="29"/>
      <c r="V57" s="29"/>
      <c r="W57" s="29"/>
      <c r="X57" s="29"/>
      <c r="Y57" s="29"/>
      <c r="Z57" s="29"/>
      <c r="AA57" s="29"/>
      <c r="AB57" s="29"/>
      <c r="AC57" s="29"/>
      <c r="AD57" s="29"/>
      <c r="AE57" s="29"/>
      <c r="AF57" s="29"/>
      <c r="AG57" s="29"/>
      <c r="AH57" s="29"/>
      <c r="AI57" s="29"/>
      <c r="AJ57" s="29"/>
      <c r="AK57" s="29"/>
      <c r="AL57" s="103">
        <v>0.45833333333333298</v>
      </c>
      <c r="AM57" s="99">
        <v>234</v>
      </c>
      <c r="AN57" s="100">
        <v>2403</v>
      </c>
      <c r="AO57" s="104">
        <v>2637</v>
      </c>
      <c r="AP57" s="29"/>
      <c r="AQ57" s="29"/>
      <c r="AR57" s="13"/>
    </row>
    <row r="58" spans="1:44">
      <c r="A58">
        <v>57</v>
      </c>
      <c r="B58" s="2">
        <v>40546</v>
      </c>
      <c r="C58">
        <v>1</v>
      </c>
      <c r="D58" t="s">
        <v>17</v>
      </c>
      <c r="E58" s="6" t="s">
        <v>18</v>
      </c>
      <c r="F58" s="151">
        <v>2.333333333333333</v>
      </c>
      <c r="G58" s="7" t="s">
        <v>36</v>
      </c>
      <c r="H58" s="7" t="s">
        <v>41</v>
      </c>
      <c r="I58" s="7" t="s">
        <v>38</v>
      </c>
      <c r="J58">
        <v>0.2</v>
      </c>
      <c r="K58" s="148">
        <v>0.18179999999999999</v>
      </c>
      <c r="L58">
        <v>0.4</v>
      </c>
      <c r="M58" s="148">
        <v>0.32840000000000003</v>
      </c>
      <c r="N58">
        <v>10</v>
      </c>
      <c r="O58">
        <v>41</v>
      </c>
      <c r="P58">
        <v>51</v>
      </c>
      <c r="S58" s="72"/>
      <c r="T58" s="29"/>
      <c r="U58" s="29"/>
      <c r="V58" s="29"/>
      <c r="W58" s="29"/>
      <c r="X58" s="29"/>
      <c r="Y58" s="29"/>
      <c r="Z58" s="29"/>
      <c r="AA58" s="29"/>
      <c r="AB58" s="29"/>
      <c r="AC58" s="29"/>
      <c r="AD58" s="29"/>
      <c r="AE58" s="29"/>
      <c r="AF58" s="29"/>
      <c r="AG58" s="29"/>
      <c r="AH58" s="29"/>
      <c r="AI58" s="29"/>
      <c r="AJ58" s="29"/>
      <c r="AK58" s="29"/>
      <c r="AL58" s="103">
        <v>0.5</v>
      </c>
      <c r="AM58" s="99">
        <v>219</v>
      </c>
      <c r="AN58" s="100">
        <v>2278</v>
      </c>
      <c r="AO58" s="104">
        <v>2497</v>
      </c>
      <c r="AP58" s="29"/>
      <c r="AQ58" s="29"/>
      <c r="AR58" s="13"/>
    </row>
    <row r="59" spans="1:44">
      <c r="A59">
        <v>58</v>
      </c>
      <c r="B59" s="2">
        <v>40546</v>
      </c>
      <c r="C59">
        <v>1</v>
      </c>
      <c r="D59" t="s">
        <v>17</v>
      </c>
      <c r="E59" s="6" t="s">
        <v>18</v>
      </c>
      <c r="F59" s="151">
        <v>2.375</v>
      </c>
      <c r="G59" s="7" t="s">
        <v>36</v>
      </c>
      <c r="H59" s="7" t="s">
        <v>41</v>
      </c>
      <c r="I59" s="7" t="s">
        <v>38</v>
      </c>
      <c r="J59">
        <v>0.22</v>
      </c>
      <c r="K59" s="148">
        <v>0.21210000000000001</v>
      </c>
      <c r="L59">
        <v>0.35</v>
      </c>
      <c r="M59" s="148">
        <v>0.29849999999999999</v>
      </c>
      <c r="N59">
        <v>13</v>
      </c>
      <c r="O59">
        <v>48</v>
      </c>
      <c r="P59">
        <v>61</v>
      </c>
      <c r="S59" s="72"/>
      <c r="T59" s="29"/>
      <c r="U59" s="29"/>
      <c r="V59" s="29"/>
      <c r="W59" s="29"/>
      <c r="X59" s="29"/>
      <c r="Y59" s="29"/>
      <c r="Z59" s="29"/>
      <c r="AA59" s="29"/>
      <c r="AB59" s="29"/>
      <c r="AC59" s="29"/>
      <c r="AD59" s="29"/>
      <c r="AE59" s="29"/>
      <c r="AF59" s="29"/>
      <c r="AG59" s="29"/>
      <c r="AH59" s="29"/>
      <c r="AI59" s="29"/>
      <c r="AJ59" s="29"/>
      <c r="AK59" s="29"/>
      <c r="AL59" s="103">
        <v>0.54166666666666696</v>
      </c>
      <c r="AM59" s="99">
        <v>174</v>
      </c>
      <c r="AN59" s="100">
        <v>2238</v>
      </c>
      <c r="AO59" s="104">
        <v>2412</v>
      </c>
      <c r="AP59" s="29"/>
      <c r="AQ59" s="29"/>
      <c r="AR59" s="13"/>
    </row>
    <row r="60" spans="1:44">
      <c r="A60">
        <v>59</v>
      </c>
      <c r="B60" s="2">
        <v>40546</v>
      </c>
      <c r="C60">
        <v>1</v>
      </c>
      <c r="D60" t="s">
        <v>17</v>
      </c>
      <c r="E60" s="6" t="s">
        <v>18</v>
      </c>
      <c r="F60" s="151">
        <v>2.416666666666667</v>
      </c>
      <c r="G60" s="7" t="s">
        <v>36</v>
      </c>
      <c r="H60" s="7" t="s">
        <v>41</v>
      </c>
      <c r="I60" s="7" t="s">
        <v>38</v>
      </c>
      <c r="J60">
        <v>0.24</v>
      </c>
      <c r="K60" s="148">
        <v>0</v>
      </c>
      <c r="L60">
        <v>0.35</v>
      </c>
      <c r="M60" s="148">
        <v>0.28360000000000002</v>
      </c>
      <c r="N60">
        <v>8</v>
      </c>
      <c r="O60">
        <v>53</v>
      </c>
      <c r="P60">
        <v>61</v>
      </c>
      <c r="S60" s="72"/>
      <c r="T60" s="29"/>
      <c r="U60" s="29"/>
      <c r="V60" s="29"/>
      <c r="W60" s="29"/>
      <c r="X60" s="29"/>
      <c r="Y60" s="29"/>
      <c r="Z60" s="29"/>
      <c r="AA60" s="29"/>
      <c r="AB60" s="29"/>
      <c r="AC60" s="29"/>
      <c r="AD60" s="29"/>
      <c r="AE60" s="29"/>
      <c r="AF60" s="29"/>
      <c r="AG60" s="29"/>
      <c r="AH60" s="29"/>
      <c r="AI60" s="29"/>
      <c r="AJ60" s="29"/>
      <c r="AK60" s="29"/>
      <c r="AL60" s="103">
        <v>0.58333333333333304</v>
      </c>
      <c r="AM60" s="99">
        <v>162</v>
      </c>
      <c r="AN60" s="100">
        <v>1846</v>
      </c>
      <c r="AO60" s="104">
        <v>2008</v>
      </c>
      <c r="AP60" s="29"/>
      <c r="AQ60" s="29"/>
      <c r="AR60" s="13"/>
    </row>
    <row r="61" spans="1:44" ht="14.4" customHeight="1">
      <c r="A61">
        <v>60</v>
      </c>
      <c r="B61" s="2">
        <v>40546</v>
      </c>
      <c r="C61">
        <v>1</v>
      </c>
      <c r="D61" t="s">
        <v>17</v>
      </c>
      <c r="E61" s="6" t="s">
        <v>18</v>
      </c>
      <c r="F61" s="151">
        <v>2.458333333333333</v>
      </c>
      <c r="G61" s="7" t="s">
        <v>36</v>
      </c>
      <c r="H61" s="7" t="s">
        <v>41</v>
      </c>
      <c r="I61" s="7" t="s">
        <v>38</v>
      </c>
      <c r="J61">
        <v>0.26</v>
      </c>
      <c r="K61" s="148">
        <v>0.2424</v>
      </c>
      <c r="L61">
        <v>0.3</v>
      </c>
      <c r="M61" s="148">
        <v>0.28360000000000002</v>
      </c>
      <c r="N61">
        <v>11</v>
      </c>
      <c r="O61">
        <v>66</v>
      </c>
      <c r="P61">
        <v>77</v>
      </c>
      <c r="S61" s="72"/>
      <c r="T61" s="29"/>
      <c r="U61" s="29"/>
      <c r="V61" s="29"/>
      <c r="W61" s="29"/>
      <c r="X61" s="29"/>
      <c r="Y61" s="29"/>
      <c r="Z61" s="29"/>
      <c r="AA61" s="29"/>
      <c r="AB61" s="29"/>
      <c r="AC61" s="29"/>
      <c r="AD61" s="29"/>
      <c r="AE61" s="29"/>
      <c r="AF61" s="29"/>
      <c r="AG61" s="29"/>
      <c r="AH61" s="29"/>
      <c r="AI61" s="29"/>
      <c r="AJ61" s="29"/>
      <c r="AK61" s="29"/>
      <c r="AL61" s="103">
        <v>0.625</v>
      </c>
      <c r="AM61" s="99">
        <v>170</v>
      </c>
      <c r="AN61" s="100">
        <v>1615</v>
      </c>
      <c r="AO61" s="104">
        <v>1785</v>
      </c>
      <c r="AP61" s="29"/>
      <c r="AQ61" s="29"/>
      <c r="AR61" s="13"/>
    </row>
    <row r="62" spans="1:44" ht="15" customHeight="1">
      <c r="A62">
        <v>61</v>
      </c>
      <c r="B62" s="2">
        <v>40546</v>
      </c>
      <c r="C62">
        <v>1</v>
      </c>
      <c r="D62" t="s">
        <v>17</v>
      </c>
      <c r="E62" s="6" t="s">
        <v>18</v>
      </c>
      <c r="F62" s="151">
        <v>2.5</v>
      </c>
      <c r="G62" s="7" t="s">
        <v>36</v>
      </c>
      <c r="H62" s="7" t="s">
        <v>41</v>
      </c>
      <c r="I62" s="7" t="s">
        <v>38</v>
      </c>
      <c r="J62">
        <v>0.26</v>
      </c>
      <c r="K62" s="148">
        <v>0.2424</v>
      </c>
      <c r="L62">
        <v>0.3</v>
      </c>
      <c r="M62" s="148">
        <v>0.25369999999999998</v>
      </c>
      <c r="N62">
        <v>14</v>
      </c>
      <c r="O62">
        <v>58</v>
      </c>
      <c r="P62">
        <v>72</v>
      </c>
      <c r="S62" s="72"/>
      <c r="T62" s="29"/>
      <c r="U62" s="29"/>
      <c r="V62" s="29"/>
      <c r="W62" s="29"/>
      <c r="X62" s="29"/>
      <c r="Y62" s="29"/>
      <c r="Z62" s="29"/>
      <c r="AA62" s="29"/>
      <c r="AB62" s="29"/>
      <c r="AC62" s="29"/>
      <c r="AD62" s="29"/>
      <c r="AE62" s="29"/>
      <c r="AF62" s="29"/>
      <c r="AG62" s="29"/>
      <c r="AH62" s="29"/>
      <c r="AI62" s="29"/>
      <c r="AJ62" s="29"/>
      <c r="AK62" s="29"/>
      <c r="AL62" s="103">
        <v>0.66666666666666696</v>
      </c>
      <c r="AM62" s="99">
        <v>115</v>
      </c>
      <c r="AN62" s="100">
        <v>1498</v>
      </c>
      <c r="AO62" s="104">
        <v>1613</v>
      </c>
      <c r="AP62" s="29"/>
      <c r="AQ62" s="29"/>
      <c r="AR62" s="13"/>
    </row>
    <row r="63" spans="1:44">
      <c r="A63">
        <v>62</v>
      </c>
      <c r="B63" s="2">
        <v>40546</v>
      </c>
      <c r="C63">
        <v>1</v>
      </c>
      <c r="D63" t="s">
        <v>17</v>
      </c>
      <c r="E63" s="6" t="s">
        <v>18</v>
      </c>
      <c r="F63" s="151">
        <v>2.541666666666667</v>
      </c>
      <c r="G63" s="7" t="s">
        <v>36</v>
      </c>
      <c r="H63" s="7" t="s">
        <v>41</v>
      </c>
      <c r="I63" s="7" t="s">
        <v>38</v>
      </c>
      <c r="J63">
        <v>0.26</v>
      </c>
      <c r="K63" s="148">
        <v>0.2424</v>
      </c>
      <c r="L63">
        <v>0.3</v>
      </c>
      <c r="M63" s="148">
        <v>0.25369999999999998</v>
      </c>
      <c r="N63">
        <v>9</v>
      </c>
      <c r="O63">
        <v>67</v>
      </c>
      <c r="P63">
        <v>76</v>
      </c>
      <c r="S63" s="72"/>
      <c r="T63" s="29"/>
      <c r="U63" s="29"/>
      <c r="V63" s="29"/>
      <c r="W63" s="29"/>
      <c r="X63" s="29"/>
      <c r="Y63" s="29"/>
      <c r="Z63" s="29"/>
      <c r="AA63" s="29"/>
      <c r="AB63" s="29"/>
      <c r="AC63" s="29"/>
      <c r="AD63" s="29"/>
      <c r="AE63" s="29"/>
      <c r="AF63" s="29"/>
      <c r="AG63" s="29"/>
      <c r="AH63" s="29"/>
      <c r="AI63" s="29"/>
      <c r="AJ63" s="29"/>
      <c r="AK63" s="29"/>
      <c r="AL63" s="103">
        <v>0.70833333333333304</v>
      </c>
      <c r="AM63" s="99">
        <v>94</v>
      </c>
      <c r="AN63" s="100">
        <v>1513</v>
      </c>
      <c r="AO63" s="104">
        <v>1607</v>
      </c>
      <c r="AP63" s="29"/>
      <c r="AQ63" s="29"/>
      <c r="AR63" s="13"/>
    </row>
    <row r="64" spans="1:44">
      <c r="A64">
        <v>63</v>
      </c>
      <c r="B64" s="2">
        <v>40546</v>
      </c>
      <c r="C64">
        <v>1</v>
      </c>
      <c r="D64" t="s">
        <v>17</v>
      </c>
      <c r="E64" s="6" t="s">
        <v>18</v>
      </c>
      <c r="F64" s="151">
        <v>2.583333333333333</v>
      </c>
      <c r="G64" s="7" t="s">
        <v>36</v>
      </c>
      <c r="H64" s="7" t="s">
        <v>41</v>
      </c>
      <c r="I64" s="7" t="s">
        <v>38</v>
      </c>
      <c r="J64">
        <v>0.24</v>
      </c>
      <c r="K64" s="148">
        <v>0.2273</v>
      </c>
      <c r="L64">
        <v>0.3</v>
      </c>
      <c r="M64" s="148">
        <v>0.22389999999999999</v>
      </c>
      <c r="N64">
        <v>11</v>
      </c>
      <c r="O64">
        <v>146</v>
      </c>
      <c r="P64">
        <v>157</v>
      </c>
      <c r="S64" s="72"/>
      <c r="T64" s="29"/>
      <c r="U64" s="29"/>
      <c r="V64" s="29"/>
      <c r="W64" s="29"/>
      <c r="X64" s="29"/>
      <c r="Y64" s="29"/>
      <c r="Z64" s="29"/>
      <c r="AA64" s="29"/>
      <c r="AB64" s="29"/>
      <c r="AC64" s="29"/>
      <c r="AD64" s="29"/>
      <c r="AE64" s="29"/>
      <c r="AF64" s="29"/>
      <c r="AG64" s="29"/>
      <c r="AH64" s="29"/>
      <c r="AI64" s="29"/>
      <c r="AJ64" s="29"/>
      <c r="AK64" s="29"/>
      <c r="AL64" s="103">
        <v>0.75</v>
      </c>
      <c r="AM64" s="99">
        <v>90</v>
      </c>
      <c r="AN64" s="100">
        <v>1339</v>
      </c>
      <c r="AO64" s="104">
        <v>1429</v>
      </c>
      <c r="AP64" s="29"/>
      <c r="AQ64" s="29"/>
      <c r="AR64" s="13"/>
    </row>
    <row r="65" spans="1:44" ht="14.4" customHeight="1">
      <c r="A65">
        <v>64</v>
      </c>
      <c r="B65" s="2">
        <v>40546</v>
      </c>
      <c r="C65">
        <v>1</v>
      </c>
      <c r="D65" t="s">
        <v>17</v>
      </c>
      <c r="E65" s="6" t="s">
        <v>18</v>
      </c>
      <c r="F65" s="151">
        <v>2.625</v>
      </c>
      <c r="G65" s="7" t="s">
        <v>36</v>
      </c>
      <c r="H65" s="7" t="s">
        <v>41</v>
      </c>
      <c r="I65" s="7" t="s">
        <v>38</v>
      </c>
      <c r="J65">
        <v>0.24</v>
      </c>
      <c r="K65" s="148">
        <v>0.2576</v>
      </c>
      <c r="L65">
        <v>0.32</v>
      </c>
      <c r="M65" s="148">
        <v>0.1045</v>
      </c>
      <c r="N65">
        <v>9</v>
      </c>
      <c r="O65">
        <v>148</v>
      </c>
      <c r="P65">
        <v>157</v>
      </c>
      <c r="S65" s="72"/>
      <c r="T65" s="29"/>
      <c r="U65" s="29"/>
      <c r="V65" s="29"/>
      <c r="W65" s="29"/>
      <c r="X65" s="29"/>
      <c r="Y65" s="29"/>
      <c r="Z65" s="29"/>
      <c r="AA65" s="29"/>
      <c r="AB65" s="29"/>
      <c r="AC65" s="29"/>
      <c r="AD65" s="29"/>
      <c r="AE65" s="29"/>
      <c r="AF65" s="29"/>
      <c r="AG65" s="29"/>
      <c r="AH65" s="29"/>
      <c r="AI65" s="29"/>
      <c r="AJ65" s="29"/>
      <c r="AK65" s="29"/>
      <c r="AL65" s="103">
        <v>0.79166666666666696</v>
      </c>
      <c r="AM65" s="99">
        <v>97</v>
      </c>
      <c r="AN65" s="100">
        <v>1312</v>
      </c>
      <c r="AO65" s="104">
        <v>1409</v>
      </c>
      <c r="AP65" s="29"/>
      <c r="AQ65" s="29"/>
      <c r="AR65" s="13"/>
    </row>
    <row r="66" spans="1:44" ht="15" customHeight="1">
      <c r="A66">
        <v>65</v>
      </c>
      <c r="B66" s="2">
        <v>40546</v>
      </c>
      <c r="C66">
        <v>1</v>
      </c>
      <c r="D66" t="s">
        <v>17</v>
      </c>
      <c r="E66" s="6" t="s">
        <v>18</v>
      </c>
      <c r="F66" s="151">
        <v>2.666666666666667</v>
      </c>
      <c r="G66" s="7" t="s">
        <v>36</v>
      </c>
      <c r="H66" s="7" t="s">
        <v>41</v>
      </c>
      <c r="I66" s="7" t="s">
        <v>38</v>
      </c>
      <c r="J66">
        <v>0.2</v>
      </c>
      <c r="K66" s="148">
        <v>0.2576</v>
      </c>
      <c r="L66">
        <v>0.47</v>
      </c>
      <c r="M66" s="148">
        <v>0</v>
      </c>
      <c r="N66">
        <v>8</v>
      </c>
      <c r="O66">
        <v>102</v>
      </c>
      <c r="P66">
        <v>110</v>
      </c>
      <c r="S66" s="72"/>
      <c r="T66" s="29"/>
      <c r="U66" s="29"/>
      <c r="V66" s="29"/>
      <c r="W66" s="29"/>
      <c r="X66" s="29"/>
      <c r="Y66" s="29"/>
      <c r="Z66" s="29"/>
      <c r="AA66" s="29"/>
      <c r="AB66" s="29"/>
      <c r="AC66" s="29"/>
      <c r="AD66" s="29"/>
      <c r="AE66" s="29"/>
      <c r="AF66" s="29"/>
      <c r="AG66" s="29"/>
      <c r="AH66" s="29"/>
      <c r="AI66" s="29"/>
      <c r="AJ66" s="29"/>
      <c r="AK66" s="29"/>
      <c r="AL66" s="103">
        <v>0.83333333333333304</v>
      </c>
      <c r="AM66" s="99">
        <v>163</v>
      </c>
      <c r="AN66" s="100">
        <v>1626</v>
      </c>
      <c r="AO66" s="104">
        <v>1789</v>
      </c>
      <c r="AP66" s="29"/>
      <c r="AQ66" s="29"/>
      <c r="AR66" s="13"/>
    </row>
    <row r="67" spans="1:44">
      <c r="A67">
        <v>66</v>
      </c>
      <c r="B67" s="2">
        <v>40546</v>
      </c>
      <c r="C67">
        <v>1</v>
      </c>
      <c r="D67" t="s">
        <v>17</v>
      </c>
      <c r="E67" s="6" t="s">
        <v>18</v>
      </c>
      <c r="F67" s="151">
        <v>2.708333333333333</v>
      </c>
      <c r="G67" s="7" t="s">
        <v>36</v>
      </c>
      <c r="H67" s="7" t="s">
        <v>41</v>
      </c>
      <c r="I67" s="7" t="s">
        <v>38</v>
      </c>
      <c r="J67">
        <v>0.2</v>
      </c>
      <c r="K67" s="148">
        <v>0</v>
      </c>
      <c r="L67">
        <v>0.47</v>
      </c>
      <c r="M67" s="148">
        <v>0.1045</v>
      </c>
      <c r="N67">
        <v>3</v>
      </c>
      <c r="O67">
        <v>49</v>
      </c>
      <c r="P67">
        <v>52</v>
      </c>
      <c r="S67" s="72"/>
      <c r="T67" s="29"/>
      <c r="U67" s="29"/>
      <c r="V67" s="29"/>
      <c r="W67" s="29"/>
      <c r="X67" s="29"/>
      <c r="Y67" s="29"/>
      <c r="Z67" s="29"/>
      <c r="AA67" s="29"/>
      <c r="AB67" s="29"/>
      <c r="AC67" s="29"/>
      <c r="AD67" s="29"/>
      <c r="AE67" s="29"/>
      <c r="AF67" s="29"/>
      <c r="AG67" s="29"/>
      <c r="AH67" s="29"/>
      <c r="AI67" s="29"/>
      <c r="AJ67" s="29"/>
      <c r="AK67" s="29"/>
      <c r="AL67" s="103">
        <v>0.875</v>
      </c>
      <c r="AM67" s="99">
        <v>162</v>
      </c>
      <c r="AN67" s="100">
        <v>2106</v>
      </c>
      <c r="AO67" s="104">
        <v>2268</v>
      </c>
      <c r="AP67" s="29"/>
      <c r="AQ67" s="29"/>
      <c r="AR67" s="13"/>
    </row>
    <row r="68" spans="1:44">
      <c r="A68">
        <v>67</v>
      </c>
      <c r="B68" s="2">
        <v>40546</v>
      </c>
      <c r="C68">
        <v>1</v>
      </c>
      <c r="D68" t="s">
        <v>17</v>
      </c>
      <c r="E68" s="6" t="s">
        <v>18</v>
      </c>
      <c r="F68" s="151">
        <v>2.75</v>
      </c>
      <c r="G68" s="7" t="s">
        <v>36</v>
      </c>
      <c r="H68" s="7" t="s">
        <v>41</v>
      </c>
      <c r="I68" s="7" t="s">
        <v>38</v>
      </c>
      <c r="J68">
        <v>0.18</v>
      </c>
      <c r="K68" s="148">
        <v>0.19700000000000001</v>
      </c>
      <c r="L68">
        <v>0.64</v>
      </c>
      <c r="M68" s="148">
        <v>0.1343</v>
      </c>
      <c r="N68">
        <v>3</v>
      </c>
      <c r="O68">
        <v>49</v>
      </c>
      <c r="P68">
        <v>52</v>
      </c>
      <c r="S68" s="72"/>
      <c r="T68" s="3"/>
      <c r="U68" s="3"/>
      <c r="V68" s="3"/>
      <c r="W68" s="3"/>
      <c r="X68" s="29"/>
      <c r="Y68" s="29"/>
      <c r="Z68" s="29"/>
      <c r="AA68" s="29"/>
      <c r="AB68" s="29"/>
      <c r="AC68" s="29"/>
      <c r="AD68" s="29"/>
      <c r="AE68" s="29"/>
      <c r="AF68" s="29"/>
      <c r="AG68" s="29"/>
      <c r="AH68" s="29"/>
      <c r="AI68" s="29"/>
      <c r="AJ68" s="29"/>
      <c r="AK68" s="29"/>
      <c r="AL68" s="103">
        <v>0.91666666666666696</v>
      </c>
      <c r="AM68" s="99">
        <v>188</v>
      </c>
      <c r="AN68" s="100">
        <v>1858</v>
      </c>
      <c r="AO68" s="104">
        <v>2046</v>
      </c>
      <c r="AP68" s="29"/>
      <c r="AQ68" s="29"/>
      <c r="AR68" s="13"/>
    </row>
    <row r="69" spans="1:44" ht="15" thickBot="1">
      <c r="A69">
        <v>68</v>
      </c>
      <c r="B69" s="2">
        <v>40546</v>
      </c>
      <c r="C69">
        <v>1</v>
      </c>
      <c r="D69" t="s">
        <v>17</v>
      </c>
      <c r="E69" s="6" t="s">
        <v>18</v>
      </c>
      <c r="F69" s="151">
        <v>2.791666666666667</v>
      </c>
      <c r="G69" s="7" t="s">
        <v>36</v>
      </c>
      <c r="H69" s="7" t="s">
        <v>41</v>
      </c>
      <c r="I69" s="7" t="s">
        <v>38</v>
      </c>
      <c r="J69">
        <v>0.14000000000000001</v>
      </c>
      <c r="K69" s="148">
        <v>0.1515</v>
      </c>
      <c r="L69">
        <v>0.69</v>
      </c>
      <c r="M69" s="148">
        <v>0.1343</v>
      </c>
      <c r="N69">
        <v>0</v>
      </c>
      <c r="O69">
        <v>20</v>
      </c>
      <c r="P69">
        <v>20</v>
      </c>
      <c r="S69" s="72"/>
      <c r="T69" s="3"/>
      <c r="U69" s="3"/>
      <c r="V69" s="3"/>
      <c r="W69" s="3"/>
      <c r="X69" s="29"/>
      <c r="Y69" s="29"/>
      <c r="Z69" s="29"/>
      <c r="AA69" s="29"/>
      <c r="AB69" s="29"/>
      <c r="AC69" s="29"/>
      <c r="AD69" s="29"/>
      <c r="AE69" s="29"/>
      <c r="AF69" s="29"/>
      <c r="AG69" s="29"/>
      <c r="AH69" s="29"/>
      <c r="AI69" s="29"/>
      <c r="AJ69" s="29"/>
      <c r="AK69" s="29"/>
      <c r="AL69" s="105">
        <v>0.95833333333333304</v>
      </c>
      <c r="AM69" s="106">
        <v>228</v>
      </c>
      <c r="AN69" s="107">
        <v>1814</v>
      </c>
      <c r="AO69" s="108">
        <v>2042</v>
      </c>
      <c r="AP69" s="29"/>
      <c r="AQ69" s="29"/>
      <c r="AR69" s="13"/>
    </row>
    <row r="70" spans="1:44">
      <c r="A70">
        <v>69</v>
      </c>
      <c r="B70" s="2">
        <v>40546</v>
      </c>
      <c r="C70">
        <v>1</v>
      </c>
      <c r="D70" t="s">
        <v>17</v>
      </c>
      <c r="E70" s="6" t="s">
        <v>18</v>
      </c>
      <c r="F70" s="151">
        <v>2.833333333333333</v>
      </c>
      <c r="G70" s="7" t="s">
        <v>36</v>
      </c>
      <c r="H70" s="7" t="s">
        <v>41</v>
      </c>
      <c r="I70" s="7" t="s">
        <v>38</v>
      </c>
      <c r="J70">
        <v>0.18</v>
      </c>
      <c r="K70" s="148">
        <v>0.21210000000000001</v>
      </c>
      <c r="L70">
        <v>0.55000000000000004</v>
      </c>
      <c r="M70" s="148">
        <v>0.1045</v>
      </c>
      <c r="N70">
        <v>1</v>
      </c>
      <c r="O70">
        <v>11</v>
      </c>
      <c r="P70">
        <v>12</v>
      </c>
      <c r="S70" s="72"/>
      <c r="T70" s="3"/>
      <c r="U70" s="90" t="s">
        <v>159</v>
      </c>
      <c r="V70" s="3"/>
      <c r="W70" s="3"/>
      <c r="X70" s="29"/>
      <c r="Y70" s="29"/>
      <c r="Z70" s="29"/>
      <c r="AA70" s="29"/>
      <c r="AB70" s="29"/>
      <c r="AC70" s="29"/>
      <c r="AD70" s="29"/>
      <c r="AE70" s="29"/>
      <c r="AF70" s="29"/>
      <c r="AG70" s="29"/>
      <c r="AH70" s="29"/>
      <c r="AI70" s="29"/>
      <c r="AJ70" s="29"/>
      <c r="AK70" s="29"/>
      <c r="AL70" s="29"/>
      <c r="AM70" s="29"/>
      <c r="AN70" s="29"/>
      <c r="AO70" s="29"/>
      <c r="AP70" s="29"/>
      <c r="AQ70" s="29"/>
      <c r="AR70" s="13"/>
    </row>
    <row r="71" spans="1:44" ht="15">
      <c r="A71">
        <v>70</v>
      </c>
      <c r="B71" s="2">
        <v>40547</v>
      </c>
      <c r="C71">
        <v>1</v>
      </c>
      <c r="D71" t="s">
        <v>17</v>
      </c>
      <c r="E71" s="6" t="s">
        <v>18</v>
      </c>
      <c r="F71" s="151">
        <v>2.875</v>
      </c>
      <c r="G71" s="7" t="s">
        <v>36</v>
      </c>
      <c r="H71" s="7" t="s">
        <v>42</v>
      </c>
      <c r="I71" s="7" t="s">
        <v>38</v>
      </c>
      <c r="J71">
        <v>0.16</v>
      </c>
      <c r="K71" s="148">
        <v>0</v>
      </c>
      <c r="L71">
        <v>0.55000000000000004</v>
      </c>
      <c r="M71" s="148">
        <v>0.1045</v>
      </c>
      <c r="N71">
        <v>0</v>
      </c>
      <c r="O71">
        <v>5</v>
      </c>
      <c r="P71">
        <v>5</v>
      </c>
      <c r="S71" s="72"/>
      <c r="T71" s="3"/>
      <c r="U71" s="3"/>
      <c r="V71" s="3"/>
      <c r="W71" s="3"/>
      <c r="X71" s="29"/>
      <c r="Y71" s="29"/>
      <c r="Z71" s="29"/>
      <c r="AA71" s="29"/>
      <c r="AB71" s="29"/>
      <c r="AC71" s="29"/>
      <c r="AD71" s="29"/>
      <c r="AE71" s="29"/>
      <c r="AF71" s="29"/>
      <c r="AG71" s="29"/>
      <c r="AH71" s="29"/>
      <c r="AI71" s="29"/>
      <c r="AJ71" s="29"/>
      <c r="AK71" s="29"/>
      <c r="AL71" s="29"/>
      <c r="AM71" s="29"/>
      <c r="AN71" s="29"/>
      <c r="AO71" s="29"/>
      <c r="AP71" s="13"/>
      <c r="AQ71" s="29"/>
      <c r="AR71" s="13"/>
    </row>
    <row r="72" spans="1:44" ht="17.399999999999999" customHeight="1" thickBot="1">
      <c r="A72">
        <v>71</v>
      </c>
      <c r="B72" s="2">
        <v>40547</v>
      </c>
      <c r="C72">
        <v>1</v>
      </c>
      <c r="D72" t="s">
        <v>17</v>
      </c>
      <c r="E72" s="6" t="s">
        <v>18</v>
      </c>
      <c r="F72" s="151">
        <v>2.916666666666667</v>
      </c>
      <c r="G72" s="7" t="s">
        <v>36</v>
      </c>
      <c r="H72" s="7" t="s">
        <v>42</v>
      </c>
      <c r="I72" s="7" t="s">
        <v>38</v>
      </c>
      <c r="J72">
        <v>0.16</v>
      </c>
      <c r="K72" s="148">
        <v>0.18179999999999999</v>
      </c>
      <c r="L72">
        <v>0.59</v>
      </c>
      <c r="M72" s="148">
        <v>0.1045</v>
      </c>
      <c r="N72">
        <v>0</v>
      </c>
      <c r="O72">
        <v>2</v>
      </c>
      <c r="P72">
        <v>2</v>
      </c>
      <c r="S72" s="72"/>
      <c r="T72" s="170" t="s">
        <v>131</v>
      </c>
      <c r="U72" s="171"/>
      <c r="V72" s="171"/>
      <c r="W72" s="172"/>
      <c r="X72" s="29"/>
      <c r="Y72" s="29"/>
      <c r="Z72" s="173" t="s">
        <v>175</v>
      </c>
      <c r="AA72" s="174"/>
      <c r="AB72" s="174"/>
      <c r="AC72" s="175"/>
      <c r="AD72" s="29"/>
      <c r="AE72" s="29"/>
      <c r="AF72" s="29"/>
      <c r="AG72" s="29"/>
      <c r="AH72" s="29"/>
      <c r="AI72" s="29"/>
      <c r="AJ72" s="29"/>
      <c r="AK72" s="29"/>
      <c r="AL72" s="29"/>
      <c r="AM72" s="29"/>
      <c r="AN72" s="29"/>
      <c r="AO72" s="29"/>
      <c r="AP72" s="13"/>
      <c r="AQ72" s="29"/>
      <c r="AR72" s="13"/>
    </row>
    <row r="73" spans="1:44" ht="16.2" thickBot="1">
      <c r="A73">
        <v>72</v>
      </c>
      <c r="B73" s="2">
        <v>40547</v>
      </c>
      <c r="C73">
        <v>1</v>
      </c>
      <c r="D73" t="s">
        <v>17</v>
      </c>
      <c r="E73" s="6" t="s">
        <v>18</v>
      </c>
      <c r="F73" s="151">
        <v>2.958333333333333</v>
      </c>
      <c r="G73" s="7" t="s">
        <v>36</v>
      </c>
      <c r="H73" s="7" t="s">
        <v>42</v>
      </c>
      <c r="I73" s="7" t="s">
        <v>38</v>
      </c>
      <c r="J73">
        <v>0.14000000000000001</v>
      </c>
      <c r="K73" s="148">
        <v>0.1515</v>
      </c>
      <c r="L73">
        <v>0.63</v>
      </c>
      <c r="M73" s="148">
        <v>0.1343</v>
      </c>
      <c r="N73">
        <v>0</v>
      </c>
      <c r="O73">
        <v>1</v>
      </c>
      <c r="P73">
        <v>1</v>
      </c>
      <c r="S73" s="72"/>
      <c r="T73" s="116"/>
      <c r="U73" s="117"/>
      <c r="V73" s="117"/>
      <c r="W73" s="118"/>
      <c r="X73" s="29"/>
      <c r="Y73" s="29"/>
      <c r="Z73" s="121" t="s">
        <v>171</v>
      </c>
      <c r="AA73" s="122" t="s">
        <v>172</v>
      </c>
      <c r="AB73" s="122" t="s">
        <v>173</v>
      </c>
      <c r="AC73" s="123" t="s">
        <v>174</v>
      </c>
      <c r="AD73" s="29"/>
      <c r="AE73" s="29"/>
      <c r="AF73" s="29"/>
      <c r="AG73" s="29"/>
      <c r="AH73" s="29"/>
      <c r="AI73" s="29"/>
      <c r="AJ73" s="29"/>
      <c r="AK73" s="29"/>
      <c r="AL73" s="29"/>
      <c r="AM73" s="29"/>
      <c r="AN73" s="29"/>
      <c r="AO73" s="29"/>
      <c r="AP73" s="13"/>
      <c r="AQ73" s="29"/>
      <c r="AR73" s="13"/>
    </row>
    <row r="74" spans="1:44">
      <c r="A74">
        <v>73</v>
      </c>
      <c r="B74" s="2">
        <v>40547</v>
      </c>
      <c r="C74">
        <v>1</v>
      </c>
      <c r="D74" t="s">
        <v>17</v>
      </c>
      <c r="E74" s="6" t="s">
        <v>18</v>
      </c>
      <c r="F74" s="151">
        <v>3</v>
      </c>
      <c r="G74" s="7" t="s">
        <v>36</v>
      </c>
      <c r="H74" s="7" t="s">
        <v>42</v>
      </c>
      <c r="I74" s="7" t="s">
        <v>38</v>
      </c>
      <c r="J74">
        <v>0.14000000000000001</v>
      </c>
      <c r="K74" s="148">
        <v>0.18179999999999999</v>
      </c>
      <c r="L74">
        <v>0.63</v>
      </c>
      <c r="M74" s="148">
        <v>8.9599999999999999E-2</v>
      </c>
      <c r="N74">
        <v>0</v>
      </c>
      <c r="O74">
        <v>2</v>
      </c>
      <c r="P74">
        <v>2</v>
      </c>
      <c r="S74" s="72"/>
      <c r="T74" s="113" t="s">
        <v>133</v>
      </c>
      <c r="U74" s="114" t="s">
        <v>52</v>
      </c>
      <c r="V74" s="114" t="s">
        <v>53</v>
      </c>
      <c r="W74" s="115" t="s">
        <v>54</v>
      </c>
      <c r="X74" s="29"/>
      <c r="Y74" s="29"/>
      <c r="Z74" s="81" t="s">
        <v>142</v>
      </c>
      <c r="AA74" s="84">
        <v>1</v>
      </c>
      <c r="AB74" s="84">
        <v>249</v>
      </c>
      <c r="AC74" s="80">
        <v>58.304000000000002</v>
      </c>
      <c r="AD74" s="29"/>
      <c r="AE74" s="29"/>
      <c r="AF74" s="29"/>
      <c r="AG74" s="29"/>
      <c r="AH74" s="29"/>
      <c r="AI74" s="29"/>
      <c r="AJ74" s="29"/>
      <c r="AK74" s="29"/>
      <c r="AL74" s="29"/>
      <c r="AM74" s="29"/>
      <c r="AN74" s="29"/>
      <c r="AO74" s="29"/>
      <c r="AP74" s="13"/>
      <c r="AQ74" s="29"/>
      <c r="AR74" s="13"/>
    </row>
    <row r="75" spans="1:44">
      <c r="A75">
        <v>74</v>
      </c>
      <c r="B75" s="2">
        <v>40547</v>
      </c>
      <c r="C75">
        <v>1</v>
      </c>
      <c r="D75" t="s">
        <v>17</v>
      </c>
      <c r="E75" s="6" t="s">
        <v>18</v>
      </c>
      <c r="F75" s="151">
        <v>3.041666666666667</v>
      </c>
      <c r="G75" s="7" t="s">
        <v>36</v>
      </c>
      <c r="H75" s="7" t="s">
        <v>42</v>
      </c>
      <c r="I75" s="7" t="s">
        <v>38</v>
      </c>
      <c r="J75">
        <v>0.12</v>
      </c>
      <c r="K75" s="148">
        <v>0.1515</v>
      </c>
      <c r="L75">
        <v>0.68</v>
      </c>
      <c r="M75" s="148">
        <v>0.1045</v>
      </c>
      <c r="N75">
        <v>0</v>
      </c>
      <c r="O75">
        <v>4</v>
      </c>
      <c r="P75">
        <v>4</v>
      </c>
      <c r="S75" s="72"/>
      <c r="T75" s="81" t="s">
        <v>134</v>
      </c>
      <c r="U75" s="84">
        <v>117</v>
      </c>
      <c r="V75" s="84">
        <v>883</v>
      </c>
      <c r="W75" s="80">
        <v>1000</v>
      </c>
      <c r="X75" s="29"/>
      <c r="Y75" s="29"/>
      <c r="Z75" s="81" t="s">
        <v>141</v>
      </c>
      <c r="AA75" s="84">
        <v>0</v>
      </c>
      <c r="AB75" s="84">
        <v>247</v>
      </c>
      <c r="AC75" s="80">
        <v>53.383000000000003</v>
      </c>
      <c r="AD75" s="29"/>
      <c r="AE75" s="29"/>
      <c r="AF75" s="29"/>
      <c r="AG75" s="29"/>
      <c r="AH75" s="29"/>
      <c r="AI75" s="29"/>
      <c r="AJ75" s="29"/>
      <c r="AK75" s="29"/>
      <c r="AL75" s="29"/>
      <c r="AM75" s="29"/>
      <c r="AN75" s="29"/>
      <c r="AO75" s="29"/>
      <c r="AP75" s="13"/>
      <c r="AQ75" s="29"/>
      <c r="AR75" s="13"/>
    </row>
    <row r="76" spans="1:44" ht="15" thickBot="1">
      <c r="A76">
        <v>75</v>
      </c>
      <c r="B76" s="2">
        <v>40547</v>
      </c>
      <c r="C76">
        <v>1</v>
      </c>
      <c r="D76" t="s">
        <v>17</v>
      </c>
      <c r="E76" s="6" t="s">
        <v>18</v>
      </c>
      <c r="F76" s="151">
        <v>3.083333333333333</v>
      </c>
      <c r="G76" s="7" t="s">
        <v>36</v>
      </c>
      <c r="H76" s="7" t="s">
        <v>42</v>
      </c>
      <c r="I76" s="7" t="s">
        <v>38</v>
      </c>
      <c r="J76">
        <v>0.12</v>
      </c>
      <c r="K76" s="148">
        <v>0.1515</v>
      </c>
      <c r="L76">
        <v>0.74</v>
      </c>
      <c r="M76" s="148">
        <v>0.1045</v>
      </c>
      <c r="N76">
        <v>0</v>
      </c>
      <c r="O76">
        <v>36</v>
      </c>
      <c r="P76">
        <v>36</v>
      </c>
      <c r="S76" s="72"/>
      <c r="T76" s="79" t="s">
        <v>135</v>
      </c>
      <c r="U76" s="85">
        <v>4804</v>
      </c>
      <c r="V76" s="85">
        <v>52500</v>
      </c>
      <c r="W76" s="78">
        <v>57304</v>
      </c>
      <c r="X76" s="29"/>
      <c r="Y76" s="29"/>
      <c r="Z76" s="79" t="s">
        <v>170</v>
      </c>
      <c r="AA76" s="85">
        <v>0</v>
      </c>
      <c r="AB76" s="85">
        <v>62</v>
      </c>
      <c r="AC76" s="78">
        <v>4.9210000000000003</v>
      </c>
      <c r="AD76" s="29"/>
      <c r="AE76" s="29"/>
      <c r="AF76" s="29"/>
      <c r="AG76" s="29"/>
      <c r="AH76" s="29"/>
      <c r="AI76" s="29"/>
      <c r="AJ76" s="29"/>
      <c r="AK76" s="29"/>
      <c r="AL76" s="29"/>
      <c r="AM76" s="29"/>
      <c r="AN76" s="29"/>
      <c r="AO76" s="29"/>
      <c r="AP76" s="13"/>
      <c r="AQ76" s="29"/>
      <c r="AR76" s="13"/>
    </row>
    <row r="77" spans="1:44">
      <c r="A77">
        <v>76</v>
      </c>
      <c r="B77" s="2">
        <v>40547</v>
      </c>
      <c r="C77">
        <v>1</v>
      </c>
      <c r="D77" t="s">
        <v>17</v>
      </c>
      <c r="E77" s="6" t="s">
        <v>18</v>
      </c>
      <c r="F77" s="151">
        <v>3.125</v>
      </c>
      <c r="G77" s="7" t="s">
        <v>36</v>
      </c>
      <c r="H77" s="7" t="s">
        <v>42</v>
      </c>
      <c r="I77" s="7" t="s">
        <v>38</v>
      </c>
      <c r="J77">
        <v>0.12</v>
      </c>
      <c r="K77" s="148">
        <v>0.1515</v>
      </c>
      <c r="L77">
        <v>0.74</v>
      </c>
      <c r="M77" s="148">
        <v>0.1343</v>
      </c>
      <c r="N77">
        <v>2</v>
      </c>
      <c r="O77">
        <v>92</v>
      </c>
      <c r="P77">
        <v>94</v>
      </c>
      <c r="S77" s="72"/>
      <c r="T77" s="29"/>
      <c r="U77" s="29"/>
      <c r="V77" s="29"/>
      <c r="W77" s="29"/>
      <c r="X77" s="29"/>
      <c r="Y77" s="29"/>
      <c r="Z77" s="29"/>
      <c r="AA77" s="29"/>
      <c r="AB77" s="29"/>
      <c r="AC77" s="29"/>
      <c r="AD77" s="29"/>
      <c r="AE77" s="29"/>
      <c r="AF77" s="29"/>
      <c r="AG77" s="29"/>
      <c r="AH77" s="29"/>
      <c r="AI77" s="29"/>
      <c r="AJ77" s="29"/>
      <c r="AK77" s="29"/>
      <c r="AL77" s="29"/>
      <c r="AM77" s="29"/>
      <c r="AN77" s="29"/>
      <c r="AO77" s="29"/>
      <c r="AP77" s="13"/>
      <c r="AQ77" s="29"/>
      <c r="AR77" s="13"/>
    </row>
    <row r="78" spans="1:44">
      <c r="A78">
        <v>77</v>
      </c>
      <c r="B78" s="2">
        <v>40547</v>
      </c>
      <c r="C78">
        <v>1</v>
      </c>
      <c r="D78" t="s">
        <v>17</v>
      </c>
      <c r="E78" s="6" t="s">
        <v>18</v>
      </c>
      <c r="F78" s="151">
        <v>3.166666666666667</v>
      </c>
      <c r="G78" s="7" t="s">
        <v>36</v>
      </c>
      <c r="H78" s="7" t="s">
        <v>42</v>
      </c>
      <c r="I78" s="7" t="s">
        <v>38</v>
      </c>
      <c r="J78">
        <v>0.14000000000000001</v>
      </c>
      <c r="K78" s="148">
        <v>0.1515</v>
      </c>
      <c r="L78">
        <v>0.69</v>
      </c>
      <c r="M78" s="148">
        <v>0.16420000000000001</v>
      </c>
      <c r="N78">
        <v>2</v>
      </c>
      <c r="O78">
        <v>177</v>
      </c>
      <c r="P78">
        <v>179</v>
      </c>
      <c r="S78" s="72"/>
      <c r="T78" s="29"/>
      <c r="U78" s="29"/>
      <c r="V78" s="29"/>
      <c r="W78" s="29"/>
      <c r="X78" s="29"/>
      <c r="Y78" s="29"/>
      <c r="Z78" s="29"/>
      <c r="AA78" s="29"/>
      <c r="AB78" s="29"/>
      <c r="AC78" s="29"/>
      <c r="AD78" s="29"/>
      <c r="AE78" s="29"/>
      <c r="AF78" s="29"/>
      <c r="AG78" s="29"/>
      <c r="AH78" s="29"/>
      <c r="AI78" s="29"/>
      <c r="AJ78" s="29"/>
      <c r="AK78" s="29"/>
      <c r="AL78" s="29"/>
      <c r="AM78" s="29"/>
      <c r="AN78" s="29"/>
      <c r="AO78" s="29"/>
      <c r="AP78" s="13"/>
      <c r="AQ78" s="29"/>
      <c r="AR78" s="13"/>
    </row>
    <row r="79" spans="1:44">
      <c r="A79">
        <v>78</v>
      </c>
      <c r="B79" s="2">
        <v>40547</v>
      </c>
      <c r="C79">
        <v>1</v>
      </c>
      <c r="D79" t="s">
        <v>17</v>
      </c>
      <c r="E79" s="6" t="s">
        <v>18</v>
      </c>
      <c r="F79" s="151">
        <v>3.208333333333333</v>
      </c>
      <c r="G79" s="7" t="s">
        <v>36</v>
      </c>
      <c r="H79" s="7" t="s">
        <v>42</v>
      </c>
      <c r="I79" s="7" t="s">
        <v>38</v>
      </c>
      <c r="J79">
        <v>0.16</v>
      </c>
      <c r="K79" s="148">
        <v>0.1515</v>
      </c>
      <c r="L79">
        <v>0.64</v>
      </c>
      <c r="M79" s="148">
        <v>0.22389999999999999</v>
      </c>
      <c r="N79">
        <v>2</v>
      </c>
      <c r="O79">
        <v>98</v>
      </c>
      <c r="P79">
        <v>100</v>
      </c>
      <c r="S79" s="72"/>
      <c r="T79" s="29"/>
      <c r="U79" s="29"/>
      <c r="V79" s="29"/>
      <c r="W79" s="29"/>
      <c r="X79" s="29"/>
      <c r="Y79" s="29"/>
      <c r="Z79" s="29"/>
      <c r="AA79" s="29"/>
      <c r="AB79" s="29"/>
      <c r="AC79" s="29"/>
      <c r="AD79" s="29"/>
      <c r="AE79" s="29"/>
      <c r="AF79" s="29"/>
      <c r="AG79" s="29"/>
      <c r="AH79" s="29"/>
      <c r="AI79" s="29"/>
      <c r="AJ79" s="29"/>
      <c r="AK79" s="29"/>
      <c r="AL79" s="29"/>
      <c r="AM79" s="29"/>
      <c r="AN79" s="29"/>
      <c r="AO79" s="29"/>
      <c r="AP79" s="13"/>
      <c r="AQ79" s="29"/>
      <c r="AR79" s="13"/>
    </row>
    <row r="80" spans="1:44">
      <c r="A80">
        <v>79</v>
      </c>
      <c r="B80" s="2">
        <v>40547</v>
      </c>
      <c r="C80">
        <v>1</v>
      </c>
      <c r="D80" t="s">
        <v>17</v>
      </c>
      <c r="E80" s="6" t="s">
        <v>18</v>
      </c>
      <c r="F80" s="151">
        <v>3.25</v>
      </c>
      <c r="G80" s="7" t="s">
        <v>36</v>
      </c>
      <c r="H80" s="7" t="s">
        <v>42</v>
      </c>
      <c r="I80" s="7" t="s">
        <v>39</v>
      </c>
      <c r="J80">
        <v>0.16</v>
      </c>
      <c r="K80" s="148">
        <v>0.13639999999999999</v>
      </c>
      <c r="L80">
        <v>0.69</v>
      </c>
      <c r="M80" s="148">
        <v>0.32840000000000003</v>
      </c>
      <c r="N80">
        <v>5</v>
      </c>
      <c r="O80">
        <v>37</v>
      </c>
      <c r="P80">
        <v>42</v>
      </c>
      <c r="S80" s="72"/>
      <c r="T80" s="29"/>
      <c r="U80" s="29"/>
      <c r="V80" s="29"/>
      <c r="W80" s="29"/>
      <c r="X80" s="29"/>
      <c r="Y80" s="29"/>
      <c r="Z80" s="29"/>
      <c r="AA80" s="29"/>
      <c r="AB80" s="29"/>
      <c r="AC80" s="29"/>
      <c r="AD80" s="29"/>
      <c r="AE80" s="29"/>
      <c r="AF80" s="29"/>
      <c r="AG80" s="29"/>
      <c r="AH80" s="29"/>
      <c r="AI80" s="29"/>
      <c r="AJ80" s="29"/>
      <c r="AK80" s="29"/>
      <c r="AL80" s="29"/>
      <c r="AM80" s="29"/>
      <c r="AN80" s="29"/>
      <c r="AO80" s="29"/>
      <c r="AP80" s="13"/>
      <c r="AQ80" s="29"/>
      <c r="AR80" s="13"/>
    </row>
    <row r="81" spans="1:44">
      <c r="A81">
        <v>80</v>
      </c>
      <c r="B81" s="2">
        <v>40547</v>
      </c>
      <c r="C81">
        <v>1</v>
      </c>
      <c r="D81" t="s">
        <v>17</v>
      </c>
      <c r="E81" s="6" t="s">
        <v>18</v>
      </c>
      <c r="F81" s="151">
        <v>3.291666666666667</v>
      </c>
      <c r="G81" s="7" t="s">
        <v>36</v>
      </c>
      <c r="H81" s="7" t="s">
        <v>42</v>
      </c>
      <c r="I81" s="7" t="s">
        <v>38</v>
      </c>
      <c r="J81">
        <v>0.22</v>
      </c>
      <c r="K81" s="148">
        <v>0.21210000000000001</v>
      </c>
      <c r="L81">
        <v>0.51</v>
      </c>
      <c r="M81" s="148">
        <v>0.29849999999999999</v>
      </c>
      <c r="N81">
        <v>7</v>
      </c>
      <c r="O81">
        <v>50</v>
      </c>
      <c r="P81">
        <v>57</v>
      </c>
      <c r="S81" s="72"/>
      <c r="T81" s="29"/>
      <c r="U81" s="29"/>
      <c r="V81" s="29"/>
      <c r="W81" s="29"/>
      <c r="X81" s="29"/>
      <c r="Y81" s="29"/>
      <c r="Z81" s="29"/>
      <c r="AA81" s="29"/>
      <c r="AB81" s="29"/>
      <c r="AC81" s="29"/>
      <c r="AD81" s="29"/>
      <c r="AE81" s="29"/>
      <c r="AF81" s="29"/>
      <c r="AG81" s="29"/>
      <c r="AH81" s="29"/>
      <c r="AI81" s="29"/>
      <c r="AJ81" s="29"/>
      <c r="AK81" s="29"/>
      <c r="AL81" s="29"/>
      <c r="AM81" s="29"/>
      <c r="AN81" s="29"/>
      <c r="AO81" s="29"/>
      <c r="AP81" s="13"/>
      <c r="AQ81" s="29"/>
      <c r="AR81" s="13"/>
    </row>
    <row r="82" spans="1:44">
      <c r="A82">
        <v>81</v>
      </c>
      <c r="B82" s="2">
        <v>40547</v>
      </c>
      <c r="C82">
        <v>1</v>
      </c>
      <c r="D82" t="s">
        <v>17</v>
      </c>
      <c r="E82" s="6" t="s">
        <v>18</v>
      </c>
      <c r="F82" s="151">
        <v>3.333333333333333</v>
      </c>
      <c r="G82" s="7" t="s">
        <v>36</v>
      </c>
      <c r="H82" s="7" t="s">
        <v>42</v>
      </c>
      <c r="I82" s="7" t="s">
        <v>38</v>
      </c>
      <c r="J82">
        <v>0.22</v>
      </c>
      <c r="K82" s="148">
        <v>0.2273</v>
      </c>
      <c r="L82">
        <v>0.51</v>
      </c>
      <c r="M82" s="148">
        <v>0.16420000000000001</v>
      </c>
      <c r="N82">
        <v>12</v>
      </c>
      <c r="O82">
        <v>66</v>
      </c>
      <c r="P82">
        <v>78</v>
      </c>
      <c r="S82" s="72"/>
      <c r="T82" s="29"/>
      <c r="U82" s="29"/>
      <c r="V82" s="29"/>
      <c r="W82" s="29"/>
      <c r="X82" s="29"/>
      <c r="Y82" s="29"/>
      <c r="Z82" s="29"/>
      <c r="AA82" s="29"/>
      <c r="AB82" s="29"/>
      <c r="AC82" s="29"/>
      <c r="AD82" s="29"/>
      <c r="AE82" s="29"/>
      <c r="AF82" s="29"/>
      <c r="AG82" s="29"/>
      <c r="AH82" s="29"/>
      <c r="AI82" s="29"/>
      <c r="AJ82" s="29"/>
      <c r="AK82" s="29"/>
      <c r="AL82" s="29"/>
      <c r="AM82" s="29"/>
      <c r="AN82" s="29"/>
      <c r="AO82" s="29"/>
      <c r="AP82" s="13"/>
      <c r="AQ82" s="29"/>
      <c r="AR82" s="13"/>
    </row>
    <row r="83" spans="1:44">
      <c r="A83">
        <v>82</v>
      </c>
      <c r="B83" s="2">
        <v>40547</v>
      </c>
      <c r="C83">
        <v>1</v>
      </c>
      <c r="D83" t="s">
        <v>17</v>
      </c>
      <c r="E83" s="6" t="s">
        <v>18</v>
      </c>
      <c r="F83" s="151">
        <v>3.375</v>
      </c>
      <c r="G83" s="7" t="s">
        <v>36</v>
      </c>
      <c r="H83" s="7" t="s">
        <v>42</v>
      </c>
      <c r="I83" s="7" t="s">
        <v>38</v>
      </c>
      <c r="J83">
        <v>0.24</v>
      </c>
      <c r="K83" s="148">
        <v>0.2273</v>
      </c>
      <c r="L83">
        <v>0.56000000000000005</v>
      </c>
      <c r="M83" s="148">
        <v>0.19400000000000001</v>
      </c>
      <c r="N83">
        <v>18</v>
      </c>
      <c r="O83">
        <v>79</v>
      </c>
      <c r="P83">
        <v>97</v>
      </c>
      <c r="S83" s="72"/>
      <c r="T83" s="29"/>
      <c r="U83" s="29"/>
      <c r="V83" s="29"/>
      <c r="W83" s="29"/>
      <c r="X83" s="29"/>
      <c r="Y83" s="29"/>
      <c r="Z83" s="29"/>
      <c r="AA83" s="29"/>
      <c r="AB83" s="29"/>
      <c r="AC83" s="29"/>
      <c r="AD83" s="29"/>
      <c r="AE83" s="29"/>
      <c r="AF83" s="29"/>
      <c r="AG83" s="29"/>
      <c r="AH83" s="29"/>
      <c r="AI83" s="29"/>
      <c r="AJ83" s="29"/>
      <c r="AK83" s="29"/>
      <c r="AL83" s="29"/>
      <c r="AM83" s="29"/>
      <c r="AN83" s="29"/>
      <c r="AO83" s="29"/>
      <c r="AP83" s="13"/>
      <c r="AQ83" s="29"/>
      <c r="AR83" s="13"/>
    </row>
    <row r="84" spans="1:44">
      <c r="A84">
        <v>83</v>
      </c>
      <c r="B84" s="2">
        <v>40547</v>
      </c>
      <c r="C84">
        <v>1</v>
      </c>
      <c r="D84" t="s">
        <v>17</v>
      </c>
      <c r="E84" s="6" t="s">
        <v>18</v>
      </c>
      <c r="F84" s="151">
        <v>3.416666666666667</v>
      </c>
      <c r="G84" s="7" t="s">
        <v>36</v>
      </c>
      <c r="H84" s="7" t="s">
        <v>42</v>
      </c>
      <c r="I84" s="7" t="s">
        <v>38</v>
      </c>
      <c r="J84">
        <v>0.26</v>
      </c>
      <c r="K84" s="148">
        <v>0.2576</v>
      </c>
      <c r="L84">
        <v>0.52</v>
      </c>
      <c r="M84" s="148">
        <v>0.22389999999999999</v>
      </c>
      <c r="N84">
        <v>9</v>
      </c>
      <c r="O84">
        <v>54</v>
      </c>
      <c r="P84">
        <v>63</v>
      </c>
      <c r="S84" s="72"/>
      <c r="T84" s="29"/>
      <c r="U84" s="29"/>
      <c r="V84" s="29"/>
      <c r="W84" s="29"/>
      <c r="X84" s="29"/>
      <c r="Y84" s="29"/>
      <c r="Z84" s="29"/>
      <c r="AA84" s="29"/>
      <c r="AB84" s="29"/>
      <c r="AC84" s="29"/>
      <c r="AD84" s="29"/>
      <c r="AE84" s="29"/>
      <c r="AF84" s="29"/>
      <c r="AG84" s="29"/>
      <c r="AH84" s="29"/>
      <c r="AI84" s="29"/>
      <c r="AJ84" s="29"/>
      <c r="AK84" s="29"/>
      <c r="AL84" s="29"/>
      <c r="AM84" s="29"/>
      <c r="AN84" s="29"/>
      <c r="AO84" s="29"/>
      <c r="AP84" s="13"/>
      <c r="AQ84" s="29"/>
      <c r="AR84" s="13"/>
    </row>
    <row r="85" spans="1:44">
      <c r="A85">
        <v>84</v>
      </c>
      <c r="B85" s="2">
        <v>40547</v>
      </c>
      <c r="C85">
        <v>1</v>
      </c>
      <c r="D85" t="s">
        <v>17</v>
      </c>
      <c r="E85" s="6" t="s">
        <v>18</v>
      </c>
      <c r="F85" s="151">
        <v>3.458333333333333</v>
      </c>
      <c r="G85" s="7" t="s">
        <v>36</v>
      </c>
      <c r="H85" s="7" t="s">
        <v>42</v>
      </c>
      <c r="I85" s="7" t="s">
        <v>38</v>
      </c>
      <c r="J85">
        <v>0.28000000000000003</v>
      </c>
      <c r="K85" s="148">
        <v>0.2727</v>
      </c>
      <c r="L85">
        <v>0.52</v>
      </c>
      <c r="M85" s="148">
        <v>0.25369999999999998</v>
      </c>
      <c r="N85">
        <v>17</v>
      </c>
      <c r="O85">
        <v>48</v>
      </c>
      <c r="P85">
        <v>65</v>
      </c>
      <c r="S85" s="72"/>
      <c r="T85" s="29"/>
      <c r="U85" s="29"/>
      <c r="V85" s="29"/>
      <c r="W85" s="29"/>
      <c r="X85" s="29"/>
      <c r="Y85" s="29"/>
      <c r="Z85" s="29"/>
      <c r="AA85" s="29"/>
      <c r="AB85" s="29"/>
      <c r="AC85" s="29"/>
      <c r="AD85" s="29"/>
      <c r="AE85" s="29"/>
      <c r="AF85" s="29"/>
      <c r="AG85" s="29"/>
      <c r="AH85" s="29"/>
      <c r="AI85" s="29"/>
      <c r="AJ85" s="29"/>
      <c r="AK85" s="29"/>
      <c r="AL85" s="29"/>
      <c r="AM85" s="29"/>
      <c r="AN85" s="29"/>
      <c r="AO85" s="29"/>
      <c r="AP85" s="13"/>
      <c r="AQ85" s="29"/>
      <c r="AR85" s="13"/>
    </row>
    <row r="86" spans="1:44">
      <c r="A86">
        <v>85</v>
      </c>
      <c r="B86" s="2">
        <v>40547</v>
      </c>
      <c r="C86">
        <v>1</v>
      </c>
      <c r="D86" t="s">
        <v>17</v>
      </c>
      <c r="E86" s="6" t="s">
        <v>18</v>
      </c>
      <c r="F86" s="151">
        <v>3.5</v>
      </c>
      <c r="G86" s="7" t="s">
        <v>36</v>
      </c>
      <c r="H86" s="7" t="s">
        <v>42</v>
      </c>
      <c r="I86" s="7" t="s">
        <v>38</v>
      </c>
      <c r="J86">
        <v>0.3</v>
      </c>
      <c r="K86" s="148">
        <v>0.28789999999999999</v>
      </c>
      <c r="L86">
        <v>0.49</v>
      </c>
      <c r="M86" s="148">
        <v>0.25369999999999998</v>
      </c>
      <c r="N86">
        <v>15</v>
      </c>
      <c r="O86">
        <v>68</v>
      </c>
      <c r="P86">
        <v>83</v>
      </c>
      <c r="S86" s="72"/>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13"/>
    </row>
    <row r="87" spans="1:44">
      <c r="A87">
        <v>86</v>
      </c>
      <c r="B87" s="2">
        <v>40547</v>
      </c>
      <c r="C87">
        <v>1</v>
      </c>
      <c r="D87" t="s">
        <v>17</v>
      </c>
      <c r="E87" s="6" t="s">
        <v>18</v>
      </c>
      <c r="F87" s="151">
        <v>3.541666666666667</v>
      </c>
      <c r="G87" s="7" t="s">
        <v>36</v>
      </c>
      <c r="H87" s="7" t="s">
        <v>42</v>
      </c>
      <c r="I87" s="7" t="s">
        <v>38</v>
      </c>
      <c r="J87">
        <v>0.28000000000000003</v>
      </c>
      <c r="K87" s="148">
        <v>0.2727</v>
      </c>
      <c r="L87">
        <v>0.48</v>
      </c>
      <c r="M87" s="148">
        <v>0.22389999999999999</v>
      </c>
      <c r="N87">
        <v>10</v>
      </c>
      <c r="O87">
        <v>202</v>
      </c>
      <c r="P87">
        <v>212</v>
      </c>
      <c r="S87" s="72"/>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13"/>
    </row>
    <row r="88" spans="1:44">
      <c r="A88">
        <v>87</v>
      </c>
      <c r="B88" s="2">
        <v>40547</v>
      </c>
      <c r="C88">
        <v>1</v>
      </c>
      <c r="D88" t="s">
        <v>17</v>
      </c>
      <c r="E88" s="6" t="s">
        <v>18</v>
      </c>
      <c r="F88" s="151">
        <v>3.583333333333333</v>
      </c>
      <c r="G88" s="7" t="s">
        <v>36</v>
      </c>
      <c r="H88" s="7" t="s">
        <v>42</v>
      </c>
      <c r="I88" s="7" t="s">
        <v>38</v>
      </c>
      <c r="J88">
        <v>0.26</v>
      </c>
      <c r="K88" s="148">
        <v>0.2576</v>
      </c>
      <c r="L88">
        <v>0.48</v>
      </c>
      <c r="M88" s="148">
        <v>0.19400000000000001</v>
      </c>
      <c r="N88">
        <v>3</v>
      </c>
      <c r="O88">
        <v>179</v>
      </c>
      <c r="P88">
        <v>182</v>
      </c>
      <c r="S88" s="72"/>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13"/>
    </row>
    <row r="89" spans="1:44">
      <c r="A89">
        <v>88</v>
      </c>
      <c r="B89" s="2">
        <v>40547</v>
      </c>
      <c r="C89">
        <v>1</v>
      </c>
      <c r="D89" t="s">
        <v>17</v>
      </c>
      <c r="E89" s="6" t="s">
        <v>18</v>
      </c>
      <c r="F89" s="151">
        <v>3.625</v>
      </c>
      <c r="G89" s="7" t="s">
        <v>36</v>
      </c>
      <c r="H89" s="7" t="s">
        <v>42</v>
      </c>
      <c r="I89" s="7" t="s">
        <v>38</v>
      </c>
      <c r="J89">
        <v>0.24</v>
      </c>
      <c r="K89" s="148">
        <v>0.2576</v>
      </c>
      <c r="L89">
        <v>0.48</v>
      </c>
      <c r="M89" s="148">
        <v>0.1045</v>
      </c>
      <c r="N89">
        <v>2</v>
      </c>
      <c r="O89">
        <v>110</v>
      </c>
      <c r="P89">
        <v>112</v>
      </c>
      <c r="S89" s="72"/>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13"/>
    </row>
    <row r="90" spans="1:44">
      <c r="A90">
        <v>89</v>
      </c>
      <c r="B90" s="2">
        <v>40547</v>
      </c>
      <c r="C90">
        <v>1</v>
      </c>
      <c r="D90" t="s">
        <v>17</v>
      </c>
      <c r="E90" s="6" t="s">
        <v>18</v>
      </c>
      <c r="F90" s="151">
        <v>3.666666666666667</v>
      </c>
      <c r="G90" s="7" t="s">
        <v>36</v>
      </c>
      <c r="H90" s="7" t="s">
        <v>42</v>
      </c>
      <c r="I90" s="7" t="s">
        <v>38</v>
      </c>
      <c r="J90">
        <v>0.24</v>
      </c>
      <c r="K90" s="148">
        <v>0.2576</v>
      </c>
      <c r="L90">
        <v>0.48</v>
      </c>
      <c r="M90" s="148">
        <v>0.1045</v>
      </c>
      <c r="N90">
        <v>1</v>
      </c>
      <c r="O90">
        <v>53</v>
      </c>
      <c r="P90">
        <v>54</v>
      </c>
      <c r="S90" s="72"/>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13"/>
    </row>
    <row r="91" spans="1:44">
      <c r="A91">
        <v>90</v>
      </c>
      <c r="B91" s="2">
        <v>40547</v>
      </c>
      <c r="C91">
        <v>1</v>
      </c>
      <c r="D91" t="s">
        <v>17</v>
      </c>
      <c r="E91" s="6" t="s">
        <v>18</v>
      </c>
      <c r="F91" s="151">
        <v>3.708333333333333</v>
      </c>
      <c r="G91" s="7" t="s">
        <v>36</v>
      </c>
      <c r="H91" s="7" t="s">
        <v>42</v>
      </c>
      <c r="I91" s="7" t="s">
        <v>38</v>
      </c>
      <c r="J91">
        <v>0.22</v>
      </c>
      <c r="K91" s="148">
        <v>0.2727</v>
      </c>
      <c r="L91">
        <v>0.64</v>
      </c>
      <c r="M91" s="148">
        <v>0</v>
      </c>
      <c r="N91">
        <v>0</v>
      </c>
      <c r="O91">
        <v>48</v>
      </c>
      <c r="P91">
        <v>48</v>
      </c>
      <c r="S91" s="72"/>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13"/>
    </row>
    <row r="92" spans="1:44">
      <c r="A92">
        <v>91</v>
      </c>
      <c r="B92" s="2">
        <v>40547</v>
      </c>
      <c r="C92">
        <v>1</v>
      </c>
      <c r="D92" t="s">
        <v>17</v>
      </c>
      <c r="E92" s="6" t="s">
        <v>18</v>
      </c>
      <c r="F92" s="151">
        <v>3.75</v>
      </c>
      <c r="G92" s="7" t="s">
        <v>36</v>
      </c>
      <c r="H92" s="7" t="s">
        <v>42</v>
      </c>
      <c r="I92" s="7" t="s">
        <v>38</v>
      </c>
      <c r="J92">
        <v>0.22</v>
      </c>
      <c r="K92" s="148">
        <v>0.2576</v>
      </c>
      <c r="L92">
        <v>0.64</v>
      </c>
      <c r="M92" s="148">
        <v>8.9599999999999999E-2</v>
      </c>
      <c r="N92">
        <v>1</v>
      </c>
      <c r="O92">
        <v>34</v>
      </c>
      <c r="P92">
        <v>35</v>
      </c>
      <c r="S92" s="72"/>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13"/>
    </row>
    <row r="93" spans="1:44">
      <c r="A93">
        <v>92</v>
      </c>
      <c r="B93" s="2">
        <v>40547</v>
      </c>
      <c r="C93">
        <v>1</v>
      </c>
      <c r="D93" t="s">
        <v>17</v>
      </c>
      <c r="E93" s="6" t="s">
        <v>18</v>
      </c>
      <c r="F93" s="151">
        <v>3.791666666666667</v>
      </c>
      <c r="G93" s="7" t="s">
        <v>36</v>
      </c>
      <c r="H93" s="7" t="s">
        <v>42</v>
      </c>
      <c r="I93" s="7" t="s">
        <v>38</v>
      </c>
      <c r="J93">
        <v>0.2</v>
      </c>
      <c r="K93" s="148">
        <v>0.2273</v>
      </c>
      <c r="L93">
        <v>0.69</v>
      </c>
      <c r="M93" s="148">
        <v>8.9599999999999999E-2</v>
      </c>
      <c r="N93">
        <v>2</v>
      </c>
      <c r="O93">
        <v>9</v>
      </c>
      <c r="P93">
        <v>11</v>
      </c>
      <c r="S93" s="72"/>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13"/>
    </row>
    <row r="94" spans="1:44">
      <c r="A94">
        <v>93</v>
      </c>
      <c r="B94" s="2">
        <v>40548</v>
      </c>
      <c r="C94">
        <v>1</v>
      </c>
      <c r="D94" t="s">
        <v>17</v>
      </c>
      <c r="E94" s="6" t="s">
        <v>18</v>
      </c>
      <c r="F94" s="151">
        <v>3.833333333333333</v>
      </c>
      <c r="G94" s="7" t="s">
        <v>36</v>
      </c>
      <c r="H94" s="7" t="s">
        <v>46</v>
      </c>
      <c r="I94" s="7" t="s">
        <v>38</v>
      </c>
      <c r="J94">
        <v>0.2</v>
      </c>
      <c r="K94" s="148">
        <v>0.2576</v>
      </c>
      <c r="L94">
        <v>0.64</v>
      </c>
      <c r="M94" s="148">
        <v>0</v>
      </c>
      <c r="N94">
        <v>0</v>
      </c>
      <c r="O94">
        <v>6</v>
      </c>
      <c r="P94">
        <v>6</v>
      </c>
      <c r="S94" s="72"/>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13"/>
    </row>
    <row r="95" spans="1:44">
      <c r="A95">
        <v>94</v>
      </c>
      <c r="B95" s="2">
        <v>40548</v>
      </c>
      <c r="C95">
        <v>1</v>
      </c>
      <c r="D95" t="s">
        <v>17</v>
      </c>
      <c r="E95" s="6" t="s">
        <v>18</v>
      </c>
      <c r="F95" s="151">
        <v>3.875</v>
      </c>
      <c r="G95" s="7" t="s">
        <v>36</v>
      </c>
      <c r="H95" s="7" t="s">
        <v>46</v>
      </c>
      <c r="I95" s="7" t="s">
        <v>38</v>
      </c>
      <c r="J95">
        <v>0.16</v>
      </c>
      <c r="K95" s="148">
        <v>0.19700000000000001</v>
      </c>
      <c r="L95">
        <v>0.74</v>
      </c>
      <c r="M95" s="148">
        <v>8.9599999999999999E-2</v>
      </c>
      <c r="N95">
        <v>0</v>
      </c>
      <c r="O95">
        <v>6</v>
      </c>
      <c r="P95">
        <v>6</v>
      </c>
      <c r="S95" s="72"/>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13"/>
    </row>
    <row r="96" spans="1:44">
      <c r="A96">
        <v>95</v>
      </c>
      <c r="B96" s="2">
        <v>40548</v>
      </c>
      <c r="C96">
        <v>1</v>
      </c>
      <c r="D96" t="s">
        <v>17</v>
      </c>
      <c r="E96" s="6" t="s">
        <v>18</v>
      </c>
      <c r="F96" s="151">
        <v>3.916666666666667</v>
      </c>
      <c r="G96" s="7" t="s">
        <v>36</v>
      </c>
      <c r="H96" s="7" t="s">
        <v>46</v>
      </c>
      <c r="I96" s="7" t="s">
        <v>38</v>
      </c>
      <c r="J96">
        <v>0.16</v>
      </c>
      <c r="K96" s="148">
        <v>0.19700000000000001</v>
      </c>
      <c r="L96">
        <v>0.74</v>
      </c>
      <c r="M96" s="148">
        <v>8.9599999999999999E-2</v>
      </c>
      <c r="N96">
        <v>0</v>
      </c>
      <c r="O96">
        <v>2</v>
      </c>
      <c r="P96">
        <v>2</v>
      </c>
      <c r="S96" s="72"/>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13"/>
    </row>
    <row r="97" spans="1:44">
      <c r="A97">
        <v>96</v>
      </c>
      <c r="B97" s="2">
        <v>40548</v>
      </c>
      <c r="C97">
        <v>1</v>
      </c>
      <c r="D97" t="s">
        <v>17</v>
      </c>
      <c r="E97" s="6" t="s">
        <v>18</v>
      </c>
      <c r="F97" s="151">
        <v>3.958333333333333</v>
      </c>
      <c r="G97" s="7" t="s">
        <v>36</v>
      </c>
      <c r="H97" s="7" t="s">
        <v>46</v>
      </c>
      <c r="I97" s="7" t="s">
        <v>38</v>
      </c>
      <c r="J97">
        <v>0.24</v>
      </c>
      <c r="K97" s="148">
        <v>0.2273</v>
      </c>
      <c r="L97">
        <v>0.48</v>
      </c>
      <c r="M97" s="148">
        <v>0.22389999999999999</v>
      </c>
      <c r="N97">
        <v>0</v>
      </c>
      <c r="O97">
        <v>2</v>
      </c>
      <c r="P97">
        <v>2</v>
      </c>
      <c r="S97" s="72"/>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13"/>
    </row>
    <row r="98" spans="1:44">
      <c r="A98">
        <v>97</v>
      </c>
      <c r="B98" s="2">
        <v>40548</v>
      </c>
      <c r="C98">
        <v>1</v>
      </c>
      <c r="D98" t="s">
        <v>17</v>
      </c>
      <c r="E98" s="6" t="s">
        <v>18</v>
      </c>
      <c r="F98" s="151">
        <v>4</v>
      </c>
      <c r="G98" s="7" t="s">
        <v>36</v>
      </c>
      <c r="H98" s="7" t="s">
        <v>46</v>
      </c>
      <c r="I98" s="7" t="s">
        <v>38</v>
      </c>
      <c r="J98">
        <v>0.22</v>
      </c>
      <c r="K98" s="148">
        <v>0.2273</v>
      </c>
      <c r="L98">
        <v>0.47</v>
      </c>
      <c r="M98" s="148">
        <v>0.16420000000000001</v>
      </c>
      <c r="N98">
        <v>0</v>
      </c>
      <c r="O98">
        <v>3</v>
      </c>
      <c r="P98">
        <v>3</v>
      </c>
      <c r="S98" s="72"/>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13"/>
    </row>
    <row r="99" spans="1:44">
      <c r="A99">
        <v>98</v>
      </c>
      <c r="B99" s="2">
        <v>40548</v>
      </c>
      <c r="C99">
        <v>1</v>
      </c>
      <c r="D99" t="s">
        <v>17</v>
      </c>
      <c r="E99" s="6" t="s">
        <v>18</v>
      </c>
      <c r="F99" s="151">
        <v>4.041666666666667</v>
      </c>
      <c r="G99" s="7" t="s">
        <v>36</v>
      </c>
      <c r="H99" s="7" t="s">
        <v>46</v>
      </c>
      <c r="I99" s="7" t="s">
        <v>38</v>
      </c>
      <c r="J99">
        <v>0.2</v>
      </c>
      <c r="K99" s="148">
        <v>0.19700000000000001</v>
      </c>
      <c r="L99">
        <v>0.47</v>
      </c>
      <c r="M99" s="148">
        <v>0.22389999999999999</v>
      </c>
      <c r="N99">
        <v>0</v>
      </c>
      <c r="O99">
        <v>33</v>
      </c>
      <c r="P99">
        <v>33</v>
      </c>
      <c r="S99" s="72"/>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13"/>
    </row>
    <row r="100" spans="1:44">
      <c r="A100">
        <v>99</v>
      </c>
      <c r="B100" s="2">
        <v>40548</v>
      </c>
      <c r="C100">
        <v>1</v>
      </c>
      <c r="D100" t="s">
        <v>17</v>
      </c>
      <c r="E100" s="6" t="s">
        <v>18</v>
      </c>
      <c r="F100" s="151">
        <v>4.083333333333333</v>
      </c>
      <c r="G100" s="7" t="s">
        <v>36</v>
      </c>
      <c r="H100" s="7" t="s">
        <v>46</v>
      </c>
      <c r="I100" s="7" t="s">
        <v>38</v>
      </c>
      <c r="J100">
        <v>0.18</v>
      </c>
      <c r="K100" s="148">
        <v>0.18179999999999999</v>
      </c>
      <c r="L100">
        <v>0.43</v>
      </c>
      <c r="M100" s="148">
        <v>0.19400000000000001</v>
      </c>
      <c r="N100">
        <v>1</v>
      </c>
      <c r="O100">
        <v>87</v>
      </c>
      <c r="P100">
        <v>88</v>
      </c>
      <c r="S100" s="72"/>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13"/>
    </row>
    <row r="101" spans="1:44" ht="15" thickBot="1">
      <c r="A101">
        <v>100</v>
      </c>
      <c r="B101" s="2">
        <v>40548</v>
      </c>
      <c r="C101">
        <v>1</v>
      </c>
      <c r="D101" t="s">
        <v>17</v>
      </c>
      <c r="E101" s="6" t="s">
        <v>18</v>
      </c>
      <c r="F101" s="151">
        <v>4.125</v>
      </c>
      <c r="G101" s="7" t="s">
        <v>36</v>
      </c>
      <c r="H101" s="7" t="s">
        <v>46</v>
      </c>
      <c r="I101" s="7" t="s">
        <v>38</v>
      </c>
      <c r="J101">
        <v>0.2</v>
      </c>
      <c r="K101" s="148">
        <v>0.18179999999999999</v>
      </c>
      <c r="L101">
        <v>0.4</v>
      </c>
      <c r="M101" s="148">
        <v>0.29849999999999999</v>
      </c>
      <c r="N101">
        <v>3</v>
      </c>
      <c r="O101">
        <v>192</v>
      </c>
      <c r="P101">
        <v>195</v>
      </c>
      <c r="S101" s="73"/>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29"/>
      <c r="AQ101" s="29"/>
      <c r="AR101" s="75"/>
    </row>
    <row r="102" spans="1:44">
      <c r="A102">
        <v>101</v>
      </c>
      <c r="B102" s="2">
        <v>40548</v>
      </c>
      <c r="C102">
        <v>1</v>
      </c>
      <c r="D102" t="s">
        <v>17</v>
      </c>
      <c r="E102" s="6" t="s">
        <v>18</v>
      </c>
      <c r="F102" s="151">
        <v>4.166666666666667</v>
      </c>
      <c r="G102" s="7" t="s">
        <v>36</v>
      </c>
      <c r="H102" s="7" t="s">
        <v>46</v>
      </c>
      <c r="I102" s="7" t="s">
        <v>38</v>
      </c>
      <c r="J102">
        <v>0.22</v>
      </c>
      <c r="K102" s="148">
        <v>0.19700000000000001</v>
      </c>
      <c r="L102">
        <v>0.37</v>
      </c>
      <c r="M102" s="148">
        <v>0.32840000000000003</v>
      </c>
      <c r="N102">
        <v>6</v>
      </c>
      <c r="O102">
        <v>109</v>
      </c>
      <c r="P102">
        <v>115</v>
      </c>
    </row>
    <row r="103" spans="1:44">
      <c r="A103">
        <v>102</v>
      </c>
      <c r="B103" s="2">
        <v>40548</v>
      </c>
      <c r="C103">
        <v>1</v>
      </c>
      <c r="D103" t="s">
        <v>17</v>
      </c>
      <c r="E103" s="6" t="s">
        <v>18</v>
      </c>
      <c r="F103" s="151">
        <v>4.208333333333333</v>
      </c>
      <c r="G103" s="7" t="s">
        <v>36</v>
      </c>
      <c r="H103" s="7" t="s">
        <v>46</v>
      </c>
      <c r="I103" s="7" t="s">
        <v>38</v>
      </c>
      <c r="J103">
        <v>0.22</v>
      </c>
      <c r="K103" s="148">
        <v>0.19700000000000001</v>
      </c>
      <c r="L103">
        <v>0.37</v>
      </c>
      <c r="M103" s="148">
        <v>0.32840000000000003</v>
      </c>
      <c r="N103">
        <v>4</v>
      </c>
      <c r="O103">
        <v>53</v>
      </c>
      <c r="P103">
        <v>57</v>
      </c>
    </row>
    <row r="104" spans="1:44">
      <c r="A104">
        <v>103</v>
      </c>
      <c r="B104" s="2">
        <v>40548</v>
      </c>
      <c r="C104">
        <v>1</v>
      </c>
      <c r="D104" t="s">
        <v>17</v>
      </c>
      <c r="E104" s="6" t="s">
        <v>18</v>
      </c>
      <c r="F104" s="151">
        <v>4.25</v>
      </c>
      <c r="G104" s="7" t="s">
        <v>36</v>
      </c>
      <c r="H104" s="7" t="s">
        <v>46</v>
      </c>
      <c r="I104" s="7" t="s">
        <v>38</v>
      </c>
      <c r="J104">
        <v>0.26</v>
      </c>
      <c r="K104" s="148">
        <v>0.2273</v>
      </c>
      <c r="L104">
        <v>0.33</v>
      </c>
      <c r="M104" s="148">
        <v>0.32840000000000003</v>
      </c>
      <c r="N104">
        <v>12</v>
      </c>
      <c r="O104">
        <v>34</v>
      </c>
      <c r="P104">
        <v>46</v>
      </c>
    </row>
    <row r="105" spans="1:44">
      <c r="A105">
        <v>104</v>
      </c>
      <c r="B105" s="2">
        <v>40548</v>
      </c>
      <c r="C105">
        <v>1</v>
      </c>
      <c r="D105" t="s">
        <v>17</v>
      </c>
      <c r="E105" s="6" t="s">
        <v>18</v>
      </c>
      <c r="F105" s="151">
        <v>4.291666666666667</v>
      </c>
      <c r="G105" s="7" t="s">
        <v>36</v>
      </c>
      <c r="H105" s="7" t="s">
        <v>46</v>
      </c>
      <c r="I105" s="7" t="s">
        <v>38</v>
      </c>
      <c r="J105">
        <v>0.26</v>
      </c>
      <c r="K105" s="148">
        <v>0.2273</v>
      </c>
      <c r="L105">
        <v>0.33</v>
      </c>
      <c r="M105" s="148">
        <v>0.32840000000000003</v>
      </c>
      <c r="N105">
        <v>5</v>
      </c>
      <c r="O105">
        <v>74</v>
      </c>
      <c r="P105">
        <v>79</v>
      </c>
    </row>
    <row r="106" spans="1:44">
      <c r="A106">
        <v>105</v>
      </c>
      <c r="B106" s="2">
        <v>40548</v>
      </c>
      <c r="C106">
        <v>1</v>
      </c>
      <c r="D106" t="s">
        <v>17</v>
      </c>
      <c r="E106" s="6" t="s">
        <v>18</v>
      </c>
      <c r="F106" s="151">
        <v>4.333333333333333</v>
      </c>
      <c r="G106" s="7" t="s">
        <v>36</v>
      </c>
      <c r="H106" s="7" t="s">
        <v>46</v>
      </c>
      <c r="I106" s="7" t="s">
        <v>38</v>
      </c>
      <c r="J106">
        <v>0.28000000000000003</v>
      </c>
      <c r="K106" s="148">
        <v>0.2576</v>
      </c>
      <c r="L106">
        <v>0.3</v>
      </c>
      <c r="M106" s="148">
        <v>0.29849999999999999</v>
      </c>
      <c r="N106">
        <v>6</v>
      </c>
      <c r="O106">
        <v>65</v>
      </c>
      <c r="P106">
        <v>71</v>
      </c>
    </row>
    <row r="107" spans="1:44">
      <c r="A107">
        <v>106</v>
      </c>
      <c r="B107" s="2">
        <v>40548</v>
      </c>
      <c r="C107">
        <v>1</v>
      </c>
      <c r="D107" t="s">
        <v>17</v>
      </c>
      <c r="E107" s="6" t="s">
        <v>18</v>
      </c>
      <c r="F107" s="151">
        <v>4.375</v>
      </c>
      <c r="G107" s="7" t="s">
        <v>36</v>
      </c>
      <c r="H107" s="7" t="s">
        <v>46</v>
      </c>
      <c r="I107" s="7" t="s">
        <v>38</v>
      </c>
      <c r="J107">
        <v>0.3</v>
      </c>
      <c r="K107" s="148">
        <v>0.28789999999999999</v>
      </c>
      <c r="L107">
        <v>0.28000000000000003</v>
      </c>
      <c r="M107" s="148">
        <v>0.19400000000000001</v>
      </c>
      <c r="N107">
        <v>10</v>
      </c>
      <c r="O107">
        <v>52</v>
      </c>
      <c r="P107">
        <v>62</v>
      </c>
    </row>
    <row r="108" spans="1:44">
      <c r="A108">
        <v>107</v>
      </c>
      <c r="B108" s="2">
        <v>40548</v>
      </c>
      <c r="C108">
        <v>1</v>
      </c>
      <c r="D108" t="s">
        <v>17</v>
      </c>
      <c r="E108" s="6" t="s">
        <v>18</v>
      </c>
      <c r="F108" s="151">
        <v>4.416666666666667</v>
      </c>
      <c r="G108" s="7" t="s">
        <v>36</v>
      </c>
      <c r="H108" s="7" t="s">
        <v>46</v>
      </c>
      <c r="I108" s="7" t="s">
        <v>38</v>
      </c>
      <c r="J108">
        <v>0.3</v>
      </c>
      <c r="K108" s="148">
        <v>0.28789999999999999</v>
      </c>
      <c r="L108">
        <v>0.28000000000000003</v>
      </c>
      <c r="M108" s="148">
        <v>0.19400000000000001</v>
      </c>
      <c r="N108">
        <v>7</v>
      </c>
      <c r="O108">
        <v>55</v>
      </c>
      <c r="P108">
        <v>62</v>
      </c>
    </row>
    <row r="109" spans="1:44">
      <c r="A109">
        <v>108</v>
      </c>
      <c r="B109" s="2">
        <v>40548</v>
      </c>
      <c r="C109">
        <v>1</v>
      </c>
      <c r="D109" t="s">
        <v>17</v>
      </c>
      <c r="E109" s="6" t="s">
        <v>18</v>
      </c>
      <c r="F109" s="151">
        <v>4.458333333333333</v>
      </c>
      <c r="G109" s="7" t="s">
        <v>36</v>
      </c>
      <c r="H109" s="7" t="s">
        <v>46</v>
      </c>
      <c r="I109" s="7" t="s">
        <v>38</v>
      </c>
      <c r="J109">
        <v>0.3</v>
      </c>
      <c r="K109" s="148">
        <v>0.31819999999999998</v>
      </c>
      <c r="L109">
        <v>0.28000000000000003</v>
      </c>
      <c r="M109" s="148">
        <v>8.9599999999999999E-2</v>
      </c>
      <c r="N109">
        <v>4</v>
      </c>
      <c r="O109">
        <v>85</v>
      </c>
      <c r="P109">
        <v>89</v>
      </c>
    </row>
    <row r="110" spans="1:44">
      <c r="A110">
        <v>109</v>
      </c>
      <c r="B110" s="2">
        <v>40548</v>
      </c>
      <c r="C110">
        <v>1</v>
      </c>
      <c r="D110" t="s">
        <v>17</v>
      </c>
      <c r="E110" s="6" t="s">
        <v>18</v>
      </c>
      <c r="F110" s="151">
        <v>4.5</v>
      </c>
      <c r="G110" s="7" t="s">
        <v>36</v>
      </c>
      <c r="H110" s="7" t="s">
        <v>46</v>
      </c>
      <c r="I110" s="7" t="s">
        <v>38</v>
      </c>
      <c r="J110">
        <v>0.24</v>
      </c>
      <c r="K110" s="148">
        <v>0.2273</v>
      </c>
      <c r="L110">
        <v>0.38</v>
      </c>
      <c r="M110" s="148">
        <v>0.19400000000000001</v>
      </c>
      <c r="N110">
        <v>4</v>
      </c>
      <c r="O110">
        <v>186</v>
      </c>
      <c r="P110">
        <v>190</v>
      </c>
    </row>
    <row r="111" spans="1:44">
      <c r="A111">
        <v>110</v>
      </c>
      <c r="B111" s="2">
        <v>40548</v>
      </c>
      <c r="C111">
        <v>1</v>
      </c>
      <c r="D111" t="s">
        <v>17</v>
      </c>
      <c r="E111" s="6" t="s">
        <v>18</v>
      </c>
      <c r="F111" s="151">
        <v>4.541666666666667</v>
      </c>
      <c r="G111" s="7" t="s">
        <v>36</v>
      </c>
      <c r="H111" s="7" t="s">
        <v>46</v>
      </c>
      <c r="I111" s="7" t="s">
        <v>38</v>
      </c>
      <c r="J111">
        <v>0.24</v>
      </c>
      <c r="K111" s="148">
        <v>0.2424</v>
      </c>
      <c r="L111">
        <v>0.38</v>
      </c>
      <c r="M111" s="148">
        <v>0.1343</v>
      </c>
      <c r="N111">
        <v>3</v>
      </c>
      <c r="O111">
        <v>166</v>
      </c>
      <c r="P111">
        <v>169</v>
      </c>
    </row>
    <row r="112" spans="1:44">
      <c r="A112">
        <v>111</v>
      </c>
      <c r="B112" s="2">
        <v>40548</v>
      </c>
      <c r="C112">
        <v>1</v>
      </c>
      <c r="D112" t="s">
        <v>17</v>
      </c>
      <c r="E112" s="6" t="s">
        <v>18</v>
      </c>
      <c r="F112" s="151">
        <v>4.583333333333333</v>
      </c>
      <c r="G112" s="7" t="s">
        <v>36</v>
      </c>
      <c r="H112" s="7" t="s">
        <v>46</v>
      </c>
      <c r="I112" s="7" t="s">
        <v>38</v>
      </c>
      <c r="J112">
        <v>0.24</v>
      </c>
      <c r="K112" s="148">
        <v>0.2576</v>
      </c>
      <c r="L112">
        <v>0.38</v>
      </c>
      <c r="M112" s="148">
        <v>0.1045</v>
      </c>
      <c r="N112">
        <v>5</v>
      </c>
      <c r="O112">
        <v>127</v>
      </c>
      <c r="P112">
        <v>132</v>
      </c>
    </row>
    <row r="113" spans="1:16">
      <c r="A113">
        <v>112</v>
      </c>
      <c r="B113" s="2">
        <v>40548</v>
      </c>
      <c r="C113">
        <v>1</v>
      </c>
      <c r="D113" t="s">
        <v>17</v>
      </c>
      <c r="E113" s="6" t="s">
        <v>18</v>
      </c>
      <c r="F113" s="151">
        <v>4.625</v>
      </c>
      <c r="G113" s="7" t="s">
        <v>36</v>
      </c>
      <c r="H113" s="7" t="s">
        <v>46</v>
      </c>
      <c r="I113" s="7" t="s">
        <v>38</v>
      </c>
      <c r="J113">
        <v>0.22</v>
      </c>
      <c r="K113" s="148">
        <v>0.2273</v>
      </c>
      <c r="L113">
        <v>0.47</v>
      </c>
      <c r="M113" s="148">
        <v>0.16420000000000001</v>
      </c>
      <c r="N113">
        <v>7</v>
      </c>
      <c r="O113">
        <v>82</v>
      </c>
      <c r="P113">
        <v>89</v>
      </c>
    </row>
    <row r="114" spans="1:16">
      <c r="A114">
        <v>113</v>
      </c>
      <c r="B114" s="2">
        <v>40548</v>
      </c>
      <c r="C114">
        <v>1</v>
      </c>
      <c r="D114" t="s">
        <v>17</v>
      </c>
      <c r="E114" s="6" t="s">
        <v>18</v>
      </c>
      <c r="F114" s="151">
        <v>4.666666666666667</v>
      </c>
      <c r="G114" s="7" t="s">
        <v>36</v>
      </c>
      <c r="H114" s="7" t="s">
        <v>46</v>
      </c>
      <c r="I114" s="7" t="s">
        <v>38</v>
      </c>
      <c r="J114">
        <v>0.2</v>
      </c>
      <c r="K114" s="148">
        <v>0.19700000000000001</v>
      </c>
      <c r="L114">
        <v>0.51</v>
      </c>
      <c r="M114" s="148">
        <v>0.19400000000000001</v>
      </c>
      <c r="N114">
        <v>3</v>
      </c>
      <c r="O114">
        <v>40</v>
      </c>
      <c r="P114">
        <v>43</v>
      </c>
    </row>
    <row r="115" spans="1:16">
      <c r="A115">
        <v>114</v>
      </c>
      <c r="B115" s="2">
        <v>40548</v>
      </c>
      <c r="C115">
        <v>1</v>
      </c>
      <c r="D115" t="s">
        <v>17</v>
      </c>
      <c r="E115" s="6" t="s">
        <v>18</v>
      </c>
      <c r="F115" s="151">
        <v>4.708333333333333</v>
      </c>
      <c r="G115" s="7" t="s">
        <v>36</v>
      </c>
      <c r="H115" s="7" t="s">
        <v>46</v>
      </c>
      <c r="I115" s="7" t="s">
        <v>38</v>
      </c>
      <c r="J115">
        <v>0.18</v>
      </c>
      <c r="K115" s="148">
        <v>0.19700000000000001</v>
      </c>
      <c r="L115">
        <v>0.55000000000000004</v>
      </c>
      <c r="M115" s="148">
        <v>0.1343</v>
      </c>
      <c r="N115">
        <v>1</v>
      </c>
      <c r="O115">
        <v>41</v>
      </c>
      <c r="P115">
        <v>42</v>
      </c>
    </row>
    <row r="116" spans="1:16">
      <c r="A116">
        <v>115</v>
      </c>
      <c r="B116" s="2">
        <v>40548</v>
      </c>
      <c r="C116">
        <v>1</v>
      </c>
      <c r="D116" t="s">
        <v>17</v>
      </c>
      <c r="E116" s="6" t="s">
        <v>18</v>
      </c>
      <c r="F116" s="151">
        <v>4.75</v>
      </c>
      <c r="G116" s="7" t="s">
        <v>36</v>
      </c>
      <c r="H116" s="7" t="s">
        <v>46</v>
      </c>
      <c r="I116" s="7" t="s">
        <v>38</v>
      </c>
      <c r="J116">
        <v>0.2</v>
      </c>
      <c r="K116" s="148">
        <v>0.2576</v>
      </c>
      <c r="L116">
        <v>0.47</v>
      </c>
      <c r="M116" s="148">
        <v>0</v>
      </c>
      <c r="N116">
        <v>1</v>
      </c>
      <c r="O116">
        <v>18</v>
      </c>
      <c r="P116">
        <v>19</v>
      </c>
    </row>
    <row r="117" spans="1:16">
      <c r="A117">
        <v>116</v>
      </c>
      <c r="B117" s="2">
        <v>40549</v>
      </c>
      <c r="C117">
        <v>1</v>
      </c>
      <c r="D117" t="s">
        <v>17</v>
      </c>
      <c r="E117" s="6" t="s">
        <v>18</v>
      </c>
      <c r="F117" s="151">
        <v>4.791666666666667</v>
      </c>
      <c r="G117" s="7" t="s">
        <v>36</v>
      </c>
      <c r="H117" s="7" t="s">
        <v>195</v>
      </c>
      <c r="I117" s="7" t="s">
        <v>38</v>
      </c>
      <c r="J117">
        <v>0.18</v>
      </c>
      <c r="K117" s="148">
        <v>0.2424</v>
      </c>
      <c r="L117">
        <v>0.55000000000000004</v>
      </c>
      <c r="M117" s="148">
        <v>0</v>
      </c>
      <c r="N117">
        <v>0</v>
      </c>
      <c r="O117">
        <v>11</v>
      </c>
      <c r="P117">
        <v>11</v>
      </c>
    </row>
    <row r="118" spans="1:16">
      <c r="A118">
        <v>117</v>
      </c>
      <c r="B118" s="2">
        <v>40549</v>
      </c>
      <c r="C118">
        <v>1</v>
      </c>
      <c r="D118" t="s">
        <v>17</v>
      </c>
      <c r="E118" s="6" t="s">
        <v>18</v>
      </c>
      <c r="F118" s="151">
        <v>4.833333333333333</v>
      </c>
      <c r="G118" s="7" t="s">
        <v>36</v>
      </c>
      <c r="H118" s="7" t="s">
        <v>195</v>
      </c>
      <c r="I118" s="7" t="s">
        <v>38</v>
      </c>
      <c r="J118">
        <v>0.16</v>
      </c>
      <c r="K118" s="148">
        <v>0.2273</v>
      </c>
      <c r="L118">
        <v>0.64</v>
      </c>
      <c r="M118" s="148">
        <v>0</v>
      </c>
      <c r="N118">
        <v>0</v>
      </c>
      <c r="O118">
        <v>4</v>
      </c>
      <c r="P118">
        <v>4</v>
      </c>
    </row>
    <row r="119" spans="1:16">
      <c r="A119">
        <v>118</v>
      </c>
      <c r="B119" s="2">
        <v>40549</v>
      </c>
      <c r="C119">
        <v>1</v>
      </c>
      <c r="D119" t="s">
        <v>17</v>
      </c>
      <c r="E119" s="6" t="s">
        <v>18</v>
      </c>
      <c r="F119" s="151">
        <v>4.875</v>
      </c>
      <c r="G119" s="7" t="s">
        <v>36</v>
      </c>
      <c r="H119" s="7" t="s">
        <v>195</v>
      </c>
      <c r="I119" s="7" t="s">
        <v>38</v>
      </c>
      <c r="J119">
        <v>0.16</v>
      </c>
      <c r="K119" s="148">
        <v>0.2273</v>
      </c>
      <c r="L119">
        <v>0.64</v>
      </c>
      <c r="M119" s="148">
        <v>0</v>
      </c>
      <c r="N119">
        <v>0</v>
      </c>
      <c r="O119">
        <v>2</v>
      </c>
      <c r="P119">
        <v>2</v>
      </c>
    </row>
    <row r="120" spans="1:16">
      <c r="A120">
        <v>119</v>
      </c>
      <c r="B120" s="2">
        <v>40549</v>
      </c>
      <c r="C120">
        <v>1</v>
      </c>
      <c r="D120" t="s">
        <v>17</v>
      </c>
      <c r="E120" s="6" t="s">
        <v>18</v>
      </c>
      <c r="F120" s="151">
        <v>4.916666666666667</v>
      </c>
      <c r="G120" s="7" t="s">
        <v>36</v>
      </c>
      <c r="H120" s="7" t="s">
        <v>195</v>
      </c>
      <c r="I120" s="7" t="s">
        <v>39</v>
      </c>
      <c r="J120">
        <v>0.16</v>
      </c>
      <c r="K120" s="148">
        <v>0.19700000000000001</v>
      </c>
      <c r="L120">
        <v>0.64</v>
      </c>
      <c r="M120" s="148">
        <v>8.9599999999999999E-2</v>
      </c>
      <c r="N120">
        <v>0</v>
      </c>
      <c r="O120">
        <v>1</v>
      </c>
      <c r="P120">
        <v>1</v>
      </c>
    </row>
    <row r="121" spans="1:16">
      <c r="A121">
        <v>120</v>
      </c>
      <c r="B121" s="2">
        <v>40549</v>
      </c>
      <c r="C121">
        <v>1</v>
      </c>
      <c r="D121" t="s">
        <v>17</v>
      </c>
      <c r="E121" s="6" t="s">
        <v>18</v>
      </c>
      <c r="F121" s="151">
        <v>4.958333333333333</v>
      </c>
      <c r="G121" s="7" t="s">
        <v>36</v>
      </c>
      <c r="H121" s="7" t="s">
        <v>195</v>
      </c>
      <c r="I121" s="7" t="s">
        <v>39</v>
      </c>
      <c r="J121">
        <v>0.14000000000000001</v>
      </c>
      <c r="K121" s="148">
        <v>0.18179999999999999</v>
      </c>
      <c r="L121">
        <v>0.69</v>
      </c>
      <c r="M121" s="148">
        <v>8.9599999999999999E-2</v>
      </c>
      <c r="N121">
        <v>0</v>
      </c>
      <c r="O121">
        <v>4</v>
      </c>
      <c r="P121">
        <v>4</v>
      </c>
    </row>
    <row r="122" spans="1:16">
      <c r="A122">
        <v>121</v>
      </c>
      <c r="B122" s="2">
        <v>40549</v>
      </c>
      <c r="C122">
        <v>1</v>
      </c>
      <c r="D122" t="s">
        <v>17</v>
      </c>
      <c r="E122" s="6" t="s">
        <v>18</v>
      </c>
      <c r="F122" s="151">
        <v>5</v>
      </c>
      <c r="G122" s="7" t="s">
        <v>36</v>
      </c>
      <c r="H122" s="7" t="s">
        <v>195</v>
      </c>
      <c r="I122" s="7" t="s">
        <v>39</v>
      </c>
      <c r="J122">
        <v>0.14000000000000001</v>
      </c>
      <c r="K122" s="148">
        <v>0.16669999999999999</v>
      </c>
      <c r="L122">
        <v>0.63</v>
      </c>
      <c r="M122" s="148">
        <v>0.1045</v>
      </c>
      <c r="N122">
        <v>0</v>
      </c>
      <c r="O122">
        <v>36</v>
      </c>
      <c r="P122">
        <v>36</v>
      </c>
    </row>
    <row r="123" spans="1:16">
      <c r="A123">
        <v>122</v>
      </c>
      <c r="B123" s="2">
        <v>40549</v>
      </c>
      <c r="C123">
        <v>1</v>
      </c>
      <c r="D123" t="s">
        <v>17</v>
      </c>
      <c r="E123" s="6" t="s">
        <v>18</v>
      </c>
      <c r="F123" s="151">
        <v>5.041666666666667</v>
      </c>
      <c r="G123" s="7" t="s">
        <v>36</v>
      </c>
      <c r="H123" s="7" t="s">
        <v>195</v>
      </c>
      <c r="I123" s="7" t="s">
        <v>39</v>
      </c>
      <c r="J123">
        <v>0.16</v>
      </c>
      <c r="K123" s="148">
        <v>0.2273</v>
      </c>
      <c r="L123">
        <v>0.59</v>
      </c>
      <c r="M123" s="148">
        <v>0</v>
      </c>
      <c r="N123">
        <v>0</v>
      </c>
      <c r="O123">
        <v>95</v>
      </c>
      <c r="P123">
        <v>95</v>
      </c>
    </row>
    <row r="124" spans="1:16">
      <c r="A124">
        <v>123</v>
      </c>
      <c r="B124" s="2">
        <v>40549</v>
      </c>
      <c r="C124">
        <v>1</v>
      </c>
      <c r="D124" t="s">
        <v>17</v>
      </c>
      <c r="E124" s="6" t="s">
        <v>18</v>
      </c>
      <c r="F124" s="151">
        <v>5.083333333333333</v>
      </c>
      <c r="G124" s="7" t="s">
        <v>36</v>
      </c>
      <c r="H124" s="7" t="s">
        <v>195</v>
      </c>
      <c r="I124" s="7" t="s">
        <v>38</v>
      </c>
      <c r="J124">
        <v>0.16</v>
      </c>
      <c r="K124" s="148">
        <v>0.2273</v>
      </c>
      <c r="L124">
        <v>0.59</v>
      </c>
      <c r="M124" s="148">
        <v>0</v>
      </c>
      <c r="N124">
        <v>3</v>
      </c>
      <c r="O124">
        <v>216</v>
      </c>
      <c r="P124">
        <v>219</v>
      </c>
    </row>
    <row r="125" spans="1:16">
      <c r="A125">
        <v>124</v>
      </c>
      <c r="B125" s="2">
        <v>40549</v>
      </c>
      <c r="C125">
        <v>1</v>
      </c>
      <c r="D125" t="s">
        <v>17</v>
      </c>
      <c r="E125" s="6" t="s">
        <v>18</v>
      </c>
      <c r="F125" s="151">
        <v>5.125</v>
      </c>
      <c r="G125" s="7" t="s">
        <v>36</v>
      </c>
      <c r="H125" s="7" t="s">
        <v>195</v>
      </c>
      <c r="I125" s="7" t="s">
        <v>39</v>
      </c>
      <c r="J125">
        <v>0.18</v>
      </c>
      <c r="K125" s="148">
        <v>0.2424</v>
      </c>
      <c r="L125">
        <v>0.51</v>
      </c>
      <c r="M125" s="148">
        <v>0</v>
      </c>
      <c r="N125">
        <v>6</v>
      </c>
      <c r="O125">
        <v>116</v>
      </c>
      <c r="P125">
        <v>122</v>
      </c>
    </row>
    <row r="126" spans="1:16">
      <c r="A126">
        <v>125</v>
      </c>
      <c r="B126" s="2">
        <v>40549</v>
      </c>
      <c r="C126">
        <v>1</v>
      </c>
      <c r="D126" t="s">
        <v>17</v>
      </c>
      <c r="E126" s="6" t="s">
        <v>18</v>
      </c>
      <c r="F126" s="151">
        <v>5.166666666666667</v>
      </c>
      <c r="G126" s="7" t="s">
        <v>36</v>
      </c>
      <c r="H126" s="7" t="s">
        <v>195</v>
      </c>
      <c r="I126" s="7" t="s">
        <v>38</v>
      </c>
      <c r="J126">
        <v>0.2</v>
      </c>
      <c r="K126" s="148">
        <v>0.2576</v>
      </c>
      <c r="L126">
        <v>0.47</v>
      </c>
      <c r="M126" s="148">
        <v>0</v>
      </c>
      <c r="N126">
        <v>3</v>
      </c>
      <c r="O126">
        <v>42</v>
      </c>
      <c r="P126">
        <v>45</v>
      </c>
    </row>
    <row r="127" spans="1:16">
      <c r="A127">
        <v>126</v>
      </c>
      <c r="B127" s="2">
        <v>40549</v>
      </c>
      <c r="C127">
        <v>1</v>
      </c>
      <c r="D127" t="s">
        <v>17</v>
      </c>
      <c r="E127" s="6" t="s">
        <v>18</v>
      </c>
      <c r="F127" s="151">
        <v>5.208333333333333</v>
      </c>
      <c r="G127" s="7" t="s">
        <v>36</v>
      </c>
      <c r="H127" s="7" t="s">
        <v>195</v>
      </c>
      <c r="I127" s="7" t="s">
        <v>38</v>
      </c>
      <c r="J127">
        <v>0.22</v>
      </c>
      <c r="K127" s="148">
        <v>0.2576</v>
      </c>
      <c r="L127">
        <v>0.44</v>
      </c>
      <c r="M127" s="148">
        <v>8.9599999999999999E-2</v>
      </c>
      <c r="N127">
        <v>2</v>
      </c>
      <c r="O127">
        <v>57</v>
      </c>
      <c r="P127">
        <v>59</v>
      </c>
    </row>
    <row r="128" spans="1:16">
      <c r="A128">
        <v>127</v>
      </c>
      <c r="B128" s="2">
        <v>40549</v>
      </c>
      <c r="C128">
        <v>1</v>
      </c>
      <c r="D128" t="s">
        <v>17</v>
      </c>
      <c r="E128" s="6" t="s">
        <v>18</v>
      </c>
      <c r="F128" s="151">
        <v>5.25</v>
      </c>
      <c r="G128" s="7" t="s">
        <v>36</v>
      </c>
      <c r="H128" s="7" t="s">
        <v>195</v>
      </c>
      <c r="I128" s="7" t="s">
        <v>38</v>
      </c>
      <c r="J128">
        <v>0.26</v>
      </c>
      <c r="K128" s="148">
        <v>0.28789999999999999</v>
      </c>
      <c r="L128">
        <v>0.35</v>
      </c>
      <c r="M128" s="148">
        <v>0</v>
      </c>
      <c r="N128">
        <v>6</v>
      </c>
      <c r="O128">
        <v>78</v>
      </c>
      <c r="P128">
        <v>84</v>
      </c>
    </row>
    <row r="129" spans="1:16">
      <c r="A129">
        <v>128</v>
      </c>
      <c r="B129" s="2">
        <v>40549</v>
      </c>
      <c r="C129">
        <v>1</v>
      </c>
      <c r="D129" t="s">
        <v>17</v>
      </c>
      <c r="E129" s="6" t="s">
        <v>18</v>
      </c>
      <c r="F129" s="151">
        <v>5.291666666666667</v>
      </c>
      <c r="G129" s="7" t="s">
        <v>36</v>
      </c>
      <c r="H129" s="7" t="s">
        <v>195</v>
      </c>
      <c r="I129" s="7" t="s">
        <v>38</v>
      </c>
      <c r="J129">
        <v>0.26</v>
      </c>
      <c r="K129" s="148">
        <v>0.2727</v>
      </c>
      <c r="L129">
        <v>0.35</v>
      </c>
      <c r="M129" s="148">
        <v>0.1045</v>
      </c>
      <c r="N129">
        <v>12</v>
      </c>
      <c r="O129">
        <v>55</v>
      </c>
      <c r="P129">
        <v>67</v>
      </c>
    </row>
    <row r="130" spans="1:16">
      <c r="A130">
        <v>129</v>
      </c>
      <c r="B130" s="2">
        <v>40549</v>
      </c>
      <c r="C130">
        <v>1</v>
      </c>
      <c r="D130" t="s">
        <v>17</v>
      </c>
      <c r="E130" s="6" t="s">
        <v>18</v>
      </c>
      <c r="F130" s="151">
        <v>5.333333333333333</v>
      </c>
      <c r="G130" s="7" t="s">
        <v>36</v>
      </c>
      <c r="H130" s="7" t="s">
        <v>195</v>
      </c>
      <c r="I130" s="7" t="s">
        <v>38</v>
      </c>
      <c r="J130">
        <v>0.28000000000000003</v>
      </c>
      <c r="K130" s="148">
        <v>0.2727</v>
      </c>
      <c r="L130">
        <v>0.36</v>
      </c>
      <c r="M130" s="148">
        <v>0.16420000000000001</v>
      </c>
      <c r="N130">
        <v>11</v>
      </c>
      <c r="O130">
        <v>59</v>
      </c>
      <c r="P130">
        <v>70</v>
      </c>
    </row>
    <row r="131" spans="1:16">
      <c r="A131">
        <v>130</v>
      </c>
      <c r="B131" s="2">
        <v>40549</v>
      </c>
      <c r="C131">
        <v>1</v>
      </c>
      <c r="D131" t="s">
        <v>17</v>
      </c>
      <c r="E131" s="6" t="s">
        <v>18</v>
      </c>
      <c r="F131" s="151">
        <v>5.375</v>
      </c>
      <c r="G131" s="7" t="s">
        <v>36</v>
      </c>
      <c r="H131" s="7" t="s">
        <v>195</v>
      </c>
      <c r="I131" s="7" t="s">
        <v>38</v>
      </c>
      <c r="J131">
        <v>0.28000000000000003</v>
      </c>
      <c r="K131" s="148">
        <v>0.2727</v>
      </c>
      <c r="L131">
        <v>0.36</v>
      </c>
      <c r="M131" s="148">
        <v>0</v>
      </c>
      <c r="N131">
        <v>8</v>
      </c>
      <c r="O131">
        <v>54</v>
      </c>
      <c r="P131">
        <v>62</v>
      </c>
    </row>
    <row r="132" spans="1:16">
      <c r="A132">
        <v>131</v>
      </c>
      <c r="B132" s="2">
        <v>40549</v>
      </c>
      <c r="C132">
        <v>1</v>
      </c>
      <c r="D132" t="s">
        <v>17</v>
      </c>
      <c r="E132" s="6" t="s">
        <v>18</v>
      </c>
      <c r="F132" s="151">
        <v>5.416666666666667</v>
      </c>
      <c r="G132" s="7" t="s">
        <v>36</v>
      </c>
      <c r="H132" s="7" t="s">
        <v>195</v>
      </c>
      <c r="I132" s="7" t="s">
        <v>38</v>
      </c>
      <c r="J132">
        <v>0.26</v>
      </c>
      <c r="K132" s="148">
        <v>0.2576</v>
      </c>
      <c r="L132">
        <v>0.38</v>
      </c>
      <c r="M132" s="148">
        <v>0.16420000000000001</v>
      </c>
      <c r="N132">
        <v>12</v>
      </c>
      <c r="O132">
        <v>74</v>
      </c>
      <c r="P132">
        <v>86</v>
      </c>
    </row>
    <row r="133" spans="1:16">
      <c r="A133">
        <v>132</v>
      </c>
      <c r="B133" s="2">
        <v>40549</v>
      </c>
      <c r="C133">
        <v>1</v>
      </c>
      <c r="D133" t="s">
        <v>17</v>
      </c>
      <c r="E133" s="6" t="s">
        <v>18</v>
      </c>
      <c r="F133" s="151">
        <v>5.458333333333333</v>
      </c>
      <c r="G133" s="7" t="s">
        <v>36</v>
      </c>
      <c r="H133" s="7" t="s">
        <v>195</v>
      </c>
      <c r="I133" s="7" t="s">
        <v>38</v>
      </c>
      <c r="J133">
        <v>0.22</v>
      </c>
      <c r="K133" s="148">
        <v>0.2273</v>
      </c>
      <c r="L133">
        <v>0.51</v>
      </c>
      <c r="M133" s="148">
        <v>0.16420000000000001</v>
      </c>
      <c r="N133">
        <v>9</v>
      </c>
      <c r="O133">
        <v>163</v>
      </c>
      <c r="P133">
        <v>172</v>
      </c>
    </row>
    <row r="134" spans="1:16">
      <c r="A134">
        <v>133</v>
      </c>
      <c r="B134" s="2">
        <v>40549</v>
      </c>
      <c r="C134">
        <v>1</v>
      </c>
      <c r="D134" t="s">
        <v>17</v>
      </c>
      <c r="E134" s="6" t="s">
        <v>18</v>
      </c>
      <c r="F134" s="151">
        <v>5.5</v>
      </c>
      <c r="G134" s="7" t="s">
        <v>36</v>
      </c>
      <c r="H134" s="7" t="s">
        <v>195</v>
      </c>
      <c r="I134" s="7" t="s">
        <v>38</v>
      </c>
      <c r="J134">
        <v>0.22</v>
      </c>
      <c r="K134" s="148">
        <v>0.2273</v>
      </c>
      <c r="L134">
        <v>0.51</v>
      </c>
      <c r="M134" s="148">
        <v>0.1343</v>
      </c>
      <c r="N134">
        <v>5</v>
      </c>
      <c r="O134">
        <v>158</v>
      </c>
      <c r="P134">
        <v>163</v>
      </c>
    </row>
    <row r="135" spans="1:16">
      <c r="A135">
        <v>134</v>
      </c>
      <c r="B135" s="2">
        <v>40549</v>
      </c>
      <c r="C135">
        <v>1</v>
      </c>
      <c r="D135" t="s">
        <v>17</v>
      </c>
      <c r="E135" s="6" t="s">
        <v>18</v>
      </c>
      <c r="F135" s="151">
        <v>5.541666666666667</v>
      </c>
      <c r="G135" s="7" t="s">
        <v>36</v>
      </c>
      <c r="H135" s="7" t="s">
        <v>195</v>
      </c>
      <c r="I135" s="7" t="s">
        <v>38</v>
      </c>
      <c r="J135">
        <v>0.22</v>
      </c>
      <c r="K135" s="148">
        <v>0.2576</v>
      </c>
      <c r="L135">
        <v>0.55000000000000004</v>
      </c>
      <c r="M135" s="148">
        <v>8.9599999999999999E-2</v>
      </c>
      <c r="N135">
        <v>3</v>
      </c>
      <c r="O135">
        <v>109</v>
      </c>
      <c r="P135">
        <v>112</v>
      </c>
    </row>
    <row r="136" spans="1:16">
      <c r="A136">
        <v>135</v>
      </c>
      <c r="B136" s="2">
        <v>40549</v>
      </c>
      <c r="C136">
        <v>1</v>
      </c>
      <c r="D136" t="s">
        <v>17</v>
      </c>
      <c r="E136" s="6" t="s">
        <v>18</v>
      </c>
      <c r="F136" s="151">
        <v>5.583333333333333</v>
      </c>
      <c r="G136" s="7" t="s">
        <v>36</v>
      </c>
      <c r="H136" s="7" t="s">
        <v>195</v>
      </c>
      <c r="I136" s="7" t="s">
        <v>38</v>
      </c>
      <c r="J136">
        <v>0.2</v>
      </c>
      <c r="K136" s="148">
        <v>0.21210000000000001</v>
      </c>
      <c r="L136">
        <v>0.51</v>
      </c>
      <c r="M136" s="148">
        <v>0.16420000000000001</v>
      </c>
      <c r="N136">
        <v>3</v>
      </c>
      <c r="O136">
        <v>66</v>
      </c>
      <c r="P136">
        <v>69</v>
      </c>
    </row>
    <row r="137" spans="1:16">
      <c r="A137">
        <v>136</v>
      </c>
      <c r="B137" s="2">
        <v>40549</v>
      </c>
      <c r="C137">
        <v>1</v>
      </c>
      <c r="D137" t="s">
        <v>17</v>
      </c>
      <c r="E137" s="6" t="s">
        <v>18</v>
      </c>
      <c r="F137" s="151">
        <v>5.625</v>
      </c>
      <c r="G137" s="7" t="s">
        <v>36</v>
      </c>
      <c r="H137" s="7" t="s">
        <v>195</v>
      </c>
      <c r="I137" s="7" t="s">
        <v>39</v>
      </c>
      <c r="J137">
        <v>0.22</v>
      </c>
      <c r="K137" s="148">
        <v>0.21210000000000001</v>
      </c>
      <c r="L137">
        <v>0.55000000000000004</v>
      </c>
      <c r="M137" s="148">
        <v>0.22389999999999999</v>
      </c>
      <c r="N137">
        <v>0</v>
      </c>
      <c r="O137">
        <v>48</v>
      </c>
      <c r="P137">
        <v>48</v>
      </c>
    </row>
    <row r="138" spans="1:16">
      <c r="A138">
        <v>137</v>
      </c>
      <c r="B138" s="2">
        <v>40549</v>
      </c>
      <c r="C138">
        <v>1</v>
      </c>
      <c r="D138" t="s">
        <v>17</v>
      </c>
      <c r="E138" s="6" t="s">
        <v>18</v>
      </c>
      <c r="F138" s="151">
        <v>5.666666666666667</v>
      </c>
      <c r="G138" s="7" t="s">
        <v>36</v>
      </c>
      <c r="H138" s="7" t="s">
        <v>195</v>
      </c>
      <c r="I138" s="7" t="s">
        <v>39</v>
      </c>
      <c r="J138">
        <v>0.22</v>
      </c>
      <c r="K138" s="148">
        <v>0.21210000000000001</v>
      </c>
      <c r="L138">
        <v>0.51</v>
      </c>
      <c r="M138" s="148">
        <v>0.28360000000000002</v>
      </c>
      <c r="N138">
        <v>1</v>
      </c>
      <c r="O138">
        <v>51</v>
      </c>
      <c r="P138">
        <v>52</v>
      </c>
    </row>
    <row r="139" spans="1:16">
      <c r="A139">
        <v>138</v>
      </c>
      <c r="B139" s="2">
        <v>40549</v>
      </c>
      <c r="C139">
        <v>1</v>
      </c>
      <c r="D139" t="s">
        <v>17</v>
      </c>
      <c r="E139" s="6" t="s">
        <v>18</v>
      </c>
      <c r="F139" s="151">
        <v>5.708333333333333</v>
      </c>
      <c r="G139" s="7" t="s">
        <v>36</v>
      </c>
      <c r="H139" s="7" t="s">
        <v>195</v>
      </c>
      <c r="I139" s="7" t="s">
        <v>39</v>
      </c>
      <c r="J139">
        <v>0.2</v>
      </c>
      <c r="K139" s="148">
        <v>0.19700000000000001</v>
      </c>
      <c r="L139">
        <v>0.59</v>
      </c>
      <c r="M139" s="148">
        <v>0.19400000000000001</v>
      </c>
      <c r="N139">
        <v>4</v>
      </c>
      <c r="O139">
        <v>19</v>
      </c>
      <c r="P139">
        <v>23</v>
      </c>
    </row>
    <row r="140" spans="1:16">
      <c r="A140">
        <v>139</v>
      </c>
      <c r="B140" s="2">
        <v>40550</v>
      </c>
      <c r="C140">
        <v>1</v>
      </c>
      <c r="D140" t="s">
        <v>17</v>
      </c>
      <c r="E140" s="6" t="s">
        <v>18</v>
      </c>
      <c r="F140" s="151">
        <v>5.75</v>
      </c>
      <c r="G140" s="7" t="s">
        <v>36</v>
      </c>
      <c r="H140" s="7" t="s">
        <v>44</v>
      </c>
      <c r="I140" s="7" t="s">
        <v>39</v>
      </c>
      <c r="J140">
        <v>0.2</v>
      </c>
      <c r="K140" s="148">
        <v>0.19700000000000001</v>
      </c>
      <c r="L140">
        <v>0.64</v>
      </c>
      <c r="M140" s="148">
        <v>0.19400000000000001</v>
      </c>
      <c r="N140">
        <v>4</v>
      </c>
      <c r="O140">
        <v>13</v>
      </c>
      <c r="P140">
        <v>17</v>
      </c>
    </row>
    <row r="141" spans="1:16">
      <c r="A141">
        <v>140</v>
      </c>
      <c r="B141" s="2">
        <v>40550</v>
      </c>
      <c r="C141">
        <v>1</v>
      </c>
      <c r="D141" t="s">
        <v>17</v>
      </c>
      <c r="E141" s="6" t="s">
        <v>18</v>
      </c>
      <c r="F141" s="151">
        <v>5.791666666666667</v>
      </c>
      <c r="G141" s="7" t="s">
        <v>36</v>
      </c>
      <c r="H141" s="7" t="s">
        <v>44</v>
      </c>
      <c r="I141" s="7" t="s">
        <v>39</v>
      </c>
      <c r="J141">
        <v>0.2</v>
      </c>
      <c r="K141" s="148">
        <v>0.19700000000000001</v>
      </c>
      <c r="L141">
        <v>0.69</v>
      </c>
      <c r="M141" s="148">
        <v>0.22389999999999999</v>
      </c>
      <c r="N141">
        <v>2</v>
      </c>
      <c r="O141">
        <v>5</v>
      </c>
      <c r="P141">
        <v>7</v>
      </c>
    </row>
    <row r="142" spans="1:16">
      <c r="A142">
        <v>141</v>
      </c>
      <c r="B142" s="2">
        <v>40550</v>
      </c>
      <c r="C142">
        <v>1</v>
      </c>
      <c r="D142" t="s">
        <v>17</v>
      </c>
      <c r="E142" s="6" t="s">
        <v>18</v>
      </c>
      <c r="F142" s="151">
        <v>5.833333333333333</v>
      </c>
      <c r="G142" s="7" t="s">
        <v>36</v>
      </c>
      <c r="H142" s="7" t="s">
        <v>44</v>
      </c>
      <c r="I142" s="7" t="s">
        <v>39</v>
      </c>
      <c r="J142">
        <v>0.2</v>
      </c>
      <c r="K142" s="148">
        <v>0.19700000000000001</v>
      </c>
      <c r="L142">
        <v>0.69</v>
      </c>
      <c r="M142" s="148">
        <v>0.22389999999999999</v>
      </c>
      <c r="N142">
        <v>0</v>
      </c>
      <c r="O142">
        <v>1</v>
      </c>
      <c r="P142">
        <v>1</v>
      </c>
    </row>
    <row r="143" spans="1:16">
      <c r="A143">
        <v>142</v>
      </c>
      <c r="B143" s="2">
        <v>40550</v>
      </c>
      <c r="C143">
        <v>1</v>
      </c>
      <c r="D143" t="s">
        <v>17</v>
      </c>
      <c r="E143" s="6" t="s">
        <v>18</v>
      </c>
      <c r="F143" s="151">
        <v>5.875</v>
      </c>
      <c r="G143" s="7" t="s">
        <v>36</v>
      </c>
      <c r="H143" s="7" t="s">
        <v>44</v>
      </c>
      <c r="I143" s="7" t="s">
        <v>39</v>
      </c>
      <c r="J143">
        <v>0.2</v>
      </c>
      <c r="K143" s="148">
        <v>0.21210000000000001</v>
      </c>
      <c r="L143">
        <v>0.69</v>
      </c>
      <c r="M143" s="148">
        <v>0.1343</v>
      </c>
      <c r="N143">
        <v>0</v>
      </c>
      <c r="O143">
        <v>1</v>
      </c>
      <c r="P143">
        <v>1</v>
      </c>
    </row>
    <row r="144" spans="1:16">
      <c r="A144">
        <v>143</v>
      </c>
      <c r="B144" s="2">
        <v>40550</v>
      </c>
      <c r="C144">
        <v>1</v>
      </c>
      <c r="D144" t="s">
        <v>17</v>
      </c>
      <c r="E144" s="6" t="s">
        <v>18</v>
      </c>
      <c r="F144" s="151">
        <v>5.916666666666667</v>
      </c>
      <c r="G144" s="7" t="s">
        <v>36</v>
      </c>
      <c r="H144" s="7" t="s">
        <v>44</v>
      </c>
      <c r="I144" s="7" t="s">
        <v>45</v>
      </c>
      <c r="J144">
        <v>0.22</v>
      </c>
      <c r="K144" s="148">
        <v>0.2727</v>
      </c>
      <c r="L144">
        <v>0.55000000000000004</v>
      </c>
      <c r="M144" s="148">
        <v>0</v>
      </c>
      <c r="N144">
        <v>0</v>
      </c>
      <c r="O144">
        <v>5</v>
      </c>
      <c r="P144">
        <v>5</v>
      </c>
    </row>
    <row r="145" spans="1:16">
      <c r="A145">
        <v>144</v>
      </c>
      <c r="B145" s="2">
        <v>40550</v>
      </c>
      <c r="C145">
        <v>1</v>
      </c>
      <c r="D145" t="s">
        <v>17</v>
      </c>
      <c r="E145" s="6" t="s">
        <v>18</v>
      </c>
      <c r="F145" s="151">
        <v>5.958333333333333</v>
      </c>
      <c r="G145" s="7" t="s">
        <v>36</v>
      </c>
      <c r="H145" s="7" t="s">
        <v>44</v>
      </c>
      <c r="I145" s="7" t="s">
        <v>39</v>
      </c>
      <c r="J145">
        <v>0.2</v>
      </c>
      <c r="K145" s="148">
        <v>0.2576</v>
      </c>
      <c r="L145">
        <v>0.69</v>
      </c>
      <c r="M145" s="148">
        <v>0</v>
      </c>
      <c r="N145">
        <v>8</v>
      </c>
      <c r="O145">
        <v>26</v>
      </c>
      <c r="P145">
        <v>34</v>
      </c>
    </row>
    <row r="146" spans="1:16">
      <c r="A146">
        <v>145</v>
      </c>
      <c r="B146" s="2">
        <v>40550</v>
      </c>
      <c r="C146">
        <v>1</v>
      </c>
      <c r="D146" t="s">
        <v>17</v>
      </c>
      <c r="E146" s="6" t="s">
        <v>18</v>
      </c>
      <c r="F146" s="151">
        <v>6</v>
      </c>
      <c r="G146" s="7" t="s">
        <v>36</v>
      </c>
      <c r="H146" s="7" t="s">
        <v>44</v>
      </c>
      <c r="I146" s="7" t="s">
        <v>38</v>
      </c>
      <c r="J146">
        <v>0.2</v>
      </c>
      <c r="K146" s="148">
        <v>0.21210000000000001</v>
      </c>
      <c r="L146">
        <v>0.69</v>
      </c>
      <c r="M146" s="148">
        <v>0.1343</v>
      </c>
      <c r="N146">
        <v>8</v>
      </c>
      <c r="O146">
        <v>76</v>
      </c>
      <c r="P146">
        <v>84</v>
      </c>
    </row>
    <row r="147" spans="1:16">
      <c r="A147">
        <v>146</v>
      </c>
      <c r="B147" s="2">
        <v>40550</v>
      </c>
      <c r="C147">
        <v>1</v>
      </c>
      <c r="D147" t="s">
        <v>17</v>
      </c>
      <c r="E147" s="6" t="s">
        <v>18</v>
      </c>
      <c r="F147" s="151">
        <v>6.041666666666667</v>
      </c>
      <c r="G147" s="7" t="s">
        <v>36</v>
      </c>
      <c r="H147" s="7" t="s">
        <v>44</v>
      </c>
      <c r="I147" s="7" t="s">
        <v>38</v>
      </c>
      <c r="J147">
        <v>0.2</v>
      </c>
      <c r="K147" s="148">
        <v>0.19700000000000001</v>
      </c>
      <c r="L147">
        <v>0.51</v>
      </c>
      <c r="M147" s="148">
        <v>0.25369999999999998</v>
      </c>
      <c r="N147">
        <v>20</v>
      </c>
      <c r="O147">
        <v>190</v>
      </c>
      <c r="P147">
        <v>210</v>
      </c>
    </row>
    <row r="148" spans="1:16">
      <c r="A148">
        <v>147</v>
      </c>
      <c r="B148" s="2">
        <v>40550</v>
      </c>
      <c r="C148">
        <v>1</v>
      </c>
      <c r="D148" t="s">
        <v>17</v>
      </c>
      <c r="E148" s="6" t="s">
        <v>18</v>
      </c>
      <c r="F148" s="151">
        <v>6.083333333333333</v>
      </c>
      <c r="G148" s="7" t="s">
        <v>36</v>
      </c>
      <c r="H148" s="7" t="s">
        <v>44</v>
      </c>
      <c r="I148" s="7" t="s">
        <v>38</v>
      </c>
      <c r="J148">
        <v>0.2</v>
      </c>
      <c r="K148" s="148">
        <v>0.18179999999999999</v>
      </c>
      <c r="L148">
        <v>0.47</v>
      </c>
      <c r="M148" s="148">
        <v>0.29849999999999999</v>
      </c>
      <c r="N148">
        <v>9</v>
      </c>
      <c r="O148">
        <v>125</v>
      </c>
      <c r="P148">
        <v>134</v>
      </c>
    </row>
    <row r="149" spans="1:16">
      <c r="A149">
        <v>148</v>
      </c>
      <c r="B149" s="2">
        <v>40550</v>
      </c>
      <c r="C149">
        <v>1</v>
      </c>
      <c r="D149" t="s">
        <v>17</v>
      </c>
      <c r="E149" s="6" t="s">
        <v>18</v>
      </c>
      <c r="F149" s="151">
        <v>6.125</v>
      </c>
      <c r="G149" s="7" t="s">
        <v>36</v>
      </c>
      <c r="H149" s="7" t="s">
        <v>44</v>
      </c>
      <c r="I149" s="7" t="s">
        <v>38</v>
      </c>
      <c r="J149">
        <v>0.22</v>
      </c>
      <c r="K149" s="148">
        <v>0.19700000000000001</v>
      </c>
      <c r="L149">
        <v>0.37</v>
      </c>
      <c r="M149" s="148">
        <v>0.32840000000000003</v>
      </c>
      <c r="N149">
        <v>16</v>
      </c>
      <c r="O149">
        <v>47</v>
      </c>
      <c r="P149">
        <v>63</v>
      </c>
    </row>
    <row r="150" spans="1:16">
      <c r="A150">
        <v>149</v>
      </c>
      <c r="B150" s="2">
        <v>40550</v>
      </c>
      <c r="C150">
        <v>1</v>
      </c>
      <c r="D150" t="s">
        <v>17</v>
      </c>
      <c r="E150" s="6" t="s">
        <v>18</v>
      </c>
      <c r="F150" s="151">
        <v>6.166666666666667</v>
      </c>
      <c r="G150" s="7" t="s">
        <v>36</v>
      </c>
      <c r="H150" s="7" t="s">
        <v>44</v>
      </c>
      <c r="I150" s="7" t="s">
        <v>39</v>
      </c>
      <c r="J150">
        <v>0.2</v>
      </c>
      <c r="K150" s="148">
        <v>0.19700000000000001</v>
      </c>
      <c r="L150">
        <v>0.4</v>
      </c>
      <c r="M150" s="148">
        <v>0.22389999999999999</v>
      </c>
      <c r="N150">
        <v>19</v>
      </c>
      <c r="O150">
        <v>48</v>
      </c>
      <c r="P150">
        <v>67</v>
      </c>
    </row>
    <row r="151" spans="1:16">
      <c r="A151">
        <v>150</v>
      </c>
      <c r="B151" s="2">
        <v>40550</v>
      </c>
      <c r="C151">
        <v>1</v>
      </c>
      <c r="D151" t="s">
        <v>17</v>
      </c>
      <c r="E151" s="6" t="s">
        <v>18</v>
      </c>
      <c r="F151" s="151">
        <v>6.208333333333333</v>
      </c>
      <c r="G151" s="7" t="s">
        <v>36</v>
      </c>
      <c r="H151" s="7" t="s">
        <v>44</v>
      </c>
      <c r="I151" s="7" t="s">
        <v>39</v>
      </c>
      <c r="J151">
        <v>0.2</v>
      </c>
      <c r="K151" s="148">
        <v>0.19700000000000001</v>
      </c>
      <c r="L151">
        <v>0.37</v>
      </c>
      <c r="M151" s="148">
        <v>0.25369999999999998</v>
      </c>
      <c r="N151">
        <v>9</v>
      </c>
      <c r="O151">
        <v>50</v>
      </c>
      <c r="P151">
        <v>59</v>
      </c>
    </row>
    <row r="152" spans="1:16">
      <c r="A152">
        <v>151</v>
      </c>
      <c r="B152" s="2">
        <v>40550</v>
      </c>
      <c r="C152">
        <v>1</v>
      </c>
      <c r="D152" t="s">
        <v>17</v>
      </c>
      <c r="E152" s="6" t="s">
        <v>18</v>
      </c>
      <c r="F152" s="151">
        <v>6.25</v>
      </c>
      <c r="G152" s="7" t="s">
        <v>36</v>
      </c>
      <c r="H152" s="7" t="s">
        <v>44</v>
      </c>
      <c r="I152" s="7" t="s">
        <v>39</v>
      </c>
      <c r="J152">
        <v>0.2</v>
      </c>
      <c r="K152" s="148">
        <v>0.18179999999999999</v>
      </c>
      <c r="L152">
        <v>0.37</v>
      </c>
      <c r="M152" s="148">
        <v>0.28360000000000002</v>
      </c>
      <c r="N152">
        <v>9</v>
      </c>
      <c r="O152">
        <v>64</v>
      </c>
      <c r="P152">
        <v>73</v>
      </c>
    </row>
    <row r="153" spans="1:16">
      <c r="A153">
        <v>152</v>
      </c>
      <c r="B153" s="2">
        <v>40550</v>
      </c>
      <c r="C153">
        <v>1</v>
      </c>
      <c r="D153" t="s">
        <v>17</v>
      </c>
      <c r="E153" s="6" t="s">
        <v>18</v>
      </c>
      <c r="F153" s="151">
        <v>6.291666666666667</v>
      </c>
      <c r="G153" s="7" t="s">
        <v>36</v>
      </c>
      <c r="H153" s="7" t="s">
        <v>44</v>
      </c>
      <c r="I153" s="7" t="s">
        <v>39</v>
      </c>
      <c r="J153">
        <v>0.2</v>
      </c>
      <c r="K153" s="148">
        <v>0.19700000000000001</v>
      </c>
      <c r="L153">
        <v>0.4</v>
      </c>
      <c r="M153" s="148">
        <v>0.25369999999999998</v>
      </c>
      <c r="N153">
        <v>7</v>
      </c>
      <c r="O153">
        <v>43</v>
      </c>
      <c r="P153">
        <v>50</v>
      </c>
    </row>
    <row r="154" spans="1:16">
      <c r="A154">
        <v>153</v>
      </c>
      <c r="B154" s="2">
        <v>40550</v>
      </c>
      <c r="C154">
        <v>1</v>
      </c>
      <c r="D154" t="s">
        <v>17</v>
      </c>
      <c r="E154" s="6" t="s">
        <v>18</v>
      </c>
      <c r="F154" s="151">
        <v>6.333333333333333</v>
      </c>
      <c r="G154" s="7" t="s">
        <v>36</v>
      </c>
      <c r="H154" s="7" t="s">
        <v>44</v>
      </c>
      <c r="I154" s="7" t="s">
        <v>39</v>
      </c>
      <c r="J154">
        <v>0.2</v>
      </c>
      <c r="K154" s="148">
        <v>0.21210000000000001</v>
      </c>
      <c r="L154">
        <v>0.37</v>
      </c>
      <c r="M154" s="148">
        <v>0.16420000000000001</v>
      </c>
      <c r="N154">
        <v>9</v>
      </c>
      <c r="O154">
        <v>63</v>
      </c>
      <c r="P154">
        <v>72</v>
      </c>
    </row>
    <row r="155" spans="1:16">
      <c r="A155">
        <v>154</v>
      </c>
      <c r="B155" s="2">
        <v>40550</v>
      </c>
      <c r="C155">
        <v>1</v>
      </c>
      <c r="D155" t="s">
        <v>17</v>
      </c>
      <c r="E155" s="6" t="s">
        <v>18</v>
      </c>
      <c r="F155" s="151">
        <v>6.375</v>
      </c>
      <c r="G155" s="7" t="s">
        <v>36</v>
      </c>
      <c r="H155" s="7" t="s">
        <v>44</v>
      </c>
      <c r="I155" s="7" t="s">
        <v>39</v>
      </c>
      <c r="J155">
        <v>0.2</v>
      </c>
      <c r="K155" s="148">
        <v>0.21210000000000001</v>
      </c>
      <c r="L155">
        <v>0.37</v>
      </c>
      <c r="M155" s="148">
        <v>0.16420000000000001</v>
      </c>
      <c r="N155">
        <v>5</v>
      </c>
      <c r="O155">
        <v>82</v>
      </c>
      <c r="P155">
        <v>87</v>
      </c>
    </row>
    <row r="156" spans="1:16">
      <c r="A156">
        <v>155</v>
      </c>
      <c r="B156" s="2">
        <v>40550</v>
      </c>
      <c r="C156">
        <v>1</v>
      </c>
      <c r="D156" t="s">
        <v>17</v>
      </c>
      <c r="E156" s="6" t="s">
        <v>18</v>
      </c>
      <c r="F156" s="151">
        <v>6.416666666666667</v>
      </c>
      <c r="G156" s="7" t="s">
        <v>36</v>
      </c>
      <c r="H156" s="7" t="s">
        <v>44</v>
      </c>
      <c r="I156" s="7" t="s">
        <v>39</v>
      </c>
      <c r="J156">
        <v>0.2</v>
      </c>
      <c r="K156" s="148">
        <v>0.2576</v>
      </c>
      <c r="L156">
        <v>0.37</v>
      </c>
      <c r="M156" s="148">
        <v>0</v>
      </c>
      <c r="N156">
        <v>9</v>
      </c>
      <c r="O156">
        <v>178</v>
      </c>
      <c r="P156">
        <v>187</v>
      </c>
    </row>
    <row r="157" spans="1:16">
      <c r="A157">
        <v>156</v>
      </c>
      <c r="B157" s="2">
        <v>40550</v>
      </c>
      <c r="C157">
        <v>1</v>
      </c>
      <c r="D157" t="s">
        <v>17</v>
      </c>
      <c r="E157" s="6" t="s">
        <v>18</v>
      </c>
      <c r="F157" s="151">
        <v>6.458333333333333</v>
      </c>
      <c r="G157" s="7" t="s">
        <v>36</v>
      </c>
      <c r="H157" s="7" t="s">
        <v>44</v>
      </c>
      <c r="I157" s="7" t="s">
        <v>38</v>
      </c>
      <c r="J157">
        <v>0.2</v>
      </c>
      <c r="K157" s="148">
        <v>0.2273</v>
      </c>
      <c r="L157">
        <v>0.4</v>
      </c>
      <c r="M157" s="148">
        <v>8.9599999999999999E-2</v>
      </c>
      <c r="N157">
        <v>7</v>
      </c>
      <c r="O157">
        <v>116</v>
      </c>
      <c r="P157">
        <v>123</v>
      </c>
    </row>
    <row r="158" spans="1:16">
      <c r="A158">
        <v>157</v>
      </c>
      <c r="B158" s="2">
        <v>40550</v>
      </c>
      <c r="C158">
        <v>1</v>
      </c>
      <c r="D158" t="s">
        <v>17</v>
      </c>
      <c r="E158" s="6" t="s">
        <v>18</v>
      </c>
      <c r="F158" s="151">
        <v>6.5</v>
      </c>
      <c r="G158" s="7" t="s">
        <v>36</v>
      </c>
      <c r="H158" s="7" t="s">
        <v>44</v>
      </c>
      <c r="I158" s="7" t="s">
        <v>38</v>
      </c>
      <c r="J158">
        <v>0.16</v>
      </c>
      <c r="K158" s="148">
        <v>0.19700000000000001</v>
      </c>
      <c r="L158">
        <v>0.55000000000000004</v>
      </c>
      <c r="M158" s="148">
        <v>8.9599999999999999E-2</v>
      </c>
      <c r="N158">
        <v>3</v>
      </c>
      <c r="O158">
        <v>92</v>
      </c>
      <c r="P158">
        <v>95</v>
      </c>
    </row>
    <row r="159" spans="1:16">
      <c r="A159">
        <v>158</v>
      </c>
      <c r="B159" s="2">
        <v>40550</v>
      </c>
      <c r="C159">
        <v>1</v>
      </c>
      <c r="D159" t="s">
        <v>17</v>
      </c>
      <c r="E159" s="6" t="s">
        <v>18</v>
      </c>
      <c r="F159" s="151">
        <v>6.541666666666667</v>
      </c>
      <c r="G159" s="7" t="s">
        <v>36</v>
      </c>
      <c r="H159" s="7" t="s">
        <v>44</v>
      </c>
      <c r="I159" s="7" t="s">
        <v>38</v>
      </c>
      <c r="J159">
        <v>0.18</v>
      </c>
      <c r="K159" s="148">
        <v>0.21210000000000001</v>
      </c>
      <c r="L159">
        <v>0.47</v>
      </c>
      <c r="M159" s="148">
        <v>0.1045</v>
      </c>
      <c r="N159">
        <v>1</v>
      </c>
      <c r="O159">
        <v>50</v>
      </c>
      <c r="P159">
        <v>51</v>
      </c>
    </row>
    <row r="160" spans="1:16">
      <c r="A160">
        <v>159</v>
      </c>
      <c r="B160" s="2">
        <v>40550</v>
      </c>
      <c r="C160">
        <v>1</v>
      </c>
      <c r="D160" t="s">
        <v>17</v>
      </c>
      <c r="E160" s="6" t="s">
        <v>18</v>
      </c>
      <c r="F160" s="151">
        <v>6.583333333333333</v>
      </c>
      <c r="G160" s="7" t="s">
        <v>36</v>
      </c>
      <c r="H160" s="7" t="s">
        <v>44</v>
      </c>
      <c r="I160" s="7" t="s">
        <v>38</v>
      </c>
      <c r="J160">
        <v>0.18</v>
      </c>
      <c r="K160" s="148">
        <v>0.19700000000000001</v>
      </c>
      <c r="L160">
        <v>0.47</v>
      </c>
      <c r="M160" s="148">
        <v>0.1343</v>
      </c>
      <c r="N160">
        <v>0</v>
      </c>
      <c r="O160">
        <v>39</v>
      </c>
      <c r="P160">
        <v>39</v>
      </c>
    </row>
    <row r="161" spans="1:16">
      <c r="A161">
        <v>160</v>
      </c>
      <c r="B161" s="2">
        <v>40550</v>
      </c>
      <c r="C161">
        <v>1</v>
      </c>
      <c r="D161" t="s">
        <v>17</v>
      </c>
      <c r="E161" s="6" t="s">
        <v>18</v>
      </c>
      <c r="F161" s="151">
        <v>6.625</v>
      </c>
      <c r="G161" s="7" t="s">
        <v>36</v>
      </c>
      <c r="H161" s="7" t="s">
        <v>44</v>
      </c>
      <c r="I161" s="7" t="s">
        <v>39</v>
      </c>
      <c r="J161">
        <v>0.18</v>
      </c>
      <c r="K161" s="148">
        <v>0.19700000000000001</v>
      </c>
      <c r="L161">
        <v>0.43</v>
      </c>
      <c r="M161" s="148">
        <v>0.16420000000000001</v>
      </c>
      <c r="N161">
        <v>2</v>
      </c>
      <c r="O161">
        <v>34</v>
      </c>
      <c r="P161">
        <v>36</v>
      </c>
    </row>
    <row r="162" spans="1:16">
      <c r="A162">
        <v>161</v>
      </c>
      <c r="B162" s="2">
        <v>40550</v>
      </c>
      <c r="C162">
        <v>1</v>
      </c>
      <c r="D162" t="s">
        <v>17</v>
      </c>
      <c r="E162" s="6" t="s">
        <v>18</v>
      </c>
      <c r="F162" s="151">
        <v>6.666666666666667</v>
      </c>
      <c r="G162" s="7" t="s">
        <v>36</v>
      </c>
      <c r="H162" s="7" t="s">
        <v>44</v>
      </c>
      <c r="I162" s="7" t="s">
        <v>39</v>
      </c>
      <c r="J162">
        <v>0.18</v>
      </c>
      <c r="K162" s="148">
        <v>0.19700000000000001</v>
      </c>
      <c r="L162">
        <v>0.51</v>
      </c>
      <c r="M162" s="148">
        <v>0.16420000000000001</v>
      </c>
      <c r="N162">
        <v>1</v>
      </c>
      <c r="O162">
        <v>14</v>
      </c>
      <c r="P162">
        <v>15</v>
      </c>
    </row>
    <row r="163" spans="1:16">
      <c r="A163">
        <v>162</v>
      </c>
      <c r="B163" s="2">
        <v>40551</v>
      </c>
      <c r="C163">
        <v>1</v>
      </c>
      <c r="D163" t="s">
        <v>17</v>
      </c>
      <c r="E163" s="6" t="s">
        <v>18</v>
      </c>
      <c r="F163" s="151">
        <v>6.708333333333333</v>
      </c>
      <c r="G163" s="7" t="s">
        <v>36</v>
      </c>
      <c r="H163" s="7" t="s">
        <v>37</v>
      </c>
      <c r="I163" s="7" t="s">
        <v>39</v>
      </c>
      <c r="J163">
        <v>0.18</v>
      </c>
      <c r="K163" s="148">
        <v>0.19700000000000001</v>
      </c>
      <c r="L163">
        <v>0.51</v>
      </c>
      <c r="M163" s="148">
        <v>0.16420000000000001</v>
      </c>
      <c r="N163">
        <v>1</v>
      </c>
      <c r="O163">
        <v>24</v>
      </c>
      <c r="P163">
        <v>25</v>
      </c>
    </row>
    <row r="164" spans="1:16">
      <c r="A164">
        <v>163</v>
      </c>
      <c r="B164" s="2">
        <v>40551</v>
      </c>
      <c r="C164">
        <v>1</v>
      </c>
      <c r="D164" t="s">
        <v>17</v>
      </c>
      <c r="E164" s="6" t="s">
        <v>18</v>
      </c>
      <c r="F164" s="151">
        <v>6.75</v>
      </c>
      <c r="G164" s="7" t="s">
        <v>36</v>
      </c>
      <c r="H164" s="7" t="s">
        <v>37</v>
      </c>
      <c r="I164" s="7" t="s">
        <v>39</v>
      </c>
      <c r="J164">
        <v>0.18</v>
      </c>
      <c r="K164" s="148">
        <v>0.21210000000000001</v>
      </c>
      <c r="L164">
        <v>0.55000000000000004</v>
      </c>
      <c r="M164" s="148">
        <v>8.9599999999999999E-2</v>
      </c>
      <c r="N164">
        <v>1</v>
      </c>
      <c r="O164">
        <v>15</v>
      </c>
      <c r="P164">
        <v>16</v>
      </c>
    </row>
    <row r="165" spans="1:16">
      <c r="A165">
        <v>164</v>
      </c>
      <c r="B165" s="2">
        <v>40551</v>
      </c>
      <c r="C165">
        <v>1</v>
      </c>
      <c r="D165" t="s">
        <v>17</v>
      </c>
      <c r="E165" s="6" t="s">
        <v>18</v>
      </c>
      <c r="F165" s="151">
        <v>6.791666666666667</v>
      </c>
      <c r="G165" s="7" t="s">
        <v>36</v>
      </c>
      <c r="H165" s="7" t="s">
        <v>37</v>
      </c>
      <c r="I165" s="7" t="s">
        <v>39</v>
      </c>
      <c r="J165">
        <v>0.18</v>
      </c>
      <c r="K165" s="148">
        <v>0.2424</v>
      </c>
      <c r="L165">
        <v>0.55000000000000004</v>
      </c>
      <c r="M165" s="148">
        <v>0</v>
      </c>
      <c r="N165">
        <v>3</v>
      </c>
      <c r="O165">
        <v>13</v>
      </c>
      <c r="P165">
        <v>16</v>
      </c>
    </row>
    <row r="166" spans="1:16">
      <c r="A166">
        <v>165</v>
      </c>
      <c r="B166" s="2">
        <v>40551</v>
      </c>
      <c r="C166">
        <v>1</v>
      </c>
      <c r="D166" t="s">
        <v>17</v>
      </c>
      <c r="E166" s="6" t="s">
        <v>18</v>
      </c>
      <c r="F166" s="151">
        <v>6.833333333333333</v>
      </c>
      <c r="G166" s="7" t="s">
        <v>36</v>
      </c>
      <c r="H166" s="7" t="s">
        <v>37</v>
      </c>
      <c r="I166" s="7" t="s">
        <v>45</v>
      </c>
      <c r="J166">
        <v>0.18</v>
      </c>
      <c r="K166" s="148">
        <v>0.19700000000000001</v>
      </c>
      <c r="L166">
        <v>0.55000000000000004</v>
      </c>
      <c r="M166" s="148">
        <v>0.16420000000000001</v>
      </c>
      <c r="N166">
        <v>0</v>
      </c>
      <c r="O166">
        <v>7</v>
      </c>
      <c r="P166">
        <v>7</v>
      </c>
    </row>
    <row r="167" spans="1:16">
      <c r="A167">
        <v>166</v>
      </c>
      <c r="B167" s="2">
        <v>40551</v>
      </c>
      <c r="C167">
        <v>1</v>
      </c>
      <c r="D167" t="s">
        <v>17</v>
      </c>
      <c r="E167" s="6" t="s">
        <v>18</v>
      </c>
      <c r="F167" s="151">
        <v>6.875</v>
      </c>
      <c r="G167" s="7" t="s">
        <v>36</v>
      </c>
      <c r="H167" s="7" t="s">
        <v>37</v>
      </c>
      <c r="I167" s="7" t="s">
        <v>45</v>
      </c>
      <c r="J167">
        <v>0.18</v>
      </c>
      <c r="K167" s="148">
        <v>0.19700000000000001</v>
      </c>
      <c r="L167">
        <v>0.55000000000000004</v>
      </c>
      <c r="M167" s="148">
        <v>0.16420000000000001</v>
      </c>
      <c r="N167">
        <v>0</v>
      </c>
      <c r="O167">
        <v>1</v>
      </c>
      <c r="P167">
        <v>1</v>
      </c>
    </row>
    <row r="168" spans="1:16">
      <c r="A168">
        <v>167</v>
      </c>
      <c r="B168" s="2">
        <v>40551</v>
      </c>
      <c r="C168">
        <v>1</v>
      </c>
      <c r="D168" t="s">
        <v>17</v>
      </c>
      <c r="E168" s="6" t="s">
        <v>18</v>
      </c>
      <c r="F168" s="151">
        <v>6.916666666666667</v>
      </c>
      <c r="G168" s="7" t="s">
        <v>36</v>
      </c>
      <c r="H168" s="7" t="s">
        <v>37</v>
      </c>
      <c r="I168" s="7" t="s">
        <v>39</v>
      </c>
      <c r="J168">
        <v>0.16</v>
      </c>
      <c r="K168" s="148">
        <v>0.16669999999999999</v>
      </c>
      <c r="L168">
        <v>0.74</v>
      </c>
      <c r="M168" s="148">
        <v>0.16420000000000001</v>
      </c>
      <c r="N168">
        <v>0</v>
      </c>
      <c r="O168">
        <v>5</v>
      </c>
      <c r="P168">
        <v>5</v>
      </c>
    </row>
    <row r="169" spans="1:16">
      <c r="A169">
        <v>168</v>
      </c>
      <c r="B169" s="2">
        <v>40551</v>
      </c>
      <c r="C169">
        <v>1</v>
      </c>
      <c r="D169" t="s">
        <v>17</v>
      </c>
      <c r="E169" s="6" t="s">
        <v>18</v>
      </c>
      <c r="F169" s="151">
        <v>6.958333333333333</v>
      </c>
      <c r="G169" s="7" t="s">
        <v>36</v>
      </c>
      <c r="H169" s="7" t="s">
        <v>37</v>
      </c>
      <c r="I169" s="7" t="s">
        <v>39</v>
      </c>
      <c r="J169">
        <v>0.16</v>
      </c>
      <c r="K169" s="148">
        <v>0.16669999999999999</v>
      </c>
      <c r="L169">
        <v>0.74</v>
      </c>
      <c r="M169" s="148">
        <v>0.16420000000000001</v>
      </c>
      <c r="N169">
        <v>0</v>
      </c>
      <c r="O169">
        <v>2</v>
      </c>
      <c r="P169">
        <v>2</v>
      </c>
    </row>
    <row r="170" spans="1:16">
      <c r="A170">
        <v>169</v>
      </c>
      <c r="B170" s="2">
        <v>40551</v>
      </c>
      <c r="C170">
        <v>1</v>
      </c>
      <c r="D170" t="s">
        <v>17</v>
      </c>
      <c r="E170" s="6" t="s">
        <v>18</v>
      </c>
      <c r="F170" s="151">
        <v>7</v>
      </c>
      <c r="G170" s="7" t="s">
        <v>36</v>
      </c>
      <c r="H170" s="7" t="s">
        <v>37</v>
      </c>
      <c r="I170" s="7" t="s">
        <v>39</v>
      </c>
      <c r="J170">
        <v>0.16</v>
      </c>
      <c r="K170" s="148">
        <v>0.18179999999999999</v>
      </c>
      <c r="L170">
        <v>0.74</v>
      </c>
      <c r="M170" s="148">
        <v>0.1045</v>
      </c>
      <c r="N170">
        <v>1</v>
      </c>
      <c r="O170">
        <v>8</v>
      </c>
      <c r="P170">
        <v>9</v>
      </c>
    </row>
    <row r="171" spans="1:16">
      <c r="A171">
        <v>170</v>
      </c>
      <c r="B171" s="2">
        <v>40551</v>
      </c>
      <c r="C171">
        <v>1</v>
      </c>
      <c r="D171" t="s">
        <v>17</v>
      </c>
      <c r="E171" s="6" t="s">
        <v>18</v>
      </c>
      <c r="F171" s="151">
        <v>7.041666666666667</v>
      </c>
      <c r="G171" s="7" t="s">
        <v>36</v>
      </c>
      <c r="H171" s="7" t="s">
        <v>37</v>
      </c>
      <c r="I171" s="7" t="s">
        <v>45</v>
      </c>
      <c r="J171">
        <v>0.16</v>
      </c>
      <c r="K171" s="148">
        <v>0.18179999999999999</v>
      </c>
      <c r="L171">
        <v>0.93</v>
      </c>
      <c r="M171" s="148">
        <v>0.1045</v>
      </c>
      <c r="N171">
        <v>0</v>
      </c>
      <c r="O171">
        <v>15</v>
      </c>
      <c r="P171">
        <v>15</v>
      </c>
    </row>
    <row r="172" spans="1:16">
      <c r="A172">
        <v>171</v>
      </c>
      <c r="B172" s="2">
        <v>40551</v>
      </c>
      <c r="C172">
        <v>1</v>
      </c>
      <c r="D172" t="s">
        <v>17</v>
      </c>
      <c r="E172" s="6" t="s">
        <v>18</v>
      </c>
      <c r="F172" s="151">
        <v>7.083333333333333</v>
      </c>
      <c r="G172" s="7" t="s">
        <v>36</v>
      </c>
      <c r="H172" s="7" t="s">
        <v>37</v>
      </c>
      <c r="I172" s="7" t="s">
        <v>45</v>
      </c>
      <c r="J172">
        <v>0.16</v>
      </c>
      <c r="K172" s="148">
        <v>0.18179999999999999</v>
      </c>
      <c r="L172">
        <v>0.93</v>
      </c>
      <c r="M172" s="148">
        <v>0.1045</v>
      </c>
      <c r="N172">
        <v>0</v>
      </c>
      <c r="O172">
        <v>20</v>
      </c>
      <c r="P172">
        <v>20</v>
      </c>
    </row>
    <row r="173" spans="1:16">
      <c r="A173">
        <v>172</v>
      </c>
      <c r="B173" s="2">
        <v>40551</v>
      </c>
      <c r="C173">
        <v>1</v>
      </c>
      <c r="D173" t="s">
        <v>17</v>
      </c>
      <c r="E173" s="6" t="s">
        <v>18</v>
      </c>
      <c r="F173" s="151">
        <v>7.125</v>
      </c>
      <c r="G173" s="7" t="s">
        <v>36</v>
      </c>
      <c r="H173" s="7" t="s">
        <v>37</v>
      </c>
      <c r="I173" s="7" t="s">
        <v>39</v>
      </c>
      <c r="J173">
        <v>0.18</v>
      </c>
      <c r="K173" s="148">
        <v>0.19700000000000001</v>
      </c>
      <c r="L173">
        <v>0.8</v>
      </c>
      <c r="M173" s="148">
        <v>0.16420000000000001</v>
      </c>
      <c r="N173">
        <v>5</v>
      </c>
      <c r="O173">
        <v>56</v>
      </c>
      <c r="P173">
        <v>61</v>
      </c>
    </row>
    <row r="174" spans="1:16">
      <c r="A174">
        <v>173</v>
      </c>
      <c r="B174" s="2">
        <v>40551</v>
      </c>
      <c r="C174">
        <v>1</v>
      </c>
      <c r="D174" t="s">
        <v>17</v>
      </c>
      <c r="E174" s="6" t="s">
        <v>18</v>
      </c>
      <c r="F174" s="151">
        <v>7.166666666666667</v>
      </c>
      <c r="G174" s="7" t="s">
        <v>36</v>
      </c>
      <c r="H174" s="7" t="s">
        <v>37</v>
      </c>
      <c r="I174" s="7" t="s">
        <v>39</v>
      </c>
      <c r="J174">
        <v>0.2</v>
      </c>
      <c r="K174" s="148">
        <v>0.18179999999999999</v>
      </c>
      <c r="L174">
        <v>0.69</v>
      </c>
      <c r="M174" s="148">
        <v>0.3881</v>
      </c>
      <c r="N174">
        <v>2</v>
      </c>
      <c r="O174">
        <v>60</v>
      </c>
      <c r="P174">
        <v>62</v>
      </c>
    </row>
    <row r="175" spans="1:16">
      <c r="A175">
        <v>174</v>
      </c>
      <c r="B175" s="2">
        <v>40551</v>
      </c>
      <c r="C175">
        <v>1</v>
      </c>
      <c r="D175" t="s">
        <v>17</v>
      </c>
      <c r="E175" s="6" t="s">
        <v>18</v>
      </c>
      <c r="F175" s="151">
        <v>7.208333333333333</v>
      </c>
      <c r="G175" s="7" t="s">
        <v>36</v>
      </c>
      <c r="H175" s="7" t="s">
        <v>37</v>
      </c>
      <c r="I175" s="7" t="s">
        <v>39</v>
      </c>
      <c r="J175">
        <v>0.2</v>
      </c>
      <c r="K175" s="148">
        <v>0.18179999999999999</v>
      </c>
      <c r="L175">
        <v>0.59</v>
      </c>
      <c r="M175" s="148">
        <v>0.35820000000000002</v>
      </c>
      <c r="N175">
        <v>8</v>
      </c>
      <c r="O175">
        <v>90</v>
      </c>
      <c r="P175">
        <v>98</v>
      </c>
    </row>
    <row r="176" spans="1:16">
      <c r="A176">
        <v>175</v>
      </c>
      <c r="B176" s="2">
        <v>40551</v>
      </c>
      <c r="C176">
        <v>1</v>
      </c>
      <c r="D176" t="s">
        <v>17</v>
      </c>
      <c r="E176" s="6" t="s">
        <v>18</v>
      </c>
      <c r="F176" s="151">
        <v>7.25</v>
      </c>
      <c r="G176" s="7" t="s">
        <v>36</v>
      </c>
      <c r="H176" s="7" t="s">
        <v>37</v>
      </c>
      <c r="I176" s="7" t="s">
        <v>38</v>
      </c>
      <c r="J176">
        <v>0.2</v>
      </c>
      <c r="K176" s="148">
        <v>0.18179999999999999</v>
      </c>
      <c r="L176">
        <v>0.44</v>
      </c>
      <c r="M176" s="148">
        <v>0.32840000000000003</v>
      </c>
      <c r="N176">
        <v>7</v>
      </c>
      <c r="O176">
        <v>95</v>
      </c>
      <c r="P176">
        <v>102</v>
      </c>
    </row>
    <row r="177" spans="1:16">
      <c r="A177">
        <v>176</v>
      </c>
      <c r="B177" s="2">
        <v>40551</v>
      </c>
      <c r="C177">
        <v>1</v>
      </c>
      <c r="D177" t="s">
        <v>17</v>
      </c>
      <c r="E177" s="6" t="s">
        <v>18</v>
      </c>
      <c r="F177" s="151">
        <v>7.291666666666667</v>
      </c>
      <c r="G177" s="7" t="s">
        <v>36</v>
      </c>
      <c r="H177" s="7" t="s">
        <v>37</v>
      </c>
      <c r="I177" s="7" t="s">
        <v>38</v>
      </c>
      <c r="J177">
        <v>0.2</v>
      </c>
      <c r="K177" s="148">
        <v>0.16669999999999999</v>
      </c>
      <c r="L177">
        <v>0.32</v>
      </c>
      <c r="M177" s="148">
        <v>0.49249999999999999</v>
      </c>
      <c r="N177">
        <v>12</v>
      </c>
      <c r="O177">
        <v>83</v>
      </c>
      <c r="P177">
        <v>95</v>
      </c>
    </row>
    <row r="178" spans="1:16">
      <c r="A178">
        <v>177</v>
      </c>
      <c r="B178" s="2">
        <v>40551</v>
      </c>
      <c r="C178">
        <v>1</v>
      </c>
      <c r="D178" t="s">
        <v>17</v>
      </c>
      <c r="E178" s="6" t="s">
        <v>18</v>
      </c>
      <c r="F178" s="151">
        <v>7.333333333333333</v>
      </c>
      <c r="G178" s="7" t="s">
        <v>36</v>
      </c>
      <c r="H178" s="7" t="s">
        <v>37</v>
      </c>
      <c r="I178" s="7" t="s">
        <v>38</v>
      </c>
      <c r="J178">
        <v>0.2</v>
      </c>
      <c r="K178" s="148">
        <v>0.16669999999999999</v>
      </c>
      <c r="L178">
        <v>0.32</v>
      </c>
      <c r="M178" s="148">
        <v>0.44779999999999998</v>
      </c>
      <c r="N178">
        <v>5</v>
      </c>
      <c r="O178">
        <v>69</v>
      </c>
      <c r="P178">
        <v>74</v>
      </c>
    </row>
    <row r="179" spans="1:16">
      <c r="A179">
        <v>178</v>
      </c>
      <c r="B179" s="2">
        <v>40551</v>
      </c>
      <c r="C179">
        <v>1</v>
      </c>
      <c r="D179" t="s">
        <v>17</v>
      </c>
      <c r="E179" s="6" t="s">
        <v>18</v>
      </c>
      <c r="F179" s="151">
        <v>7.375</v>
      </c>
      <c r="G179" s="7" t="s">
        <v>36</v>
      </c>
      <c r="H179" s="7" t="s">
        <v>37</v>
      </c>
      <c r="I179" s="7" t="s">
        <v>38</v>
      </c>
      <c r="J179">
        <v>0.18</v>
      </c>
      <c r="K179" s="148">
        <v>0.13639999999999999</v>
      </c>
      <c r="L179">
        <v>0.28999999999999998</v>
      </c>
      <c r="M179" s="148">
        <v>0.44779999999999998</v>
      </c>
      <c r="N179">
        <v>8</v>
      </c>
      <c r="O179">
        <v>68</v>
      </c>
      <c r="P179">
        <v>76</v>
      </c>
    </row>
    <row r="180" spans="1:16">
      <c r="A180">
        <v>179</v>
      </c>
      <c r="B180" s="2">
        <v>40551</v>
      </c>
      <c r="C180">
        <v>1</v>
      </c>
      <c r="D180" t="s">
        <v>17</v>
      </c>
      <c r="E180" s="6" t="s">
        <v>18</v>
      </c>
      <c r="F180" s="151">
        <v>7.416666666666667</v>
      </c>
      <c r="G180" s="7" t="s">
        <v>36</v>
      </c>
      <c r="H180" s="7" t="s">
        <v>37</v>
      </c>
      <c r="I180" s="7" t="s">
        <v>38</v>
      </c>
      <c r="J180">
        <v>0.16</v>
      </c>
      <c r="K180" s="148">
        <v>0.1212</v>
      </c>
      <c r="L180">
        <v>0.37</v>
      </c>
      <c r="M180" s="148">
        <v>0.55220000000000002</v>
      </c>
      <c r="N180">
        <v>5</v>
      </c>
      <c r="O180">
        <v>64</v>
      </c>
      <c r="P180">
        <v>69</v>
      </c>
    </row>
    <row r="181" spans="1:16">
      <c r="A181">
        <v>180</v>
      </c>
      <c r="B181" s="2">
        <v>40551</v>
      </c>
      <c r="C181">
        <v>1</v>
      </c>
      <c r="D181" t="s">
        <v>17</v>
      </c>
      <c r="E181" s="6" t="s">
        <v>18</v>
      </c>
      <c r="F181" s="151">
        <v>7.458333333333333</v>
      </c>
      <c r="G181" s="7" t="s">
        <v>36</v>
      </c>
      <c r="H181" s="7" t="s">
        <v>37</v>
      </c>
      <c r="I181" s="7" t="s">
        <v>38</v>
      </c>
      <c r="J181">
        <v>0.14000000000000001</v>
      </c>
      <c r="K181" s="148">
        <v>0.1212</v>
      </c>
      <c r="L181">
        <v>0.39</v>
      </c>
      <c r="M181" s="148">
        <v>0.29849999999999999</v>
      </c>
      <c r="N181">
        <v>3</v>
      </c>
      <c r="O181">
        <v>52</v>
      </c>
      <c r="P181">
        <v>55</v>
      </c>
    </row>
    <row r="182" spans="1:16">
      <c r="A182">
        <v>181</v>
      </c>
      <c r="B182" s="2">
        <v>40551</v>
      </c>
      <c r="C182">
        <v>1</v>
      </c>
      <c r="D182" t="s">
        <v>17</v>
      </c>
      <c r="E182" s="6" t="s">
        <v>18</v>
      </c>
      <c r="F182" s="151">
        <v>7.5</v>
      </c>
      <c r="G182" s="7" t="s">
        <v>36</v>
      </c>
      <c r="H182" s="7" t="s">
        <v>37</v>
      </c>
      <c r="I182" s="7" t="s">
        <v>38</v>
      </c>
      <c r="J182">
        <v>0.14000000000000001</v>
      </c>
      <c r="K182" s="148">
        <v>0.1212</v>
      </c>
      <c r="L182">
        <v>0.36</v>
      </c>
      <c r="M182" s="148">
        <v>0.25369999999999998</v>
      </c>
      <c r="N182">
        <v>4</v>
      </c>
      <c r="O182">
        <v>26</v>
      </c>
      <c r="P182">
        <v>30</v>
      </c>
    </row>
    <row r="183" spans="1:16">
      <c r="A183">
        <v>182</v>
      </c>
      <c r="B183" s="2">
        <v>40551</v>
      </c>
      <c r="C183">
        <v>1</v>
      </c>
      <c r="D183" t="s">
        <v>17</v>
      </c>
      <c r="E183" s="6" t="s">
        <v>18</v>
      </c>
      <c r="F183" s="151">
        <v>7.541666666666667</v>
      </c>
      <c r="G183" s="7" t="s">
        <v>36</v>
      </c>
      <c r="H183" s="7" t="s">
        <v>37</v>
      </c>
      <c r="I183" s="7" t="s">
        <v>38</v>
      </c>
      <c r="J183">
        <v>0.12</v>
      </c>
      <c r="K183" s="148">
        <v>0.1212</v>
      </c>
      <c r="L183">
        <v>0.36</v>
      </c>
      <c r="M183" s="148">
        <v>0.25369999999999998</v>
      </c>
      <c r="N183">
        <v>0</v>
      </c>
      <c r="O183">
        <v>28</v>
      </c>
      <c r="P183">
        <v>28</v>
      </c>
    </row>
    <row r="184" spans="1:16">
      <c r="A184">
        <v>183</v>
      </c>
      <c r="B184" s="2">
        <v>40551</v>
      </c>
      <c r="C184">
        <v>1</v>
      </c>
      <c r="D184" t="s">
        <v>17</v>
      </c>
      <c r="E184" s="6" t="s">
        <v>18</v>
      </c>
      <c r="F184" s="151">
        <v>7.583333333333333</v>
      </c>
      <c r="G184" s="7" t="s">
        <v>36</v>
      </c>
      <c r="H184" s="7" t="s">
        <v>37</v>
      </c>
      <c r="I184" s="7" t="s">
        <v>38</v>
      </c>
      <c r="J184">
        <v>0.12</v>
      </c>
      <c r="K184" s="148">
        <v>0.1061</v>
      </c>
      <c r="L184">
        <v>0.39</v>
      </c>
      <c r="M184" s="148">
        <v>0.35820000000000002</v>
      </c>
      <c r="N184">
        <v>2</v>
      </c>
      <c r="O184">
        <v>35</v>
      </c>
      <c r="P184">
        <v>37</v>
      </c>
    </row>
    <row r="185" spans="1:16">
      <c r="A185">
        <v>184</v>
      </c>
      <c r="B185" s="2">
        <v>40551</v>
      </c>
      <c r="C185">
        <v>1</v>
      </c>
      <c r="D185" t="s">
        <v>17</v>
      </c>
      <c r="E185" s="6" t="s">
        <v>18</v>
      </c>
      <c r="F185" s="151">
        <v>7.625</v>
      </c>
      <c r="G185" s="7" t="s">
        <v>36</v>
      </c>
      <c r="H185" s="7" t="s">
        <v>37</v>
      </c>
      <c r="I185" s="7" t="s">
        <v>38</v>
      </c>
      <c r="J185">
        <v>0.12</v>
      </c>
      <c r="K185" s="148">
        <v>0.1061</v>
      </c>
      <c r="L185">
        <v>0.36</v>
      </c>
      <c r="M185" s="148">
        <v>0.3881</v>
      </c>
      <c r="N185">
        <v>1</v>
      </c>
      <c r="O185">
        <v>33</v>
      </c>
      <c r="P185">
        <v>34</v>
      </c>
    </row>
    <row r="186" spans="1:16">
      <c r="A186">
        <v>185</v>
      </c>
      <c r="B186" s="2">
        <v>40551</v>
      </c>
      <c r="C186">
        <v>1</v>
      </c>
      <c r="D186" t="s">
        <v>17</v>
      </c>
      <c r="E186" s="6" t="s">
        <v>18</v>
      </c>
      <c r="F186" s="151">
        <v>7.666666666666667</v>
      </c>
      <c r="G186" s="7" t="s">
        <v>36</v>
      </c>
      <c r="H186" s="7" t="s">
        <v>37</v>
      </c>
      <c r="I186" s="7" t="s">
        <v>38</v>
      </c>
      <c r="J186">
        <v>0.1</v>
      </c>
      <c r="K186" s="148">
        <v>6.0600000000000001E-2</v>
      </c>
      <c r="L186">
        <v>0.39</v>
      </c>
      <c r="M186" s="148">
        <v>0.44779999999999998</v>
      </c>
      <c r="N186">
        <v>0</v>
      </c>
      <c r="O186">
        <v>22</v>
      </c>
      <c r="P186">
        <v>22</v>
      </c>
    </row>
    <row r="187" spans="1:16">
      <c r="A187">
        <v>186</v>
      </c>
      <c r="B187" s="2">
        <v>40552</v>
      </c>
      <c r="C187">
        <v>1</v>
      </c>
      <c r="D187" t="s">
        <v>17</v>
      </c>
      <c r="E187" s="6" t="s">
        <v>18</v>
      </c>
      <c r="F187" s="151">
        <v>7.708333333333333</v>
      </c>
      <c r="G187" s="7" t="s">
        <v>36</v>
      </c>
      <c r="H187" s="7" t="s">
        <v>40</v>
      </c>
      <c r="I187" s="7" t="s">
        <v>38</v>
      </c>
      <c r="J187">
        <v>0.1</v>
      </c>
      <c r="K187" s="148">
        <v>7.5800000000000006E-2</v>
      </c>
      <c r="L187">
        <v>0.42</v>
      </c>
      <c r="M187" s="148">
        <v>0.3881</v>
      </c>
      <c r="N187">
        <v>1</v>
      </c>
      <c r="O187">
        <v>24</v>
      </c>
      <c r="P187">
        <v>25</v>
      </c>
    </row>
    <row r="188" spans="1:16">
      <c r="A188">
        <v>187</v>
      </c>
      <c r="B188" s="2">
        <v>40552</v>
      </c>
      <c r="C188">
        <v>1</v>
      </c>
      <c r="D188" t="s">
        <v>17</v>
      </c>
      <c r="E188" s="6" t="s">
        <v>18</v>
      </c>
      <c r="F188" s="151">
        <v>7.75</v>
      </c>
      <c r="G188" s="7" t="s">
        <v>36</v>
      </c>
      <c r="H188" s="7" t="s">
        <v>40</v>
      </c>
      <c r="I188" s="7" t="s">
        <v>38</v>
      </c>
      <c r="J188">
        <v>0.1</v>
      </c>
      <c r="K188" s="148">
        <v>6.0600000000000001E-2</v>
      </c>
      <c r="L188">
        <v>0.42</v>
      </c>
      <c r="M188" s="148">
        <v>0.4627</v>
      </c>
      <c r="N188">
        <v>0</v>
      </c>
      <c r="O188">
        <v>12</v>
      </c>
      <c r="P188">
        <v>12</v>
      </c>
    </row>
    <row r="189" spans="1:16">
      <c r="A189">
        <v>188</v>
      </c>
      <c r="B189" s="2">
        <v>40552</v>
      </c>
      <c r="C189">
        <v>1</v>
      </c>
      <c r="D189" t="s">
        <v>17</v>
      </c>
      <c r="E189" s="6" t="s">
        <v>18</v>
      </c>
      <c r="F189" s="151">
        <v>7.791666666666667</v>
      </c>
      <c r="G189" s="7" t="s">
        <v>36</v>
      </c>
      <c r="H189" s="7" t="s">
        <v>40</v>
      </c>
      <c r="I189" s="7" t="s">
        <v>38</v>
      </c>
      <c r="J189">
        <v>0.1</v>
      </c>
      <c r="K189" s="148">
        <v>6.0600000000000001E-2</v>
      </c>
      <c r="L189">
        <v>0.46</v>
      </c>
      <c r="M189" s="148">
        <v>0.4627</v>
      </c>
      <c r="N189">
        <v>0</v>
      </c>
      <c r="O189">
        <v>11</v>
      </c>
      <c r="P189">
        <v>11</v>
      </c>
    </row>
    <row r="190" spans="1:16">
      <c r="A190">
        <v>189</v>
      </c>
      <c r="B190" s="2">
        <v>40552</v>
      </c>
      <c r="C190">
        <v>1</v>
      </c>
      <c r="D190" t="s">
        <v>17</v>
      </c>
      <c r="E190" s="6" t="s">
        <v>18</v>
      </c>
      <c r="F190" s="151">
        <v>7.833333333333333</v>
      </c>
      <c r="G190" s="7" t="s">
        <v>36</v>
      </c>
      <c r="H190" s="7" t="s">
        <v>40</v>
      </c>
      <c r="I190" s="7" t="s">
        <v>38</v>
      </c>
      <c r="J190">
        <v>0.1</v>
      </c>
      <c r="K190" s="148">
        <v>7.5800000000000006E-2</v>
      </c>
      <c r="L190">
        <v>0.46</v>
      </c>
      <c r="M190" s="148">
        <v>0.41789999999999999</v>
      </c>
      <c r="N190">
        <v>0</v>
      </c>
      <c r="O190">
        <v>4</v>
      </c>
      <c r="P190">
        <v>4</v>
      </c>
    </row>
    <row r="191" spans="1:16">
      <c r="A191">
        <v>190</v>
      </c>
      <c r="B191" s="2">
        <v>40552</v>
      </c>
      <c r="C191">
        <v>1</v>
      </c>
      <c r="D191" t="s">
        <v>17</v>
      </c>
      <c r="E191" s="6" t="s">
        <v>18</v>
      </c>
      <c r="F191" s="151">
        <v>7.875</v>
      </c>
      <c r="G191" s="7" t="s">
        <v>36</v>
      </c>
      <c r="H191" s="7" t="s">
        <v>40</v>
      </c>
      <c r="I191" s="7" t="s">
        <v>38</v>
      </c>
      <c r="J191">
        <v>0.08</v>
      </c>
      <c r="K191" s="148">
        <v>9.0899999999999995E-2</v>
      </c>
      <c r="L191">
        <v>0.53</v>
      </c>
      <c r="M191" s="148">
        <v>0.19400000000000001</v>
      </c>
      <c r="N191">
        <v>0</v>
      </c>
      <c r="O191">
        <v>1</v>
      </c>
      <c r="P191">
        <v>1</v>
      </c>
    </row>
    <row r="192" spans="1:16">
      <c r="A192">
        <v>191</v>
      </c>
      <c r="B192" s="2">
        <v>40552</v>
      </c>
      <c r="C192">
        <v>1</v>
      </c>
      <c r="D192" t="s">
        <v>17</v>
      </c>
      <c r="E192" s="6" t="s">
        <v>18</v>
      </c>
      <c r="F192" s="151">
        <v>7.916666666666667</v>
      </c>
      <c r="G192" s="7" t="s">
        <v>36</v>
      </c>
      <c r="H192" s="7" t="s">
        <v>40</v>
      </c>
      <c r="I192" s="7" t="s">
        <v>38</v>
      </c>
      <c r="J192">
        <v>0.08</v>
      </c>
      <c r="K192" s="148">
        <v>9.0899999999999995E-2</v>
      </c>
      <c r="L192">
        <v>0.53</v>
      </c>
      <c r="M192" s="148">
        <v>0.19400000000000001</v>
      </c>
      <c r="N192">
        <v>0</v>
      </c>
      <c r="O192">
        <v>1</v>
      </c>
      <c r="P192">
        <v>1</v>
      </c>
    </row>
    <row r="193" spans="1:16">
      <c r="A193">
        <v>192</v>
      </c>
      <c r="B193" s="2">
        <v>40552</v>
      </c>
      <c r="C193">
        <v>1</v>
      </c>
      <c r="D193" t="s">
        <v>17</v>
      </c>
      <c r="E193" s="6" t="s">
        <v>18</v>
      </c>
      <c r="F193" s="151">
        <v>7.958333333333333</v>
      </c>
      <c r="G193" s="7" t="s">
        <v>36</v>
      </c>
      <c r="H193" s="7" t="s">
        <v>40</v>
      </c>
      <c r="I193" s="7" t="s">
        <v>38</v>
      </c>
      <c r="J193">
        <v>0.1</v>
      </c>
      <c r="K193" s="148">
        <v>9.0899999999999995E-2</v>
      </c>
      <c r="L193">
        <v>0.49</v>
      </c>
      <c r="M193" s="148">
        <v>0.28360000000000002</v>
      </c>
      <c r="N193">
        <v>0</v>
      </c>
      <c r="O193">
        <v>1</v>
      </c>
      <c r="P193">
        <v>1</v>
      </c>
    </row>
    <row r="194" spans="1:16">
      <c r="A194">
        <v>193</v>
      </c>
      <c r="B194" s="2">
        <v>40552</v>
      </c>
      <c r="C194">
        <v>1</v>
      </c>
      <c r="D194" t="s">
        <v>17</v>
      </c>
      <c r="E194" s="6" t="s">
        <v>18</v>
      </c>
      <c r="F194" s="151">
        <v>8</v>
      </c>
      <c r="G194" s="7" t="s">
        <v>36</v>
      </c>
      <c r="H194" s="7" t="s">
        <v>40</v>
      </c>
      <c r="I194" s="7" t="s">
        <v>38</v>
      </c>
      <c r="J194">
        <v>0.08</v>
      </c>
      <c r="K194" s="148">
        <v>9.0899999999999995E-2</v>
      </c>
      <c r="L194">
        <v>0.53</v>
      </c>
      <c r="M194" s="148">
        <v>0.19400000000000001</v>
      </c>
      <c r="N194">
        <v>1</v>
      </c>
      <c r="O194">
        <v>5</v>
      </c>
      <c r="P194">
        <v>6</v>
      </c>
    </row>
    <row r="195" spans="1:16">
      <c r="A195">
        <v>194</v>
      </c>
      <c r="B195" s="2">
        <v>40552</v>
      </c>
      <c r="C195">
        <v>1</v>
      </c>
      <c r="D195" t="s">
        <v>17</v>
      </c>
      <c r="E195" s="6" t="s">
        <v>18</v>
      </c>
      <c r="F195" s="151">
        <v>8.0416666666666661</v>
      </c>
      <c r="G195" s="7" t="s">
        <v>36</v>
      </c>
      <c r="H195" s="7" t="s">
        <v>40</v>
      </c>
      <c r="I195" s="7" t="s">
        <v>38</v>
      </c>
      <c r="J195">
        <v>0.1</v>
      </c>
      <c r="K195" s="148">
        <v>9.0899999999999995E-2</v>
      </c>
      <c r="L195">
        <v>0.49</v>
      </c>
      <c r="M195" s="148">
        <v>0.28360000000000002</v>
      </c>
      <c r="N195">
        <v>0</v>
      </c>
      <c r="O195">
        <v>10</v>
      </c>
      <c r="P195">
        <v>10</v>
      </c>
    </row>
    <row r="196" spans="1:16">
      <c r="A196">
        <v>195</v>
      </c>
      <c r="B196" s="2">
        <v>40552</v>
      </c>
      <c r="C196">
        <v>1</v>
      </c>
      <c r="D196" t="s">
        <v>17</v>
      </c>
      <c r="E196" s="6" t="s">
        <v>18</v>
      </c>
      <c r="F196" s="151">
        <v>8.0833333333333339</v>
      </c>
      <c r="G196" s="7" t="s">
        <v>36</v>
      </c>
      <c r="H196" s="7" t="s">
        <v>40</v>
      </c>
      <c r="I196" s="7" t="s">
        <v>38</v>
      </c>
      <c r="J196">
        <v>0.12</v>
      </c>
      <c r="K196" s="148">
        <v>7.5800000000000006E-2</v>
      </c>
      <c r="L196">
        <v>0.46</v>
      </c>
      <c r="M196" s="148">
        <v>0.52239999999999998</v>
      </c>
      <c r="N196">
        <v>0</v>
      </c>
      <c r="O196">
        <v>19</v>
      </c>
      <c r="P196">
        <v>19</v>
      </c>
    </row>
    <row r="197" spans="1:16">
      <c r="A197">
        <v>196</v>
      </c>
      <c r="B197" s="2">
        <v>40552</v>
      </c>
      <c r="C197">
        <v>1</v>
      </c>
      <c r="D197" t="s">
        <v>17</v>
      </c>
      <c r="E197" s="6" t="s">
        <v>18</v>
      </c>
      <c r="F197" s="151">
        <v>8.125</v>
      </c>
      <c r="G197" s="7" t="s">
        <v>36</v>
      </c>
      <c r="H197" s="7" t="s">
        <v>40</v>
      </c>
      <c r="I197" s="7" t="s">
        <v>38</v>
      </c>
      <c r="J197">
        <v>0.14000000000000001</v>
      </c>
      <c r="K197" s="148">
        <v>0.1061</v>
      </c>
      <c r="L197">
        <v>0.43</v>
      </c>
      <c r="M197" s="148">
        <v>0.3881</v>
      </c>
      <c r="N197">
        <v>0</v>
      </c>
      <c r="O197">
        <v>49</v>
      </c>
      <c r="P197">
        <v>49</v>
      </c>
    </row>
    <row r="198" spans="1:16">
      <c r="A198">
        <v>197</v>
      </c>
      <c r="B198" s="2">
        <v>40552</v>
      </c>
      <c r="C198">
        <v>1</v>
      </c>
      <c r="D198" t="s">
        <v>17</v>
      </c>
      <c r="E198" s="6" t="s">
        <v>18</v>
      </c>
      <c r="F198" s="151">
        <v>8.1666666666666661</v>
      </c>
      <c r="G198" s="7" t="s">
        <v>36</v>
      </c>
      <c r="H198" s="7" t="s">
        <v>40</v>
      </c>
      <c r="I198" s="7" t="s">
        <v>38</v>
      </c>
      <c r="J198">
        <v>0.16</v>
      </c>
      <c r="K198" s="148">
        <v>0.1212</v>
      </c>
      <c r="L198">
        <v>0.4</v>
      </c>
      <c r="M198" s="148">
        <v>0.52239999999999998</v>
      </c>
      <c r="N198">
        <v>2</v>
      </c>
      <c r="O198">
        <v>47</v>
      </c>
      <c r="P198">
        <v>49</v>
      </c>
    </row>
    <row r="199" spans="1:16">
      <c r="A199">
        <v>198</v>
      </c>
      <c r="B199" s="2">
        <v>40552</v>
      </c>
      <c r="C199">
        <v>1</v>
      </c>
      <c r="D199" t="s">
        <v>17</v>
      </c>
      <c r="E199" s="6" t="s">
        <v>18</v>
      </c>
      <c r="F199" s="151">
        <v>8.2083333333333339</v>
      </c>
      <c r="G199" s="7" t="s">
        <v>36</v>
      </c>
      <c r="H199" s="7" t="s">
        <v>40</v>
      </c>
      <c r="I199" s="7" t="s">
        <v>38</v>
      </c>
      <c r="J199">
        <v>0.18</v>
      </c>
      <c r="K199" s="148">
        <v>0.13639999999999999</v>
      </c>
      <c r="L199">
        <v>0.37</v>
      </c>
      <c r="M199" s="148">
        <v>0.44779999999999998</v>
      </c>
      <c r="N199">
        <v>4</v>
      </c>
      <c r="O199">
        <v>79</v>
      </c>
      <c r="P199">
        <v>83</v>
      </c>
    </row>
    <row r="200" spans="1:16">
      <c r="A200">
        <v>199</v>
      </c>
      <c r="B200" s="2">
        <v>40552</v>
      </c>
      <c r="C200">
        <v>1</v>
      </c>
      <c r="D200" t="s">
        <v>17</v>
      </c>
      <c r="E200" s="6" t="s">
        <v>18</v>
      </c>
      <c r="F200" s="151">
        <v>8.25</v>
      </c>
      <c r="G200" s="7" t="s">
        <v>36</v>
      </c>
      <c r="H200" s="7" t="s">
        <v>40</v>
      </c>
      <c r="I200" s="7" t="s">
        <v>38</v>
      </c>
      <c r="J200">
        <v>0.2</v>
      </c>
      <c r="K200" s="148">
        <v>0.16669999999999999</v>
      </c>
      <c r="L200">
        <v>0.34</v>
      </c>
      <c r="M200" s="148">
        <v>0.44779999999999998</v>
      </c>
      <c r="N200">
        <v>6</v>
      </c>
      <c r="O200">
        <v>69</v>
      </c>
      <c r="P200">
        <v>75</v>
      </c>
    </row>
    <row r="201" spans="1:16">
      <c r="A201">
        <v>200</v>
      </c>
      <c r="B201" s="2">
        <v>40552</v>
      </c>
      <c r="C201">
        <v>1</v>
      </c>
      <c r="D201" t="s">
        <v>17</v>
      </c>
      <c r="E201" s="6" t="s">
        <v>18</v>
      </c>
      <c r="F201" s="151">
        <v>8.2916666666666661</v>
      </c>
      <c r="G201" s="7" t="s">
        <v>36</v>
      </c>
      <c r="H201" s="7" t="s">
        <v>40</v>
      </c>
      <c r="I201" s="7" t="s">
        <v>38</v>
      </c>
      <c r="J201">
        <v>0.22</v>
      </c>
      <c r="K201" s="148">
        <v>0.18179999999999999</v>
      </c>
      <c r="L201">
        <v>0.32</v>
      </c>
      <c r="M201" s="148">
        <v>0.4627</v>
      </c>
      <c r="N201">
        <v>8</v>
      </c>
      <c r="O201">
        <v>64</v>
      </c>
      <c r="P201">
        <v>72</v>
      </c>
    </row>
    <row r="202" spans="1:16">
      <c r="A202">
        <v>201</v>
      </c>
      <c r="B202" s="2">
        <v>40552</v>
      </c>
      <c r="C202">
        <v>1</v>
      </c>
      <c r="D202" t="s">
        <v>17</v>
      </c>
      <c r="E202" s="6" t="s">
        <v>18</v>
      </c>
      <c r="F202" s="151">
        <v>8.3333333333333339</v>
      </c>
      <c r="G202" s="7" t="s">
        <v>36</v>
      </c>
      <c r="H202" s="7" t="s">
        <v>40</v>
      </c>
      <c r="I202" s="7" t="s">
        <v>38</v>
      </c>
      <c r="J202">
        <v>0.22</v>
      </c>
      <c r="K202" s="148">
        <v>0.19700000000000001</v>
      </c>
      <c r="L202">
        <v>0.35</v>
      </c>
      <c r="M202" s="148">
        <v>0.35820000000000002</v>
      </c>
      <c r="N202">
        <v>5</v>
      </c>
      <c r="O202">
        <v>77</v>
      </c>
      <c r="P202">
        <v>82</v>
      </c>
    </row>
    <row r="203" spans="1:16">
      <c r="A203">
        <v>202</v>
      </c>
      <c r="B203" s="2">
        <v>40552</v>
      </c>
      <c r="C203">
        <v>1</v>
      </c>
      <c r="D203" t="s">
        <v>17</v>
      </c>
      <c r="E203" s="6" t="s">
        <v>18</v>
      </c>
      <c r="F203" s="151">
        <v>8.375</v>
      </c>
      <c r="G203" s="7" t="s">
        <v>36</v>
      </c>
      <c r="H203" s="7" t="s">
        <v>40</v>
      </c>
      <c r="I203" s="7" t="s">
        <v>38</v>
      </c>
      <c r="J203">
        <v>0.2</v>
      </c>
      <c r="K203" s="148">
        <v>0.16669999999999999</v>
      </c>
      <c r="L203">
        <v>0.34</v>
      </c>
      <c r="M203" s="148">
        <v>0.44779999999999998</v>
      </c>
      <c r="N203">
        <v>13</v>
      </c>
      <c r="O203">
        <v>79</v>
      </c>
      <c r="P203">
        <v>92</v>
      </c>
    </row>
    <row r="204" spans="1:16">
      <c r="A204">
        <v>203</v>
      </c>
      <c r="B204" s="2">
        <v>40552</v>
      </c>
      <c r="C204">
        <v>1</v>
      </c>
      <c r="D204" t="s">
        <v>17</v>
      </c>
      <c r="E204" s="6" t="s">
        <v>18</v>
      </c>
      <c r="F204" s="151">
        <v>8.4166666666666661</v>
      </c>
      <c r="G204" s="7" t="s">
        <v>36</v>
      </c>
      <c r="H204" s="7" t="s">
        <v>40</v>
      </c>
      <c r="I204" s="7" t="s">
        <v>38</v>
      </c>
      <c r="J204">
        <v>0.18</v>
      </c>
      <c r="K204" s="148">
        <v>0.1515</v>
      </c>
      <c r="L204">
        <v>0.37</v>
      </c>
      <c r="M204" s="148">
        <v>0.3881</v>
      </c>
      <c r="N204">
        <v>3</v>
      </c>
      <c r="O204">
        <v>59</v>
      </c>
      <c r="P204">
        <v>62</v>
      </c>
    </row>
    <row r="205" spans="1:16">
      <c r="A205">
        <v>204</v>
      </c>
      <c r="B205" s="2">
        <v>40552</v>
      </c>
      <c r="C205">
        <v>1</v>
      </c>
      <c r="D205" t="s">
        <v>17</v>
      </c>
      <c r="E205" s="6" t="s">
        <v>18</v>
      </c>
      <c r="F205" s="151">
        <v>8.4583333333333339</v>
      </c>
      <c r="G205" s="7" t="s">
        <v>36</v>
      </c>
      <c r="H205" s="7" t="s">
        <v>40</v>
      </c>
      <c r="I205" s="7" t="s">
        <v>38</v>
      </c>
      <c r="J205">
        <v>0.16</v>
      </c>
      <c r="K205" s="148">
        <v>0.13639999999999999</v>
      </c>
      <c r="L205">
        <v>0.4</v>
      </c>
      <c r="M205" s="148">
        <v>0.32840000000000003</v>
      </c>
      <c r="N205">
        <v>4</v>
      </c>
      <c r="O205">
        <v>44</v>
      </c>
      <c r="P205">
        <v>48</v>
      </c>
    </row>
    <row r="206" spans="1:16">
      <c r="A206">
        <v>205</v>
      </c>
      <c r="B206" s="2">
        <v>40552</v>
      </c>
      <c r="C206">
        <v>1</v>
      </c>
      <c r="D206" t="s">
        <v>17</v>
      </c>
      <c r="E206" s="6" t="s">
        <v>18</v>
      </c>
      <c r="F206" s="151">
        <v>8.5</v>
      </c>
      <c r="G206" s="7" t="s">
        <v>36</v>
      </c>
      <c r="H206" s="7" t="s">
        <v>40</v>
      </c>
      <c r="I206" s="7" t="s">
        <v>38</v>
      </c>
      <c r="J206">
        <v>0.16</v>
      </c>
      <c r="K206" s="148">
        <v>0.13639999999999999</v>
      </c>
      <c r="L206">
        <v>0.43</v>
      </c>
      <c r="M206" s="148">
        <v>0.32840000000000003</v>
      </c>
      <c r="N206">
        <v>1</v>
      </c>
      <c r="O206">
        <v>40</v>
      </c>
      <c r="P206">
        <v>41</v>
      </c>
    </row>
    <row r="207" spans="1:16">
      <c r="A207">
        <v>206</v>
      </c>
      <c r="B207" s="2">
        <v>40552</v>
      </c>
      <c r="C207">
        <v>1</v>
      </c>
      <c r="D207" t="s">
        <v>17</v>
      </c>
      <c r="E207" s="6" t="s">
        <v>18</v>
      </c>
      <c r="F207" s="151">
        <v>8.5416666666666661</v>
      </c>
      <c r="G207" s="7" t="s">
        <v>36</v>
      </c>
      <c r="H207" s="7" t="s">
        <v>40</v>
      </c>
      <c r="I207" s="7" t="s">
        <v>38</v>
      </c>
      <c r="J207">
        <v>0.14000000000000001</v>
      </c>
      <c r="K207" s="148">
        <v>0.1212</v>
      </c>
      <c r="L207">
        <v>0.46</v>
      </c>
      <c r="M207" s="148">
        <v>0.25369999999999998</v>
      </c>
      <c r="N207">
        <v>0</v>
      </c>
      <c r="O207">
        <v>38</v>
      </c>
      <c r="P207">
        <v>38</v>
      </c>
    </row>
    <row r="208" spans="1:16">
      <c r="A208">
        <v>207</v>
      </c>
      <c r="B208" s="2">
        <v>40552</v>
      </c>
      <c r="C208">
        <v>1</v>
      </c>
      <c r="D208" t="s">
        <v>17</v>
      </c>
      <c r="E208" s="6" t="s">
        <v>18</v>
      </c>
      <c r="F208" s="151">
        <v>8.5833333333333339</v>
      </c>
      <c r="G208" s="7" t="s">
        <v>36</v>
      </c>
      <c r="H208" s="7" t="s">
        <v>40</v>
      </c>
      <c r="I208" s="7" t="s">
        <v>38</v>
      </c>
      <c r="J208">
        <v>0.14000000000000001</v>
      </c>
      <c r="K208" s="148">
        <v>0.1061</v>
      </c>
      <c r="L208">
        <v>0.46</v>
      </c>
      <c r="M208" s="148">
        <v>0.41789999999999999</v>
      </c>
      <c r="N208">
        <v>1</v>
      </c>
      <c r="O208">
        <v>19</v>
      </c>
      <c r="P208">
        <v>20</v>
      </c>
    </row>
    <row r="209" spans="1:16">
      <c r="A209">
        <v>208</v>
      </c>
      <c r="B209" s="2">
        <v>40552</v>
      </c>
      <c r="C209">
        <v>1</v>
      </c>
      <c r="D209" t="s">
        <v>17</v>
      </c>
      <c r="E209" s="6" t="s">
        <v>18</v>
      </c>
      <c r="F209" s="151">
        <v>8.625</v>
      </c>
      <c r="G209" s="7" t="s">
        <v>36</v>
      </c>
      <c r="H209" s="7" t="s">
        <v>40</v>
      </c>
      <c r="I209" s="7" t="s">
        <v>38</v>
      </c>
      <c r="J209">
        <v>0.14000000000000001</v>
      </c>
      <c r="K209" s="148">
        <v>0.1212</v>
      </c>
      <c r="L209">
        <v>0.46</v>
      </c>
      <c r="M209" s="148">
        <v>0.29849999999999999</v>
      </c>
      <c r="N209">
        <v>5</v>
      </c>
      <c r="O209">
        <v>10</v>
      </c>
      <c r="P209">
        <v>15</v>
      </c>
    </row>
    <row r="210" spans="1:16">
      <c r="A210">
        <v>209</v>
      </c>
      <c r="B210" s="2">
        <v>40552</v>
      </c>
      <c r="C210">
        <v>1</v>
      </c>
      <c r="D210" t="s">
        <v>17</v>
      </c>
      <c r="E210" s="6" t="s">
        <v>18</v>
      </c>
      <c r="F210" s="151">
        <v>8.6666666666666661</v>
      </c>
      <c r="G210" s="7" t="s">
        <v>36</v>
      </c>
      <c r="H210" s="7" t="s">
        <v>40</v>
      </c>
      <c r="I210" s="7" t="s">
        <v>38</v>
      </c>
      <c r="J210">
        <v>0.12</v>
      </c>
      <c r="K210" s="148">
        <v>0.13639999999999999</v>
      </c>
      <c r="L210">
        <v>0.5</v>
      </c>
      <c r="M210" s="148">
        <v>0.19400000000000001</v>
      </c>
      <c r="N210">
        <v>0</v>
      </c>
      <c r="O210">
        <v>6</v>
      </c>
      <c r="P210">
        <v>6</v>
      </c>
    </row>
    <row r="211" spans="1:16">
      <c r="A211">
        <v>210</v>
      </c>
      <c r="B211" s="2">
        <v>40553</v>
      </c>
      <c r="C211">
        <v>1</v>
      </c>
      <c r="D211" t="s">
        <v>17</v>
      </c>
      <c r="E211" s="6" t="s">
        <v>18</v>
      </c>
      <c r="F211" s="151">
        <v>8.7083333333333339</v>
      </c>
      <c r="G211" s="7" t="s">
        <v>36</v>
      </c>
      <c r="H211" s="7" t="s">
        <v>41</v>
      </c>
      <c r="I211" s="7" t="s">
        <v>38</v>
      </c>
      <c r="J211">
        <v>0.12</v>
      </c>
      <c r="K211" s="148">
        <v>0.1212</v>
      </c>
      <c r="L211">
        <v>0.5</v>
      </c>
      <c r="M211" s="148">
        <v>0.28360000000000002</v>
      </c>
      <c r="N211">
        <v>2</v>
      </c>
      <c r="O211">
        <v>3</v>
      </c>
      <c r="P211">
        <v>5</v>
      </c>
    </row>
    <row r="212" spans="1:16">
      <c r="A212">
        <v>211</v>
      </c>
      <c r="B212" s="2">
        <v>40553</v>
      </c>
      <c r="C212">
        <v>1</v>
      </c>
      <c r="D212" t="s">
        <v>17</v>
      </c>
      <c r="E212" s="6" t="s">
        <v>18</v>
      </c>
      <c r="F212" s="151">
        <v>8.75</v>
      </c>
      <c r="G212" s="7" t="s">
        <v>36</v>
      </c>
      <c r="H212" s="7" t="s">
        <v>41</v>
      </c>
      <c r="I212" s="7" t="s">
        <v>38</v>
      </c>
      <c r="J212">
        <v>0.12</v>
      </c>
      <c r="K212" s="148">
        <v>0.1212</v>
      </c>
      <c r="L212">
        <v>0.5</v>
      </c>
      <c r="M212" s="148">
        <v>0.28360000000000002</v>
      </c>
      <c r="N212">
        <v>1</v>
      </c>
      <c r="O212">
        <v>0</v>
      </c>
      <c r="P212">
        <v>1</v>
      </c>
    </row>
    <row r="213" spans="1:16">
      <c r="A213">
        <v>212</v>
      </c>
      <c r="B213" s="2">
        <v>40553</v>
      </c>
      <c r="C213">
        <v>1</v>
      </c>
      <c r="D213" t="s">
        <v>17</v>
      </c>
      <c r="E213" s="6" t="s">
        <v>18</v>
      </c>
      <c r="F213" s="151">
        <v>8.7916666666666661</v>
      </c>
      <c r="G213" s="7" t="s">
        <v>36</v>
      </c>
      <c r="H213" s="7" t="s">
        <v>41</v>
      </c>
      <c r="I213" s="7" t="s">
        <v>38</v>
      </c>
      <c r="J213">
        <v>0.12</v>
      </c>
      <c r="K213" s="148">
        <v>0.1212</v>
      </c>
      <c r="L213">
        <v>0.5</v>
      </c>
      <c r="M213" s="148">
        <v>0.22389999999999999</v>
      </c>
      <c r="N213">
        <v>0</v>
      </c>
      <c r="O213">
        <v>3</v>
      </c>
      <c r="P213">
        <v>3</v>
      </c>
    </row>
    <row r="214" spans="1:16">
      <c r="A214">
        <v>213</v>
      </c>
      <c r="B214" s="2">
        <v>40553</v>
      </c>
      <c r="C214">
        <v>1</v>
      </c>
      <c r="D214" t="s">
        <v>17</v>
      </c>
      <c r="E214" s="6" t="s">
        <v>18</v>
      </c>
      <c r="F214" s="151">
        <v>8.8333333333333339</v>
      </c>
      <c r="G214" s="7" t="s">
        <v>36</v>
      </c>
      <c r="H214" s="7" t="s">
        <v>41</v>
      </c>
      <c r="I214" s="7" t="s">
        <v>38</v>
      </c>
      <c r="J214">
        <v>0.12</v>
      </c>
      <c r="K214" s="148">
        <v>0.1212</v>
      </c>
      <c r="L214">
        <v>0.5</v>
      </c>
      <c r="M214" s="148">
        <v>0.22389999999999999</v>
      </c>
      <c r="N214">
        <v>0</v>
      </c>
      <c r="O214">
        <v>1</v>
      </c>
      <c r="P214">
        <v>1</v>
      </c>
    </row>
    <row r="215" spans="1:16">
      <c r="A215">
        <v>214</v>
      </c>
      <c r="B215" s="2">
        <v>40553</v>
      </c>
      <c r="C215">
        <v>1</v>
      </c>
      <c r="D215" t="s">
        <v>17</v>
      </c>
      <c r="E215" s="6" t="s">
        <v>18</v>
      </c>
      <c r="F215" s="151">
        <v>8.875</v>
      </c>
      <c r="G215" s="7" t="s">
        <v>36</v>
      </c>
      <c r="H215" s="7" t="s">
        <v>41</v>
      </c>
      <c r="I215" s="7" t="s">
        <v>38</v>
      </c>
      <c r="J215">
        <v>0.1</v>
      </c>
      <c r="K215" s="148">
        <v>0.1212</v>
      </c>
      <c r="L215">
        <v>0.54</v>
      </c>
      <c r="M215" s="148">
        <v>0.1343</v>
      </c>
      <c r="N215">
        <v>1</v>
      </c>
      <c r="O215">
        <v>2</v>
      </c>
      <c r="P215">
        <v>3</v>
      </c>
    </row>
    <row r="216" spans="1:16">
      <c r="A216">
        <v>215</v>
      </c>
      <c r="B216" s="2">
        <v>40553</v>
      </c>
      <c r="C216">
        <v>1</v>
      </c>
      <c r="D216" t="s">
        <v>17</v>
      </c>
      <c r="E216" s="6" t="s">
        <v>18</v>
      </c>
      <c r="F216" s="151">
        <v>8.9166666666666661</v>
      </c>
      <c r="G216" s="7" t="s">
        <v>36</v>
      </c>
      <c r="H216" s="7" t="s">
        <v>41</v>
      </c>
      <c r="I216" s="7" t="s">
        <v>38</v>
      </c>
      <c r="J216">
        <v>0.1</v>
      </c>
      <c r="K216" s="148">
        <v>0.1061</v>
      </c>
      <c r="L216">
        <v>0.54</v>
      </c>
      <c r="M216" s="148">
        <v>0.25369999999999998</v>
      </c>
      <c r="N216">
        <v>0</v>
      </c>
      <c r="O216">
        <v>3</v>
      </c>
      <c r="P216">
        <v>3</v>
      </c>
    </row>
    <row r="217" spans="1:16">
      <c r="A217">
        <v>216</v>
      </c>
      <c r="B217" s="2">
        <v>40553</v>
      </c>
      <c r="C217">
        <v>1</v>
      </c>
      <c r="D217" t="s">
        <v>17</v>
      </c>
      <c r="E217" s="6" t="s">
        <v>18</v>
      </c>
      <c r="F217" s="151">
        <v>8.9583333333333339</v>
      </c>
      <c r="G217" s="7" t="s">
        <v>36</v>
      </c>
      <c r="H217" s="7" t="s">
        <v>41</v>
      </c>
      <c r="I217" s="7" t="s">
        <v>38</v>
      </c>
      <c r="J217">
        <v>0.12</v>
      </c>
      <c r="K217" s="148">
        <v>0.1212</v>
      </c>
      <c r="L217">
        <v>0.5</v>
      </c>
      <c r="M217" s="148">
        <v>0.28360000000000002</v>
      </c>
      <c r="N217">
        <v>0</v>
      </c>
      <c r="O217">
        <v>31</v>
      </c>
      <c r="P217">
        <v>31</v>
      </c>
    </row>
    <row r="218" spans="1:16">
      <c r="A218">
        <v>217</v>
      </c>
      <c r="B218" s="2">
        <v>40553</v>
      </c>
      <c r="C218">
        <v>1</v>
      </c>
      <c r="D218" t="s">
        <v>17</v>
      </c>
      <c r="E218" s="6" t="s">
        <v>18</v>
      </c>
      <c r="F218" s="151">
        <v>9</v>
      </c>
      <c r="G218" s="7" t="s">
        <v>36</v>
      </c>
      <c r="H218" s="7" t="s">
        <v>41</v>
      </c>
      <c r="I218" s="7" t="s">
        <v>38</v>
      </c>
      <c r="J218">
        <v>0.12</v>
      </c>
      <c r="K218" s="148">
        <v>0.1212</v>
      </c>
      <c r="L218">
        <v>0.5</v>
      </c>
      <c r="M218" s="148">
        <v>0.22389999999999999</v>
      </c>
      <c r="N218">
        <v>2</v>
      </c>
      <c r="O218">
        <v>75</v>
      </c>
      <c r="P218">
        <v>77</v>
      </c>
    </row>
    <row r="219" spans="1:16">
      <c r="A219">
        <v>218</v>
      </c>
      <c r="B219" s="2">
        <v>40553</v>
      </c>
      <c r="C219">
        <v>1</v>
      </c>
      <c r="D219" t="s">
        <v>17</v>
      </c>
      <c r="E219" s="6" t="s">
        <v>18</v>
      </c>
      <c r="F219" s="151">
        <v>9.0416666666666661</v>
      </c>
      <c r="G219" s="7" t="s">
        <v>36</v>
      </c>
      <c r="H219" s="7" t="s">
        <v>41</v>
      </c>
      <c r="I219" s="7" t="s">
        <v>39</v>
      </c>
      <c r="J219">
        <v>0.12</v>
      </c>
      <c r="K219" s="148">
        <v>0.1212</v>
      </c>
      <c r="L219">
        <v>0.5</v>
      </c>
      <c r="M219" s="148">
        <v>0.28360000000000002</v>
      </c>
      <c r="N219">
        <v>4</v>
      </c>
      <c r="O219">
        <v>184</v>
      </c>
      <c r="P219">
        <v>188</v>
      </c>
    </row>
    <row r="220" spans="1:16">
      <c r="A220">
        <v>219</v>
      </c>
      <c r="B220" s="2">
        <v>40553</v>
      </c>
      <c r="C220">
        <v>1</v>
      </c>
      <c r="D220" t="s">
        <v>17</v>
      </c>
      <c r="E220" s="6" t="s">
        <v>18</v>
      </c>
      <c r="F220" s="151">
        <v>9.0833333333333339</v>
      </c>
      <c r="G220" s="7" t="s">
        <v>36</v>
      </c>
      <c r="H220" s="7" t="s">
        <v>41</v>
      </c>
      <c r="I220" s="7" t="s">
        <v>39</v>
      </c>
      <c r="J220">
        <v>0.14000000000000001</v>
      </c>
      <c r="K220" s="148">
        <v>0.1212</v>
      </c>
      <c r="L220">
        <v>0.5</v>
      </c>
      <c r="M220" s="148">
        <v>0.25369999999999998</v>
      </c>
      <c r="N220">
        <v>2</v>
      </c>
      <c r="O220">
        <v>92</v>
      </c>
      <c r="P220">
        <v>94</v>
      </c>
    </row>
    <row r="221" spans="1:16">
      <c r="A221">
        <v>220</v>
      </c>
      <c r="B221" s="2">
        <v>40553</v>
      </c>
      <c r="C221">
        <v>1</v>
      </c>
      <c r="D221" t="s">
        <v>17</v>
      </c>
      <c r="E221" s="6" t="s">
        <v>18</v>
      </c>
      <c r="F221" s="151">
        <v>9.125</v>
      </c>
      <c r="G221" s="7" t="s">
        <v>36</v>
      </c>
      <c r="H221" s="7" t="s">
        <v>41</v>
      </c>
      <c r="I221" s="7" t="s">
        <v>39</v>
      </c>
      <c r="J221">
        <v>0.14000000000000001</v>
      </c>
      <c r="K221" s="148">
        <v>0.1212</v>
      </c>
      <c r="L221">
        <v>0.5</v>
      </c>
      <c r="M221" s="148">
        <v>0.29849999999999999</v>
      </c>
      <c r="N221">
        <v>0</v>
      </c>
      <c r="O221">
        <v>31</v>
      </c>
      <c r="P221">
        <v>31</v>
      </c>
    </row>
    <row r="222" spans="1:16">
      <c r="A222">
        <v>221</v>
      </c>
      <c r="B222" s="2">
        <v>40553</v>
      </c>
      <c r="C222">
        <v>1</v>
      </c>
      <c r="D222" t="s">
        <v>17</v>
      </c>
      <c r="E222" s="6" t="s">
        <v>18</v>
      </c>
      <c r="F222" s="151">
        <v>9.1666666666666661</v>
      </c>
      <c r="G222" s="7" t="s">
        <v>36</v>
      </c>
      <c r="H222" s="7" t="s">
        <v>41</v>
      </c>
      <c r="I222" s="7" t="s">
        <v>39</v>
      </c>
      <c r="J222">
        <v>0.16</v>
      </c>
      <c r="K222" s="148">
        <v>0.13639999999999999</v>
      </c>
      <c r="L222">
        <v>0.47</v>
      </c>
      <c r="M222" s="148">
        <v>0.28360000000000002</v>
      </c>
      <c r="N222">
        <v>2</v>
      </c>
      <c r="O222">
        <v>28</v>
      </c>
      <c r="P222">
        <v>30</v>
      </c>
    </row>
    <row r="223" spans="1:16">
      <c r="A223">
        <v>222</v>
      </c>
      <c r="B223" s="2">
        <v>40553</v>
      </c>
      <c r="C223">
        <v>1</v>
      </c>
      <c r="D223" t="s">
        <v>17</v>
      </c>
      <c r="E223" s="6" t="s">
        <v>18</v>
      </c>
      <c r="F223" s="151">
        <v>9.2083333333333339</v>
      </c>
      <c r="G223" s="7" t="s">
        <v>36</v>
      </c>
      <c r="H223" s="7" t="s">
        <v>41</v>
      </c>
      <c r="I223" s="7" t="s">
        <v>39</v>
      </c>
      <c r="J223">
        <v>0.2</v>
      </c>
      <c r="K223" s="148">
        <v>0.18179999999999999</v>
      </c>
      <c r="L223">
        <v>0.4</v>
      </c>
      <c r="M223" s="148">
        <v>0.28360000000000002</v>
      </c>
      <c r="N223">
        <v>5</v>
      </c>
      <c r="O223">
        <v>47</v>
      </c>
      <c r="P223">
        <v>52</v>
      </c>
    </row>
    <row r="224" spans="1:16">
      <c r="A224">
        <v>223</v>
      </c>
      <c r="B224" s="2">
        <v>40553</v>
      </c>
      <c r="C224">
        <v>1</v>
      </c>
      <c r="D224" t="s">
        <v>17</v>
      </c>
      <c r="E224" s="6" t="s">
        <v>18</v>
      </c>
      <c r="F224" s="151">
        <v>9.25</v>
      </c>
      <c r="G224" s="7" t="s">
        <v>36</v>
      </c>
      <c r="H224" s="7" t="s">
        <v>41</v>
      </c>
      <c r="I224" s="7" t="s">
        <v>39</v>
      </c>
      <c r="J224">
        <v>0.2</v>
      </c>
      <c r="K224" s="148">
        <v>0.18179999999999999</v>
      </c>
      <c r="L224">
        <v>0.4</v>
      </c>
      <c r="M224" s="148">
        <v>0.28360000000000002</v>
      </c>
      <c r="N224">
        <v>4</v>
      </c>
      <c r="O224">
        <v>50</v>
      </c>
      <c r="P224">
        <v>54</v>
      </c>
    </row>
    <row r="225" spans="1:16">
      <c r="A225">
        <v>224</v>
      </c>
      <c r="B225" s="2">
        <v>40553</v>
      </c>
      <c r="C225">
        <v>1</v>
      </c>
      <c r="D225" t="s">
        <v>17</v>
      </c>
      <c r="E225" s="6" t="s">
        <v>18</v>
      </c>
      <c r="F225" s="151">
        <v>9.2916666666666661</v>
      </c>
      <c r="G225" s="7" t="s">
        <v>36</v>
      </c>
      <c r="H225" s="7" t="s">
        <v>41</v>
      </c>
      <c r="I225" s="7" t="s">
        <v>39</v>
      </c>
      <c r="J225">
        <v>0.2</v>
      </c>
      <c r="K225" s="148">
        <v>0.19700000000000001</v>
      </c>
      <c r="L225">
        <v>0.4</v>
      </c>
      <c r="M225" s="148">
        <v>0.22389999999999999</v>
      </c>
      <c r="N225">
        <v>0</v>
      </c>
      <c r="O225">
        <v>47</v>
      </c>
      <c r="P225">
        <v>47</v>
      </c>
    </row>
    <row r="226" spans="1:16">
      <c r="A226">
        <v>225</v>
      </c>
      <c r="B226" s="2">
        <v>40553</v>
      </c>
      <c r="C226">
        <v>1</v>
      </c>
      <c r="D226" t="s">
        <v>17</v>
      </c>
      <c r="E226" s="6" t="s">
        <v>18</v>
      </c>
      <c r="F226" s="151">
        <v>9.3333333333333339</v>
      </c>
      <c r="G226" s="7" t="s">
        <v>36</v>
      </c>
      <c r="H226" s="7" t="s">
        <v>41</v>
      </c>
      <c r="I226" s="7" t="s">
        <v>39</v>
      </c>
      <c r="J226">
        <v>0.2</v>
      </c>
      <c r="K226" s="148">
        <v>0.19700000000000001</v>
      </c>
      <c r="L226">
        <v>0.4</v>
      </c>
      <c r="M226" s="148">
        <v>0.22389999999999999</v>
      </c>
      <c r="N226">
        <v>2</v>
      </c>
      <c r="O226">
        <v>43</v>
      </c>
      <c r="P226">
        <v>45</v>
      </c>
    </row>
    <row r="227" spans="1:16">
      <c r="A227">
        <v>226</v>
      </c>
      <c r="B227" s="2">
        <v>40553</v>
      </c>
      <c r="C227">
        <v>1</v>
      </c>
      <c r="D227" t="s">
        <v>17</v>
      </c>
      <c r="E227" s="6" t="s">
        <v>18</v>
      </c>
      <c r="F227" s="151">
        <v>9.375</v>
      </c>
      <c r="G227" s="7" t="s">
        <v>36</v>
      </c>
      <c r="H227" s="7" t="s">
        <v>41</v>
      </c>
      <c r="I227" s="7" t="s">
        <v>38</v>
      </c>
      <c r="J227">
        <v>0.2</v>
      </c>
      <c r="K227" s="148">
        <v>0.21210000000000001</v>
      </c>
      <c r="L227">
        <v>0.4</v>
      </c>
      <c r="M227" s="148">
        <v>0.1343</v>
      </c>
      <c r="N227">
        <v>4</v>
      </c>
      <c r="O227">
        <v>70</v>
      </c>
      <c r="P227">
        <v>74</v>
      </c>
    </row>
    <row r="228" spans="1:16">
      <c r="A228">
        <v>227</v>
      </c>
      <c r="B228" s="2">
        <v>40553</v>
      </c>
      <c r="C228">
        <v>1</v>
      </c>
      <c r="D228" t="s">
        <v>17</v>
      </c>
      <c r="E228" s="6" t="s">
        <v>18</v>
      </c>
      <c r="F228" s="151">
        <v>9.4166666666666661</v>
      </c>
      <c r="G228" s="7" t="s">
        <v>36</v>
      </c>
      <c r="H228" s="7" t="s">
        <v>41</v>
      </c>
      <c r="I228" s="7" t="s">
        <v>38</v>
      </c>
      <c r="J228">
        <v>0.2</v>
      </c>
      <c r="K228" s="148">
        <v>0.2273</v>
      </c>
      <c r="L228">
        <v>0.4</v>
      </c>
      <c r="M228" s="148">
        <v>0.1045</v>
      </c>
      <c r="N228">
        <v>4</v>
      </c>
      <c r="O228">
        <v>174</v>
      </c>
      <c r="P228">
        <v>178</v>
      </c>
    </row>
    <row r="229" spans="1:16">
      <c r="A229">
        <v>228</v>
      </c>
      <c r="B229" s="2">
        <v>40553</v>
      </c>
      <c r="C229">
        <v>1</v>
      </c>
      <c r="D229" t="s">
        <v>17</v>
      </c>
      <c r="E229" s="6" t="s">
        <v>18</v>
      </c>
      <c r="F229" s="151">
        <v>9.4583333333333339</v>
      </c>
      <c r="G229" s="7" t="s">
        <v>36</v>
      </c>
      <c r="H229" s="7" t="s">
        <v>41</v>
      </c>
      <c r="I229" s="7" t="s">
        <v>38</v>
      </c>
      <c r="J229">
        <v>0.2</v>
      </c>
      <c r="K229" s="148">
        <v>0.19700000000000001</v>
      </c>
      <c r="L229">
        <v>0.4</v>
      </c>
      <c r="M229" s="148">
        <v>0.22389999999999999</v>
      </c>
      <c r="N229">
        <v>1</v>
      </c>
      <c r="O229">
        <v>154</v>
      </c>
      <c r="P229">
        <v>155</v>
      </c>
    </row>
    <row r="230" spans="1:16">
      <c r="A230">
        <v>229</v>
      </c>
      <c r="B230" s="2">
        <v>40553</v>
      </c>
      <c r="C230">
        <v>1</v>
      </c>
      <c r="D230" t="s">
        <v>17</v>
      </c>
      <c r="E230" s="6" t="s">
        <v>18</v>
      </c>
      <c r="F230" s="151">
        <v>9.5</v>
      </c>
      <c r="G230" s="7" t="s">
        <v>36</v>
      </c>
      <c r="H230" s="7" t="s">
        <v>41</v>
      </c>
      <c r="I230" s="7" t="s">
        <v>38</v>
      </c>
      <c r="J230">
        <v>0.16</v>
      </c>
      <c r="K230" s="148">
        <v>0.16669999999999999</v>
      </c>
      <c r="L230">
        <v>0.47</v>
      </c>
      <c r="M230" s="148">
        <v>0.16420000000000001</v>
      </c>
      <c r="N230">
        <v>3</v>
      </c>
      <c r="O230">
        <v>92</v>
      </c>
      <c r="P230">
        <v>95</v>
      </c>
    </row>
    <row r="231" spans="1:16">
      <c r="A231">
        <v>230</v>
      </c>
      <c r="B231" s="2">
        <v>40553</v>
      </c>
      <c r="C231">
        <v>1</v>
      </c>
      <c r="D231" t="s">
        <v>17</v>
      </c>
      <c r="E231" s="6" t="s">
        <v>18</v>
      </c>
      <c r="F231" s="151">
        <v>9.5416666666666661</v>
      </c>
      <c r="G231" s="7" t="s">
        <v>36</v>
      </c>
      <c r="H231" s="7" t="s">
        <v>41</v>
      </c>
      <c r="I231" s="7" t="s">
        <v>38</v>
      </c>
      <c r="J231">
        <v>0.16</v>
      </c>
      <c r="K231" s="148">
        <v>0.16669999999999999</v>
      </c>
      <c r="L231">
        <v>0.5</v>
      </c>
      <c r="M231" s="148">
        <v>0.16420000000000001</v>
      </c>
      <c r="N231">
        <v>1</v>
      </c>
      <c r="O231">
        <v>73</v>
      </c>
      <c r="P231">
        <v>74</v>
      </c>
    </row>
    <row r="232" spans="1:16">
      <c r="A232">
        <v>231</v>
      </c>
      <c r="B232" s="2">
        <v>40553</v>
      </c>
      <c r="C232">
        <v>1</v>
      </c>
      <c r="D232" t="s">
        <v>17</v>
      </c>
      <c r="E232" s="6" t="s">
        <v>18</v>
      </c>
      <c r="F232" s="151">
        <v>9.5833333333333339</v>
      </c>
      <c r="G232" s="7" t="s">
        <v>36</v>
      </c>
      <c r="H232" s="7" t="s">
        <v>41</v>
      </c>
      <c r="I232" s="7" t="s">
        <v>38</v>
      </c>
      <c r="J232">
        <v>0.14000000000000001</v>
      </c>
      <c r="K232" s="148">
        <v>0.13639999999999999</v>
      </c>
      <c r="L232">
        <v>0.59</v>
      </c>
      <c r="M232" s="148">
        <v>0.19400000000000001</v>
      </c>
      <c r="N232">
        <v>1</v>
      </c>
      <c r="O232">
        <v>37</v>
      </c>
      <c r="P232">
        <v>38</v>
      </c>
    </row>
    <row r="233" spans="1:16">
      <c r="A233">
        <v>232</v>
      </c>
      <c r="B233" s="2">
        <v>40553</v>
      </c>
      <c r="C233">
        <v>1</v>
      </c>
      <c r="D233" t="s">
        <v>17</v>
      </c>
      <c r="E233" s="6" t="s">
        <v>18</v>
      </c>
      <c r="F233" s="151">
        <v>9.625</v>
      </c>
      <c r="G233" s="7" t="s">
        <v>36</v>
      </c>
      <c r="H233" s="7" t="s">
        <v>41</v>
      </c>
      <c r="I233" s="7" t="s">
        <v>38</v>
      </c>
      <c r="J233">
        <v>0.14000000000000001</v>
      </c>
      <c r="K233" s="148">
        <v>0.1515</v>
      </c>
      <c r="L233">
        <v>0.59</v>
      </c>
      <c r="M233" s="148">
        <v>0.16420000000000001</v>
      </c>
      <c r="N233">
        <v>2</v>
      </c>
      <c r="O233">
        <v>22</v>
      </c>
      <c r="P233">
        <v>24</v>
      </c>
    </row>
    <row r="234" spans="1:16">
      <c r="A234">
        <v>233</v>
      </c>
      <c r="B234" s="2">
        <v>40553</v>
      </c>
      <c r="C234">
        <v>1</v>
      </c>
      <c r="D234" t="s">
        <v>17</v>
      </c>
      <c r="E234" s="6" t="s">
        <v>18</v>
      </c>
      <c r="F234" s="151">
        <v>9.6666666666666661</v>
      </c>
      <c r="G234" s="7" t="s">
        <v>36</v>
      </c>
      <c r="H234" s="7" t="s">
        <v>41</v>
      </c>
      <c r="I234" s="7" t="s">
        <v>38</v>
      </c>
      <c r="J234">
        <v>0.14000000000000001</v>
      </c>
      <c r="K234" s="148">
        <v>0.1515</v>
      </c>
      <c r="L234">
        <v>0.59</v>
      </c>
      <c r="M234" s="148">
        <v>0.16420000000000001</v>
      </c>
      <c r="N234">
        <v>0</v>
      </c>
      <c r="O234">
        <v>18</v>
      </c>
      <c r="P234">
        <v>18</v>
      </c>
    </row>
    <row r="235" spans="1:16">
      <c r="A235">
        <v>234</v>
      </c>
      <c r="B235" s="2">
        <v>40554</v>
      </c>
      <c r="C235">
        <v>1</v>
      </c>
      <c r="D235" t="s">
        <v>17</v>
      </c>
      <c r="E235" s="6" t="s">
        <v>18</v>
      </c>
      <c r="F235" s="151">
        <v>9.7083333333333339</v>
      </c>
      <c r="G235" s="7" t="s">
        <v>36</v>
      </c>
      <c r="H235" s="7" t="s">
        <v>42</v>
      </c>
      <c r="I235" s="7" t="s">
        <v>38</v>
      </c>
      <c r="J235">
        <v>0.14000000000000001</v>
      </c>
      <c r="K235" s="148">
        <v>0.16669999999999999</v>
      </c>
      <c r="L235">
        <v>0.59</v>
      </c>
      <c r="M235" s="148">
        <v>0.1045</v>
      </c>
      <c r="N235">
        <v>2</v>
      </c>
      <c r="O235">
        <v>10</v>
      </c>
      <c r="P235">
        <v>12</v>
      </c>
    </row>
    <row r="236" spans="1:16">
      <c r="A236">
        <v>235</v>
      </c>
      <c r="B236" s="2">
        <v>40554</v>
      </c>
      <c r="C236">
        <v>1</v>
      </c>
      <c r="D236" t="s">
        <v>17</v>
      </c>
      <c r="E236" s="6" t="s">
        <v>18</v>
      </c>
      <c r="F236" s="151">
        <v>9.75</v>
      </c>
      <c r="G236" s="7" t="s">
        <v>36</v>
      </c>
      <c r="H236" s="7" t="s">
        <v>42</v>
      </c>
      <c r="I236" s="7" t="s">
        <v>38</v>
      </c>
      <c r="J236">
        <v>0.14000000000000001</v>
      </c>
      <c r="K236" s="148">
        <v>0.1515</v>
      </c>
      <c r="L236">
        <v>0.59</v>
      </c>
      <c r="M236" s="148">
        <v>0.16420000000000001</v>
      </c>
      <c r="N236">
        <v>0</v>
      </c>
      <c r="O236">
        <v>3</v>
      </c>
      <c r="P236">
        <v>3</v>
      </c>
    </row>
    <row r="237" spans="1:16">
      <c r="A237">
        <v>236</v>
      </c>
      <c r="B237" s="2">
        <v>40554</v>
      </c>
      <c r="C237">
        <v>1</v>
      </c>
      <c r="D237" t="s">
        <v>17</v>
      </c>
      <c r="E237" s="6" t="s">
        <v>18</v>
      </c>
      <c r="F237" s="151">
        <v>9.7916666666666661</v>
      </c>
      <c r="G237" s="7" t="s">
        <v>36</v>
      </c>
      <c r="H237" s="7" t="s">
        <v>42</v>
      </c>
      <c r="I237" s="7" t="s">
        <v>39</v>
      </c>
      <c r="J237">
        <v>0.16</v>
      </c>
      <c r="K237" s="148">
        <v>0.1515</v>
      </c>
      <c r="L237">
        <v>0.55000000000000004</v>
      </c>
      <c r="M237" s="148">
        <v>0.19400000000000001</v>
      </c>
      <c r="N237">
        <v>0</v>
      </c>
      <c r="O237">
        <v>3</v>
      </c>
      <c r="P237">
        <v>3</v>
      </c>
    </row>
    <row r="238" spans="1:16">
      <c r="A238">
        <v>237</v>
      </c>
      <c r="B238" s="2">
        <v>40554</v>
      </c>
      <c r="C238">
        <v>1</v>
      </c>
      <c r="D238" t="s">
        <v>17</v>
      </c>
      <c r="E238" s="6" t="s">
        <v>18</v>
      </c>
      <c r="F238" s="151">
        <v>9.8333333333333339</v>
      </c>
      <c r="G238" s="7" t="s">
        <v>36</v>
      </c>
      <c r="H238" s="7" t="s">
        <v>42</v>
      </c>
      <c r="I238" s="7" t="s">
        <v>39</v>
      </c>
      <c r="J238">
        <v>0.16</v>
      </c>
      <c r="K238" s="148">
        <v>0.18179999999999999</v>
      </c>
      <c r="L238">
        <v>0.55000000000000004</v>
      </c>
      <c r="M238" s="148">
        <v>0.1343</v>
      </c>
      <c r="N238">
        <v>0</v>
      </c>
      <c r="O238">
        <v>6</v>
      </c>
      <c r="P238">
        <v>6</v>
      </c>
    </row>
    <row r="239" spans="1:16">
      <c r="A239">
        <v>238</v>
      </c>
      <c r="B239" s="2">
        <v>40554</v>
      </c>
      <c r="C239">
        <v>1</v>
      </c>
      <c r="D239" t="s">
        <v>17</v>
      </c>
      <c r="E239" s="6" t="s">
        <v>18</v>
      </c>
      <c r="F239" s="151">
        <v>9.875</v>
      </c>
      <c r="G239" s="7" t="s">
        <v>36</v>
      </c>
      <c r="H239" s="7" t="s">
        <v>42</v>
      </c>
      <c r="I239" s="7" t="s">
        <v>39</v>
      </c>
      <c r="J239">
        <v>0.16</v>
      </c>
      <c r="K239" s="148">
        <v>0.18179999999999999</v>
      </c>
      <c r="L239">
        <v>0.55000000000000004</v>
      </c>
      <c r="M239" s="148">
        <v>0.1343</v>
      </c>
      <c r="N239">
        <v>0</v>
      </c>
      <c r="O239">
        <v>27</v>
      </c>
      <c r="P239">
        <v>27</v>
      </c>
    </row>
    <row r="240" spans="1:16">
      <c r="A240">
        <v>239</v>
      </c>
      <c r="B240" s="2">
        <v>40554</v>
      </c>
      <c r="C240">
        <v>1</v>
      </c>
      <c r="D240" t="s">
        <v>17</v>
      </c>
      <c r="E240" s="6" t="s">
        <v>18</v>
      </c>
      <c r="F240" s="151">
        <v>9.9166666666666661</v>
      </c>
      <c r="G240" s="7" t="s">
        <v>36</v>
      </c>
      <c r="H240" s="7" t="s">
        <v>42</v>
      </c>
      <c r="I240" s="7" t="s">
        <v>39</v>
      </c>
      <c r="J240">
        <v>0.16</v>
      </c>
      <c r="K240" s="148">
        <v>0.2273</v>
      </c>
      <c r="L240">
        <v>0.55000000000000004</v>
      </c>
      <c r="M240" s="148">
        <v>0</v>
      </c>
      <c r="N240">
        <v>2</v>
      </c>
      <c r="O240">
        <v>97</v>
      </c>
      <c r="P240">
        <v>99</v>
      </c>
    </row>
    <row r="241" spans="1:16">
      <c r="A241">
        <v>240</v>
      </c>
      <c r="B241" s="2">
        <v>40554</v>
      </c>
      <c r="C241">
        <v>1</v>
      </c>
      <c r="D241" t="s">
        <v>17</v>
      </c>
      <c r="E241" s="6" t="s">
        <v>18</v>
      </c>
      <c r="F241" s="151">
        <v>9.9583333333333339</v>
      </c>
      <c r="G241" s="7" t="s">
        <v>36</v>
      </c>
      <c r="H241" s="7" t="s">
        <v>42</v>
      </c>
      <c r="I241" s="7" t="s">
        <v>39</v>
      </c>
      <c r="J241">
        <v>0.18</v>
      </c>
      <c r="K241" s="148">
        <v>0.21210000000000001</v>
      </c>
      <c r="L241">
        <v>0.51</v>
      </c>
      <c r="M241" s="148">
        <v>8.9599999999999999E-2</v>
      </c>
      <c r="N241">
        <v>3</v>
      </c>
      <c r="O241">
        <v>214</v>
      </c>
      <c r="P241">
        <v>217</v>
      </c>
    </row>
    <row r="242" spans="1:16">
      <c r="A242">
        <v>241</v>
      </c>
      <c r="B242" s="2">
        <v>40554</v>
      </c>
      <c r="C242">
        <v>1</v>
      </c>
      <c r="D242" t="s">
        <v>17</v>
      </c>
      <c r="E242" s="6" t="s">
        <v>18</v>
      </c>
      <c r="F242" s="151">
        <v>10</v>
      </c>
      <c r="G242" s="7" t="s">
        <v>36</v>
      </c>
      <c r="H242" s="7" t="s">
        <v>42</v>
      </c>
      <c r="I242" s="7" t="s">
        <v>39</v>
      </c>
      <c r="J242">
        <v>0.18</v>
      </c>
      <c r="K242" s="148">
        <v>0.19700000000000001</v>
      </c>
      <c r="L242">
        <v>0.51</v>
      </c>
      <c r="M242" s="148">
        <v>0.16420000000000001</v>
      </c>
      <c r="N242">
        <v>3</v>
      </c>
      <c r="O242">
        <v>127</v>
      </c>
      <c r="P242">
        <v>130</v>
      </c>
    </row>
    <row r="243" spans="1:16">
      <c r="A243">
        <v>242</v>
      </c>
      <c r="B243" s="2">
        <v>40554</v>
      </c>
      <c r="C243">
        <v>1</v>
      </c>
      <c r="D243" t="s">
        <v>17</v>
      </c>
      <c r="E243" s="6" t="s">
        <v>18</v>
      </c>
      <c r="F243" s="151">
        <v>10.04166666666667</v>
      </c>
      <c r="G243" s="7" t="s">
        <v>36</v>
      </c>
      <c r="H243" s="7" t="s">
        <v>42</v>
      </c>
      <c r="I243" s="7" t="s">
        <v>39</v>
      </c>
      <c r="J243">
        <v>0.2</v>
      </c>
      <c r="K243" s="148">
        <v>0.21210000000000001</v>
      </c>
      <c r="L243">
        <v>0.51</v>
      </c>
      <c r="M243" s="148">
        <v>0.16420000000000001</v>
      </c>
      <c r="N243">
        <v>3</v>
      </c>
      <c r="O243">
        <v>51</v>
      </c>
      <c r="P243">
        <v>54</v>
      </c>
    </row>
    <row r="244" spans="1:16">
      <c r="A244">
        <v>243</v>
      </c>
      <c r="B244" s="2">
        <v>40554</v>
      </c>
      <c r="C244">
        <v>1</v>
      </c>
      <c r="D244" t="s">
        <v>17</v>
      </c>
      <c r="E244" s="6" t="s">
        <v>18</v>
      </c>
      <c r="F244" s="151">
        <v>10.08333333333333</v>
      </c>
      <c r="G244" s="7" t="s">
        <v>36</v>
      </c>
      <c r="H244" s="7" t="s">
        <v>42</v>
      </c>
      <c r="I244" s="7" t="s">
        <v>39</v>
      </c>
      <c r="J244">
        <v>0.2</v>
      </c>
      <c r="K244" s="148">
        <v>0.21210000000000001</v>
      </c>
      <c r="L244">
        <v>0.47</v>
      </c>
      <c r="M244" s="148">
        <v>0.1343</v>
      </c>
      <c r="N244">
        <v>4</v>
      </c>
      <c r="O244">
        <v>31</v>
      </c>
      <c r="P244">
        <v>35</v>
      </c>
    </row>
    <row r="245" spans="1:16">
      <c r="A245">
        <v>244</v>
      </c>
      <c r="B245" s="2">
        <v>40554</v>
      </c>
      <c r="C245">
        <v>1</v>
      </c>
      <c r="D245" t="s">
        <v>17</v>
      </c>
      <c r="E245" s="6" t="s">
        <v>18</v>
      </c>
      <c r="F245" s="151">
        <v>10.125</v>
      </c>
      <c r="G245" s="7" t="s">
        <v>36</v>
      </c>
      <c r="H245" s="7" t="s">
        <v>42</v>
      </c>
      <c r="I245" s="7" t="s">
        <v>39</v>
      </c>
      <c r="J245">
        <v>0.2</v>
      </c>
      <c r="K245" s="148">
        <v>0.2273</v>
      </c>
      <c r="L245">
        <v>0.51</v>
      </c>
      <c r="M245" s="148">
        <v>0.1045</v>
      </c>
      <c r="N245">
        <v>2</v>
      </c>
      <c r="O245">
        <v>55</v>
      </c>
      <c r="P245">
        <v>57</v>
      </c>
    </row>
    <row r="246" spans="1:16">
      <c r="A246">
        <v>245</v>
      </c>
      <c r="B246" s="2">
        <v>40554</v>
      </c>
      <c r="C246">
        <v>1</v>
      </c>
      <c r="D246" t="s">
        <v>17</v>
      </c>
      <c r="E246" s="6" t="s">
        <v>18</v>
      </c>
      <c r="F246" s="151">
        <v>10.16666666666667</v>
      </c>
      <c r="G246" s="7" t="s">
        <v>36</v>
      </c>
      <c r="H246" s="7" t="s">
        <v>42</v>
      </c>
      <c r="I246" s="7" t="s">
        <v>39</v>
      </c>
      <c r="J246">
        <v>0.2</v>
      </c>
      <c r="K246" s="148">
        <v>0.2273</v>
      </c>
      <c r="L246">
        <v>0.59</v>
      </c>
      <c r="M246" s="148">
        <v>8.9599999999999999E-2</v>
      </c>
      <c r="N246">
        <v>6</v>
      </c>
      <c r="O246">
        <v>46</v>
      </c>
      <c r="P246">
        <v>52</v>
      </c>
    </row>
    <row r="247" spans="1:16">
      <c r="A247">
        <v>246</v>
      </c>
      <c r="B247" s="2">
        <v>40554</v>
      </c>
      <c r="C247">
        <v>1</v>
      </c>
      <c r="D247" t="s">
        <v>17</v>
      </c>
      <c r="E247" s="6" t="s">
        <v>18</v>
      </c>
      <c r="F247" s="151">
        <v>10.20833333333333</v>
      </c>
      <c r="G247" s="7" t="s">
        <v>36</v>
      </c>
      <c r="H247" s="7" t="s">
        <v>42</v>
      </c>
      <c r="I247" s="7" t="s">
        <v>39</v>
      </c>
      <c r="J247">
        <v>0.2</v>
      </c>
      <c r="K247" s="148">
        <v>0.2273</v>
      </c>
      <c r="L247">
        <v>0.59</v>
      </c>
      <c r="M247" s="148">
        <v>8.9599999999999999E-2</v>
      </c>
      <c r="N247">
        <v>3</v>
      </c>
      <c r="O247">
        <v>60</v>
      </c>
      <c r="P247">
        <v>63</v>
      </c>
    </row>
    <row r="248" spans="1:16">
      <c r="A248">
        <v>247</v>
      </c>
      <c r="B248" s="2">
        <v>40554</v>
      </c>
      <c r="C248">
        <v>1</v>
      </c>
      <c r="D248" t="s">
        <v>17</v>
      </c>
      <c r="E248" s="6" t="s">
        <v>18</v>
      </c>
      <c r="F248" s="151">
        <v>10.25</v>
      </c>
      <c r="G248" s="7" t="s">
        <v>36</v>
      </c>
      <c r="H248" s="7" t="s">
        <v>42</v>
      </c>
      <c r="I248" s="7" t="s">
        <v>39</v>
      </c>
      <c r="J248">
        <v>0.16</v>
      </c>
      <c r="K248" s="148">
        <v>0.19700000000000001</v>
      </c>
      <c r="L248">
        <v>0.8</v>
      </c>
      <c r="M248" s="148">
        <v>8.9599999999999999E-2</v>
      </c>
      <c r="N248">
        <v>2</v>
      </c>
      <c r="O248">
        <v>45</v>
      </c>
      <c r="P248">
        <v>47</v>
      </c>
    </row>
    <row r="249" spans="1:16">
      <c r="A249">
        <v>248</v>
      </c>
      <c r="B249" s="2">
        <v>40554</v>
      </c>
      <c r="C249">
        <v>1</v>
      </c>
      <c r="D249" t="s">
        <v>17</v>
      </c>
      <c r="E249" s="6" t="s">
        <v>18</v>
      </c>
      <c r="F249" s="151">
        <v>10.29166666666667</v>
      </c>
      <c r="G249" s="7" t="s">
        <v>36</v>
      </c>
      <c r="H249" s="7" t="s">
        <v>42</v>
      </c>
      <c r="I249" s="7" t="s">
        <v>39</v>
      </c>
      <c r="J249">
        <v>0.16</v>
      </c>
      <c r="K249" s="148">
        <v>0.1515</v>
      </c>
      <c r="L249">
        <v>0.86</v>
      </c>
      <c r="M249" s="148">
        <v>0.22389999999999999</v>
      </c>
      <c r="N249">
        <v>4</v>
      </c>
      <c r="O249">
        <v>72</v>
      </c>
      <c r="P249">
        <v>76</v>
      </c>
    </row>
    <row r="250" spans="1:16">
      <c r="A250">
        <v>249</v>
      </c>
      <c r="B250" s="2">
        <v>40554</v>
      </c>
      <c r="C250">
        <v>1</v>
      </c>
      <c r="D250" t="s">
        <v>17</v>
      </c>
      <c r="E250" s="6" t="s">
        <v>18</v>
      </c>
      <c r="F250" s="151">
        <v>10.33333333333333</v>
      </c>
      <c r="G250" s="7" t="s">
        <v>36</v>
      </c>
      <c r="H250" s="7" t="s">
        <v>42</v>
      </c>
      <c r="I250" s="7" t="s">
        <v>39</v>
      </c>
      <c r="J250">
        <v>0.16</v>
      </c>
      <c r="K250" s="148">
        <v>0.1515</v>
      </c>
      <c r="L250">
        <v>0.86</v>
      </c>
      <c r="M250" s="148">
        <v>0.22389999999999999</v>
      </c>
      <c r="N250">
        <v>6</v>
      </c>
      <c r="O250">
        <v>130</v>
      </c>
      <c r="P250">
        <v>136</v>
      </c>
    </row>
    <row r="251" spans="1:16">
      <c r="A251">
        <v>250</v>
      </c>
      <c r="B251" s="2">
        <v>40554</v>
      </c>
      <c r="C251">
        <v>1</v>
      </c>
      <c r="D251" t="s">
        <v>17</v>
      </c>
      <c r="E251" s="6" t="s">
        <v>18</v>
      </c>
      <c r="F251" s="151">
        <v>10.375</v>
      </c>
      <c r="G251" s="7" t="s">
        <v>36</v>
      </c>
      <c r="H251" s="7" t="s">
        <v>42</v>
      </c>
      <c r="I251" s="7" t="s">
        <v>45</v>
      </c>
      <c r="J251">
        <v>0.16</v>
      </c>
      <c r="K251" s="148">
        <v>0.18179999999999999</v>
      </c>
      <c r="L251">
        <v>0.93</v>
      </c>
      <c r="M251" s="148">
        <v>0.1045</v>
      </c>
      <c r="N251">
        <v>1</v>
      </c>
      <c r="O251">
        <v>94</v>
      </c>
      <c r="P251">
        <v>95</v>
      </c>
    </row>
    <row r="252" spans="1:16">
      <c r="A252">
        <v>251</v>
      </c>
      <c r="B252" s="2">
        <v>40554</v>
      </c>
      <c r="C252">
        <v>1</v>
      </c>
      <c r="D252" t="s">
        <v>17</v>
      </c>
      <c r="E252" s="6" t="s">
        <v>18</v>
      </c>
      <c r="F252" s="151">
        <v>10.41666666666667</v>
      </c>
      <c r="G252" s="7" t="s">
        <v>36</v>
      </c>
      <c r="H252" s="7" t="s">
        <v>42</v>
      </c>
      <c r="I252" s="7" t="s">
        <v>45</v>
      </c>
      <c r="J252">
        <v>0.16</v>
      </c>
      <c r="K252" s="148">
        <v>0.2273</v>
      </c>
      <c r="L252">
        <v>0.93</v>
      </c>
      <c r="M252" s="148">
        <v>0</v>
      </c>
      <c r="N252">
        <v>0</v>
      </c>
      <c r="O252">
        <v>51</v>
      </c>
      <c r="P252">
        <v>51</v>
      </c>
    </row>
    <row r="253" spans="1:16">
      <c r="A253">
        <v>252</v>
      </c>
      <c r="B253" s="2">
        <v>40554</v>
      </c>
      <c r="C253">
        <v>1</v>
      </c>
      <c r="D253" t="s">
        <v>17</v>
      </c>
      <c r="E253" s="6" t="s">
        <v>18</v>
      </c>
      <c r="F253" s="151">
        <v>10.45833333333333</v>
      </c>
      <c r="G253" s="7" t="s">
        <v>36</v>
      </c>
      <c r="H253" s="7" t="s">
        <v>42</v>
      </c>
      <c r="I253" s="7" t="s">
        <v>45</v>
      </c>
      <c r="J253">
        <v>0.16</v>
      </c>
      <c r="K253" s="148">
        <v>0.1515</v>
      </c>
      <c r="L253">
        <v>0.93</v>
      </c>
      <c r="M253" s="148">
        <v>0.19400000000000001</v>
      </c>
      <c r="N253">
        <v>0</v>
      </c>
      <c r="O253">
        <v>32</v>
      </c>
      <c r="P253">
        <v>32</v>
      </c>
    </row>
    <row r="254" spans="1:16">
      <c r="A254">
        <v>253</v>
      </c>
      <c r="B254" s="2">
        <v>40554</v>
      </c>
      <c r="C254">
        <v>1</v>
      </c>
      <c r="D254" t="s">
        <v>17</v>
      </c>
      <c r="E254" s="6" t="s">
        <v>18</v>
      </c>
      <c r="F254" s="151">
        <v>10.5</v>
      </c>
      <c r="G254" s="7" t="s">
        <v>36</v>
      </c>
      <c r="H254" s="7" t="s">
        <v>42</v>
      </c>
      <c r="I254" s="7" t="s">
        <v>45</v>
      </c>
      <c r="J254">
        <v>0.16</v>
      </c>
      <c r="K254" s="148">
        <v>0.19700000000000001</v>
      </c>
      <c r="L254">
        <v>0.86</v>
      </c>
      <c r="M254" s="148">
        <v>8.9599999999999999E-2</v>
      </c>
      <c r="N254">
        <v>0</v>
      </c>
      <c r="O254">
        <v>20</v>
      </c>
      <c r="P254">
        <v>20</v>
      </c>
    </row>
    <row r="255" spans="1:16">
      <c r="A255">
        <v>254</v>
      </c>
      <c r="B255" s="2">
        <v>40554</v>
      </c>
      <c r="C255">
        <v>1</v>
      </c>
      <c r="D255" t="s">
        <v>17</v>
      </c>
      <c r="E255" s="6" t="s">
        <v>18</v>
      </c>
      <c r="F255" s="151">
        <v>10.54166666666667</v>
      </c>
      <c r="G255" s="7" t="s">
        <v>36</v>
      </c>
      <c r="H255" s="7" t="s">
        <v>42</v>
      </c>
      <c r="I255" s="7" t="s">
        <v>45</v>
      </c>
      <c r="J255">
        <v>0.16</v>
      </c>
      <c r="K255" s="148">
        <v>0.18179999999999999</v>
      </c>
      <c r="L255">
        <v>0.93</v>
      </c>
      <c r="M255" s="148">
        <v>0.1045</v>
      </c>
      <c r="N255">
        <v>1</v>
      </c>
      <c r="O255">
        <v>28</v>
      </c>
      <c r="P255">
        <v>29</v>
      </c>
    </row>
    <row r="256" spans="1:16">
      <c r="A256">
        <v>255</v>
      </c>
      <c r="B256" s="2">
        <v>40554</v>
      </c>
      <c r="C256">
        <v>1</v>
      </c>
      <c r="D256" t="s">
        <v>17</v>
      </c>
      <c r="E256" s="6" t="s">
        <v>18</v>
      </c>
      <c r="F256" s="151">
        <v>10.58333333333333</v>
      </c>
      <c r="G256" s="7" t="s">
        <v>36</v>
      </c>
      <c r="H256" s="7" t="s">
        <v>42</v>
      </c>
      <c r="I256" s="7" t="s">
        <v>45</v>
      </c>
      <c r="J256">
        <v>0.16</v>
      </c>
      <c r="K256" s="148">
        <v>0.19700000000000001</v>
      </c>
      <c r="L256">
        <v>0.93</v>
      </c>
      <c r="M256" s="148">
        <v>8.9599999999999999E-2</v>
      </c>
      <c r="N256">
        <v>1</v>
      </c>
      <c r="O256">
        <v>18</v>
      </c>
      <c r="P256">
        <v>19</v>
      </c>
    </row>
    <row r="257" spans="1:16">
      <c r="A257">
        <v>256</v>
      </c>
      <c r="B257" s="2">
        <v>40555</v>
      </c>
      <c r="C257">
        <v>1</v>
      </c>
      <c r="D257" t="s">
        <v>17</v>
      </c>
      <c r="E257" s="6" t="s">
        <v>18</v>
      </c>
      <c r="F257" s="151">
        <v>10.625</v>
      </c>
      <c r="G257" s="7" t="s">
        <v>36</v>
      </c>
      <c r="H257" s="7" t="s">
        <v>46</v>
      </c>
      <c r="I257" s="7" t="s">
        <v>39</v>
      </c>
      <c r="J257">
        <v>0.16</v>
      </c>
      <c r="K257" s="148">
        <v>0.19700000000000001</v>
      </c>
      <c r="L257">
        <v>0.86</v>
      </c>
      <c r="M257" s="148">
        <v>8.9599999999999999E-2</v>
      </c>
      <c r="N257">
        <v>0</v>
      </c>
      <c r="O257">
        <v>7</v>
      </c>
      <c r="P257">
        <v>7</v>
      </c>
    </row>
    <row r="258" spans="1:16">
      <c r="A258">
        <v>257</v>
      </c>
      <c r="B258" s="2">
        <v>40555</v>
      </c>
      <c r="C258">
        <v>1</v>
      </c>
      <c r="D258" t="s">
        <v>17</v>
      </c>
      <c r="E258" s="6" t="s">
        <v>18</v>
      </c>
      <c r="F258" s="151">
        <v>10.66666666666667</v>
      </c>
      <c r="G258" s="7" t="s">
        <v>36</v>
      </c>
      <c r="H258" s="7" t="s">
        <v>46</v>
      </c>
      <c r="I258" s="7" t="s">
        <v>39</v>
      </c>
      <c r="J258">
        <v>0.16</v>
      </c>
      <c r="K258" s="148">
        <v>0.18179999999999999</v>
      </c>
      <c r="L258">
        <v>0.86</v>
      </c>
      <c r="M258" s="148">
        <v>0.1045</v>
      </c>
      <c r="N258">
        <v>0</v>
      </c>
      <c r="O258">
        <v>6</v>
      </c>
      <c r="P258">
        <v>6</v>
      </c>
    </row>
    <row r="259" spans="1:16">
      <c r="A259">
        <v>258</v>
      </c>
      <c r="B259" s="2">
        <v>40555</v>
      </c>
      <c r="C259">
        <v>1</v>
      </c>
      <c r="D259" t="s">
        <v>17</v>
      </c>
      <c r="E259" s="6" t="s">
        <v>18</v>
      </c>
      <c r="F259" s="151">
        <v>10.70833333333333</v>
      </c>
      <c r="G259" s="7" t="s">
        <v>36</v>
      </c>
      <c r="H259" s="7" t="s">
        <v>46</v>
      </c>
      <c r="I259" s="7" t="s">
        <v>38</v>
      </c>
      <c r="J259">
        <v>0.14000000000000001</v>
      </c>
      <c r="K259" s="148">
        <v>0.1515</v>
      </c>
      <c r="L259">
        <v>0.86</v>
      </c>
      <c r="M259" s="148">
        <v>0.1343</v>
      </c>
      <c r="N259">
        <v>0</v>
      </c>
      <c r="O259">
        <v>1</v>
      </c>
      <c r="P259">
        <v>1</v>
      </c>
    </row>
    <row r="260" spans="1:16">
      <c r="A260">
        <v>259</v>
      </c>
      <c r="B260" s="2">
        <v>40555</v>
      </c>
      <c r="C260">
        <v>1</v>
      </c>
      <c r="D260" t="s">
        <v>17</v>
      </c>
      <c r="E260" s="6" t="s">
        <v>18</v>
      </c>
      <c r="F260" s="151">
        <v>10.75</v>
      </c>
      <c r="G260" s="7" t="s">
        <v>36</v>
      </c>
      <c r="H260" s="7" t="s">
        <v>46</v>
      </c>
      <c r="I260" s="7" t="s">
        <v>38</v>
      </c>
      <c r="J260">
        <v>0.14000000000000001</v>
      </c>
      <c r="K260" s="148">
        <v>0.1515</v>
      </c>
      <c r="L260">
        <v>0.86</v>
      </c>
      <c r="M260" s="148">
        <v>0.16420000000000001</v>
      </c>
      <c r="N260">
        <v>0</v>
      </c>
      <c r="O260">
        <v>5</v>
      </c>
      <c r="P260">
        <v>5</v>
      </c>
    </row>
    <row r="261" spans="1:16">
      <c r="A261">
        <v>260</v>
      </c>
      <c r="B261" s="2">
        <v>40555</v>
      </c>
      <c r="C261">
        <v>1</v>
      </c>
      <c r="D261" t="s">
        <v>17</v>
      </c>
      <c r="E261" s="6" t="s">
        <v>18</v>
      </c>
      <c r="F261" s="151">
        <v>10.79166666666667</v>
      </c>
      <c r="G261" s="7" t="s">
        <v>36</v>
      </c>
      <c r="H261" s="7" t="s">
        <v>46</v>
      </c>
      <c r="I261" s="7" t="s">
        <v>38</v>
      </c>
      <c r="J261">
        <v>0.12</v>
      </c>
      <c r="K261" s="148">
        <v>0.1515</v>
      </c>
      <c r="L261">
        <v>0.93</v>
      </c>
      <c r="M261" s="148">
        <v>0.1343</v>
      </c>
      <c r="N261">
        <v>0</v>
      </c>
      <c r="O261">
        <v>16</v>
      </c>
      <c r="P261">
        <v>16</v>
      </c>
    </row>
    <row r="262" spans="1:16">
      <c r="A262">
        <v>261</v>
      </c>
      <c r="B262" s="2">
        <v>40555</v>
      </c>
      <c r="C262">
        <v>1</v>
      </c>
      <c r="D262" t="s">
        <v>17</v>
      </c>
      <c r="E262" s="6" t="s">
        <v>18</v>
      </c>
      <c r="F262" s="151">
        <v>10.83333333333333</v>
      </c>
      <c r="G262" s="7" t="s">
        <v>36</v>
      </c>
      <c r="H262" s="7" t="s">
        <v>46</v>
      </c>
      <c r="I262" s="7" t="s">
        <v>38</v>
      </c>
      <c r="J262">
        <v>0.14000000000000001</v>
      </c>
      <c r="K262" s="148">
        <v>0.1515</v>
      </c>
      <c r="L262">
        <v>0.69</v>
      </c>
      <c r="M262" s="148">
        <v>0.1343</v>
      </c>
      <c r="N262">
        <v>0</v>
      </c>
      <c r="O262">
        <v>54</v>
      </c>
      <c r="P262">
        <v>54</v>
      </c>
    </row>
    <row r="263" spans="1:16">
      <c r="A263">
        <v>262</v>
      </c>
      <c r="B263" s="2">
        <v>40555</v>
      </c>
      <c r="C263">
        <v>1</v>
      </c>
      <c r="D263" t="s">
        <v>17</v>
      </c>
      <c r="E263" s="6" t="s">
        <v>18</v>
      </c>
      <c r="F263" s="151">
        <v>10.875</v>
      </c>
      <c r="G263" s="7" t="s">
        <v>36</v>
      </c>
      <c r="H263" s="7" t="s">
        <v>46</v>
      </c>
      <c r="I263" s="7" t="s">
        <v>38</v>
      </c>
      <c r="J263">
        <v>0.16</v>
      </c>
      <c r="K263" s="148">
        <v>0.16669999999999999</v>
      </c>
      <c r="L263">
        <v>0.59</v>
      </c>
      <c r="M263" s="148">
        <v>0.16420000000000001</v>
      </c>
      <c r="N263">
        <v>3</v>
      </c>
      <c r="O263">
        <v>125</v>
      </c>
      <c r="P263">
        <v>128</v>
      </c>
    </row>
    <row r="264" spans="1:16">
      <c r="A264">
        <v>263</v>
      </c>
      <c r="B264" s="2">
        <v>40555</v>
      </c>
      <c r="C264">
        <v>1</v>
      </c>
      <c r="D264" t="s">
        <v>17</v>
      </c>
      <c r="E264" s="6" t="s">
        <v>18</v>
      </c>
      <c r="F264" s="151">
        <v>10.91666666666667</v>
      </c>
      <c r="G264" s="7" t="s">
        <v>36</v>
      </c>
      <c r="H264" s="7" t="s">
        <v>46</v>
      </c>
      <c r="I264" s="7" t="s">
        <v>38</v>
      </c>
      <c r="J264">
        <v>0.16</v>
      </c>
      <c r="K264" s="148">
        <v>0.13639999999999999</v>
      </c>
      <c r="L264">
        <v>0.59</v>
      </c>
      <c r="M264" s="148">
        <v>0.32840000000000003</v>
      </c>
      <c r="N264">
        <v>3</v>
      </c>
      <c r="O264">
        <v>78</v>
      </c>
      <c r="P264">
        <v>81</v>
      </c>
    </row>
    <row r="265" spans="1:16">
      <c r="A265">
        <v>264</v>
      </c>
      <c r="B265" s="2">
        <v>40555</v>
      </c>
      <c r="C265">
        <v>1</v>
      </c>
      <c r="D265" t="s">
        <v>17</v>
      </c>
      <c r="E265" s="6" t="s">
        <v>18</v>
      </c>
      <c r="F265" s="151">
        <v>10.95833333333333</v>
      </c>
      <c r="G265" s="7" t="s">
        <v>36</v>
      </c>
      <c r="H265" s="7" t="s">
        <v>46</v>
      </c>
      <c r="I265" s="7" t="s">
        <v>38</v>
      </c>
      <c r="J265">
        <v>0.18</v>
      </c>
      <c r="K265" s="148">
        <v>0.18179999999999999</v>
      </c>
      <c r="L265">
        <v>0.55000000000000004</v>
      </c>
      <c r="M265" s="148">
        <v>0.22389999999999999</v>
      </c>
      <c r="N265">
        <v>0</v>
      </c>
      <c r="O265">
        <v>39</v>
      </c>
      <c r="P265">
        <v>39</v>
      </c>
    </row>
    <row r="266" spans="1:16">
      <c r="A266">
        <v>265</v>
      </c>
      <c r="B266" s="2">
        <v>40555</v>
      </c>
      <c r="C266">
        <v>1</v>
      </c>
      <c r="D266" t="s">
        <v>17</v>
      </c>
      <c r="E266" s="6" t="s">
        <v>18</v>
      </c>
      <c r="F266" s="151">
        <v>11</v>
      </c>
      <c r="G266" s="7" t="s">
        <v>36</v>
      </c>
      <c r="H266" s="7" t="s">
        <v>46</v>
      </c>
      <c r="I266" s="7" t="s">
        <v>38</v>
      </c>
      <c r="J266">
        <v>0.2</v>
      </c>
      <c r="K266" s="148">
        <v>0.18179999999999999</v>
      </c>
      <c r="L266">
        <v>0.51</v>
      </c>
      <c r="M266" s="148">
        <v>0.3881</v>
      </c>
      <c r="N266">
        <v>3</v>
      </c>
      <c r="O266">
        <v>32</v>
      </c>
      <c r="P266">
        <v>35</v>
      </c>
    </row>
    <row r="267" spans="1:16">
      <c r="A267">
        <v>266</v>
      </c>
      <c r="B267" s="2">
        <v>40555</v>
      </c>
      <c r="C267">
        <v>1</v>
      </c>
      <c r="D267" t="s">
        <v>17</v>
      </c>
      <c r="E267" s="6" t="s">
        <v>18</v>
      </c>
      <c r="F267" s="151">
        <v>11.04166666666667</v>
      </c>
      <c r="G267" s="7" t="s">
        <v>36</v>
      </c>
      <c r="H267" s="7" t="s">
        <v>46</v>
      </c>
      <c r="I267" s="7" t="s">
        <v>38</v>
      </c>
      <c r="J267">
        <v>0.2</v>
      </c>
      <c r="K267" s="148">
        <v>0.1515</v>
      </c>
      <c r="L267">
        <v>0.47</v>
      </c>
      <c r="M267" s="148">
        <v>0.58209999999999995</v>
      </c>
      <c r="N267">
        <v>3</v>
      </c>
      <c r="O267">
        <v>52</v>
      </c>
      <c r="P267">
        <v>55</v>
      </c>
    </row>
    <row r="268" spans="1:16">
      <c r="A268">
        <v>267</v>
      </c>
      <c r="B268" s="2">
        <v>40555</v>
      </c>
      <c r="C268">
        <v>1</v>
      </c>
      <c r="D268" t="s">
        <v>17</v>
      </c>
      <c r="E268" s="6" t="s">
        <v>18</v>
      </c>
      <c r="F268" s="151">
        <v>11.08333333333333</v>
      </c>
      <c r="G268" s="7" t="s">
        <v>36</v>
      </c>
      <c r="H268" s="7" t="s">
        <v>46</v>
      </c>
      <c r="I268" s="7" t="s">
        <v>38</v>
      </c>
      <c r="J268">
        <v>0.22</v>
      </c>
      <c r="K268" s="148">
        <v>0.19700000000000001</v>
      </c>
      <c r="L268">
        <v>0.44</v>
      </c>
      <c r="M268" s="148">
        <v>0.35820000000000002</v>
      </c>
      <c r="N268">
        <v>0</v>
      </c>
      <c r="O268">
        <v>49</v>
      </c>
      <c r="P268">
        <v>49</v>
      </c>
    </row>
    <row r="269" spans="1:16">
      <c r="A269">
        <v>268</v>
      </c>
      <c r="B269" s="2">
        <v>40555</v>
      </c>
      <c r="C269">
        <v>1</v>
      </c>
      <c r="D269" t="s">
        <v>17</v>
      </c>
      <c r="E269" s="6" t="s">
        <v>18</v>
      </c>
      <c r="F269" s="151">
        <v>11.125</v>
      </c>
      <c r="G269" s="7" t="s">
        <v>36</v>
      </c>
      <c r="H269" s="7" t="s">
        <v>46</v>
      </c>
      <c r="I269" s="7" t="s">
        <v>38</v>
      </c>
      <c r="J269">
        <v>0.2</v>
      </c>
      <c r="K269" s="148">
        <v>0.18179999999999999</v>
      </c>
      <c r="L269">
        <v>0.47</v>
      </c>
      <c r="M269" s="148">
        <v>0.32840000000000003</v>
      </c>
      <c r="N269">
        <v>0</v>
      </c>
      <c r="O269">
        <v>44</v>
      </c>
      <c r="P269">
        <v>44</v>
      </c>
    </row>
    <row r="270" spans="1:16">
      <c r="A270">
        <v>269</v>
      </c>
      <c r="B270" s="2">
        <v>40555</v>
      </c>
      <c r="C270">
        <v>1</v>
      </c>
      <c r="D270" t="s">
        <v>17</v>
      </c>
      <c r="E270" s="6" t="s">
        <v>18</v>
      </c>
      <c r="F270" s="151">
        <v>11.16666666666667</v>
      </c>
      <c r="G270" s="7" t="s">
        <v>36</v>
      </c>
      <c r="H270" s="7" t="s">
        <v>46</v>
      </c>
      <c r="I270" s="7" t="s">
        <v>38</v>
      </c>
      <c r="J270">
        <v>0.2</v>
      </c>
      <c r="K270" s="148">
        <v>0.16669999999999999</v>
      </c>
      <c r="L270">
        <v>0.47</v>
      </c>
      <c r="M270" s="148">
        <v>0.41789999999999999</v>
      </c>
      <c r="N270">
        <v>1</v>
      </c>
      <c r="O270">
        <v>48</v>
      </c>
      <c r="P270">
        <v>49</v>
      </c>
    </row>
    <row r="271" spans="1:16">
      <c r="A271">
        <v>270</v>
      </c>
      <c r="B271" s="2">
        <v>40555</v>
      </c>
      <c r="C271">
        <v>1</v>
      </c>
      <c r="D271" t="s">
        <v>17</v>
      </c>
      <c r="E271" s="6" t="s">
        <v>18</v>
      </c>
      <c r="F271" s="151">
        <v>11.20833333333333</v>
      </c>
      <c r="G271" s="7" t="s">
        <v>36</v>
      </c>
      <c r="H271" s="7" t="s">
        <v>46</v>
      </c>
      <c r="I271" s="7" t="s">
        <v>38</v>
      </c>
      <c r="J271">
        <v>0.22</v>
      </c>
      <c r="K271" s="148">
        <v>0.19700000000000001</v>
      </c>
      <c r="L271">
        <v>0.44</v>
      </c>
      <c r="M271" s="148">
        <v>0.32840000000000003</v>
      </c>
      <c r="N271">
        <v>5</v>
      </c>
      <c r="O271">
        <v>63</v>
      </c>
      <c r="P271">
        <v>68</v>
      </c>
    </row>
    <row r="272" spans="1:16">
      <c r="A272">
        <v>271</v>
      </c>
      <c r="B272" s="2">
        <v>40555</v>
      </c>
      <c r="C272">
        <v>1</v>
      </c>
      <c r="D272" t="s">
        <v>17</v>
      </c>
      <c r="E272" s="6" t="s">
        <v>18</v>
      </c>
      <c r="F272" s="151">
        <v>11.25</v>
      </c>
      <c r="G272" s="7" t="s">
        <v>36</v>
      </c>
      <c r="H272" s="7" t="s">
        <v>46</v>
      </c>
      <c r="I272" s="7" t="s">
        <v>38</v>
      </c>
      <c r="J272">
        <v>0.2</v>
      </c>
      <c r="K272" s="148">
        <v>0.18179999999999999</v>
      </c>
      <c r="L272">
        <v>0.47</v>
      </c>
      <c r="M272" s="148">
        <v>0.35820000000000002</v>
      </c>
      <c r="N272">
        <v>0</v>
      </c>
      <c r="O272">
        <v>139</v>
      </c>
      <c r="P272">
        <v>139</v>
      </c>
    </row>
    <row r="273" spans="1:16">
      <c r="A273">
        <v>272</v>
      </c>
      <c r="B273" s="2">
        <v>40555</v>
      </c>
      <c r="C273">
        <v>1</v>
      </c>
      <c r="D273" t="s">
        <v>17</v>
      </c>
      <c r="E273" s="6" t="s">
        <v>18</v>
      </c>
      <c r="F273" s="151">
        <v>11.29166666666667</v>
      </c>
      <c r="G273" s="7" t="s">
        <v>36</v>
      </c>
      <c r="H273" s="7" t="s">
        <v>46</v>
      </c>
      <c r="I273" s="7" t="s">
        <v>38</v>
      </c>
      <c r="J273">
        <v>0.2</v>
      </c>
      <c r="K273" s="148">
        <v>0.1515</v>
      </c>
      <c r="L273">
        <v>0.47</v>
      </c>
      <c r="M273" s="148">
        <v>0.52239999999999998</v>
      </c>
      <c r="N273">
        <v>2</v>
      </c>
      <c r="O273">
        <v>135</v>
      </c>
      <c r="P273">
        <v>137</v>
      </c>
    </row>
    <row r="274" spans="1:16">
      <c r="A274">
        <v>273</v>
      </c>
      <c r="B274" s="2">
        <v>40555</v>
      </c>
      <c r="C274">
        <v>1</v>
      </c>
      <c r="D274" t="s">
        <v>17</v>
      </c>
      <c r="E274" s="6" t="s">
        <v>18</v>
      </c>
      <c r="F274" s="151">
        <v>11.33333333333333</v>
      </c>
      <c r="G274" s="7" t="s">
        <v>36</v>
      </c>
      <c r="H274" s="7" t="s">
        <v>46</v>
      </c>
      <c r="I274" s="7" t="s">
        <v>38</v>
      </c>
      <c r="J274">
        <v>0.18</v>
      </c>
      <c r="K274" s="148">
        <v>0.1515</v>
      </c>
      <c r="L274">
        <v>0.47</v>
      </c>
      <c r="M274" s="148">
        <v>0.41789999999999999</v>
      </c>
      <c r="N274">
        <v>1</v>
      </c>
      <c r="O274">
        <v>82</v>
      </c>
      <c r="P274">
        <v>83</v>
      </c>
    </row>
    <row r="275" spans="1:16">
      <c r="A275">
        <v>274</v>
      </c>
      <c r="B275" s="2">
        <v>40555</v>
      </c>
      <c r="C275">
        <v>1</v>
      </c>
      <c r="D275" t="s">
        <v>17</v>
      </c>
      <c r="E275" s="6" t="s">
        <v>18</v>
      </c>
      <c r="F275" s="151">
        <v>11.375</v>
      </c>
      <c r="G275" s="7" t="s">
        <v>36</v>
      </c>
      <c r="H275" s="7" t="s">
        <v>46</v>
      </c>
      <c r="I275" s="7" t="s">
        <v>38</v>
      </c>
      <c r="J275">
        <v>0.16</v>
      </c>
      <c r="K275" s="148">
        <v>0.13639999999999999</v>
      </c>
      <c r="L275">
        <v>0.5</v>
      </c>
      <c r="M275" s="148">
        <v>0.32840000000000003</v>
      </c>
      <c r="N275">
        <v>2</v>
      </c>
      <c r="O275">
        <v>54</v>
      </c>
      <c r="P275">
        <v>56</v>
      </c>
    </row>
    <row r="276" spans="1:16">
      <c r="A276">
        <v>275</v>
      </c>
      <c r="B276" s="2">
        <v>40555</v>
      </c>
      <c r="C276">
        <v>1</v>
      </c>
      <c r="D276" t="s">
        <v>17</v>
      </c>
      <c r="E276" s="6" t="s">
        <v>18</v>
      </c>
      <c r="F276" s="151">
        <v>11.41666666666667</v>
      </c>
      <c r="G276" s="7" t="s">
        <v>36</v>
      </c>
      <c r="H276" s="7" t="s">
        <v>46</v>
      </c>
      <c r="I276" s="7" t="s">
        <v>38</v>
      </c>
      <c r="J276">
        <v>0.16</v>
      </c>
      <c r="K276" s="148">
        <v>0.13639999999999999</v>
      </c>
      <c r="L276">
        <v>0.55000000000000004</v>
      </c>
      <c r="M276" s="148">
        <v>0.32840000000000003</v>
      </c>
      <c r="N276">
        <v>0</v>
      </c>
      <c r="O276">
        <v>57</v>
      </c>
      <c r="P276">
        <v>57</v>
      </c>
    </row>
    <row r="277" spans="1:16">
      <c r="A277">
        <v>276</v>
      </c>
      <c r="B277" s="2">
        <v>40555</v>
      </c>
      <c r="C277">
        <v>1</v>
      </c>
      <c r="D277" t="s">
        <v>17</v>
      </c>
      <c r="E277" s="6" t="s">
        <v>18</v>
      </c>
      <c r="F277" s="151">
        <v>11.45833333333333</v>
      </c>
      <c r="G277" s="7" t="s">
        <v>36</v>
      </c>
      <c r="H277" s="7" t="s">
        <v>46</v>
      </c>
      <c r="I277" s="7" t="s">
        <v>38</v>
      </c>
      <c r="J277">
        <v>0.16</v>
      </c>
      <c r="K277" s="148">
        <v>0.1212</v>
      </c>
      <c r="L277">
        <v>0.55000000000000004</v>
      </c>
      <c r="M277" s="148">
        <v>0.44779999999999998</v>
      </c>
      <c r="N277">
        <v>1</v>
      </c>
      <c r="O277">
        <v>32</v>
      </c>
      <c r="P277">
        <v>33</v>
      </c>
    </row>
    <row r="278" spans="1:16">
      <c r="A278">
        <v>277</v>
      </c>
      <c r="B278" s="2">
        <v>40555</v>
      </c>
      <c r="C278">
        <v>1</v>
      </c>
      <c r="D278" t="s">
        <v>17</v>
      </c>
      <c r="E278" s="6" t="s">
        <v>18</v>
      </c>
      <c r="F278" s="151">
        <v>11.5</v>
      </c>
      <c r="G278" s="7" t="s">
        <v>36</v>
      </c>
      <c r="H278" s="7" t="s">
        <v>46</v>
      </c>
      <c r="I278" s="7" t="s">
        <v>38</v>
      </c>
      <c r="J278">
        <v>0.14000000000000001</v>
      </c>
      <c r="K278" s="148">
        <v>0.1061</v>
      </c>
      <c r="L278">
        <v>0.59</v>
      </c>
      <c r="M278" s="148">
        <v>0.41789999999999999</v>
      </c>
      <c r="N278">
        <v>1</v>
      </c>
      <c r="O278">
        <v>19</v>
      </c>
      <c r="P278">
        <v>20</v>
      </c>
    </row>
    <row r="279" spans="1:16">
      <c r="A279">
        <v>278</v>
      </c>
      <c r="B279" s="2">
        <v>40556</v>
      </c>
      <c r="C279">
        <v>1</v>
      </c>
      <c r="D279" t="s">
        <v>17</v>
      </c>
      <c r="E279" s="6" t="s">
        <v>18</v>
      </c>
      <c r="F279" s="151">
        <v>11.54166666666667</v>
      </c>
      <c r="G279" s="7" t="s">
        <v>36</v>
      </c>
      <c r="H279" s="7" t="s">
        <v>195</v>
      </c>
      <c r="I279" s="7" t="s">
        <v>38</v>
      </c>
      <c r="J279">
        <v>0.14000000000000001</v>
      </c>
      <c r="K279" s="148">
        <v>0.1212</v>
      </c>
      <c r="L279">
        <v>0.59</v>
      </c>
      <c r="M279" s="148">
        <v>0.28360000000000002</v>
      </c>
      <c r="N279">
        <v>1</v>
      </c>
      <c r="O279">
        <v>6</v>
      </c>
      <c r="P279">
        <v>7</v>
      </c>
    </row>
    <row r="280" spans="1:16">
      <c r="A280">
        <v>279</v>
      </c>
      <c r="B280" s="2">
        <v>40556</v>
      </c>
      <c r="C280">
        <v>1</v>
      </c>
      <c r="D280" t="s">
        <v>17</v>
      </c>
      <c r="E280" s="6" t="s">
        <v>18</v>
      </c>
      <c r="F280" s="151">
        <v>11.58333333333333</v>
      </c>
      <c r="G280" s="7" t="s">
        <v>36</v>
      </c>
      <c r="H280" s="7" t="s">
        <v>195</v>
      </c>
      <c r="I280" s="7" t="s">
        <v>38</v>
      </c>
      <c r="J280">
        <v>0.14000000000000001</v>
      </c>
      <c r="K280" s="148">
        <v>0.1212</v>
      </c>
      <c r="L280">
        <v>0.5</v>
      </c>
      <c r="M280" s="148">
        <v>0.28360000000000002</v>
      </c>
      <c r="N280">
        <v>0</v>
      </c>
      <c r="O280">
        <v>2</v>
      </c>
      <c r="P280">
        <v>2</v>
      </c>
    </row>
    <row r="281" spans="1:16">
      <c r="A281">
        <v>280</v>
      </c>
      <c r="B281" s="2">
        <v>40556</v>
      </c>
      <c r="C281">
        <v>1</v>
      </c>
      <c r="D281" t="s">
        <v>17</v>
      </c>
      <c r="E281" s="6" t="s">
        <v>18</v>
      </c>
      <c r="F281" s="151">
        <v>11.625</v>
      </c>
      <c r="G281" s="7" t="s">
        <v>36</v>
      </c>
      <c r="H281" s="7" t="s">
        <v>195</v>
      </c>
      <c r="I281" s="7" t="s">
        <v>38</v>
      </c>
      <c r="J281">
        <v>0.14000000000000001</v>
      </c>
      <c r="K281" s="148">
        <v>0.1212</v>
      </c>
      <c r="L281">
        <v>0.5</v>
      </c>
      <c r="M281" s="148">
        <v>0.35820000000000002</v>
      </c>
      <c r="N281">
        <v>0</v>
      </c>
      <c r="O281">
        <v>2</v>
      </c>
      <c r="P281">
        <v>2</v>
      </c>
    </row>
    <row r="282" spans="1:16">
      <c r="A282">
        <v>281</v>
      </c>
      <c r="B282" s="2">
        <v>40556</v>
      </c>
      <c r="C282">
        <v>1</v>
      </c>
      <c r="D282" t="s">
        <v>17</v>
      </c>
      <c r="E282" s="6" t="s">
        <v>18</v>
      </c>
      <c r="F282" s="151">
        <v>11.66666666666667</v>
      </c>
      <c r="G282" s="7" t="s">
        <v>36</v>
      </c>
      <c r="H282" s="7" t="s">
        <v>195</v>
      </c>
      <c r="I282" s="7" t="s">
        <v>38</v>
      </c>
      <c r="J282">
        <v>0.14000000000000001</v>
      </c>
      <c r="K282" s="148">
        <v>0.1212</v>
      </c>
      <c r="L282">
        <v>0.5</v>
      </c>
      <c r="M282" s="148">
        <v>0.32840000000000003</v>
      </c>
      <c r="N282">
        <v>0</v>
      </c>
      <c r="O282">
        <v>3</v>
      </c>
      <c r="P282">
        <v>3</v>
      </c>
    </row>
    <row r="283" spans="1:16">
      <c r="A283">
        <v>282</v>
      </c>
      <c r="B283" s="2">
        <v>40556</v>
      </c>
      <c r="C283">
        <v>1</v>
      </c>
      <c r="D283" t="s">
        <v>17</v>
      </c>
      <c r="E283" s="6" t="s">
        <v>18</v>
      </c>
      <c r="F283" s="151">
        <v>11.70833333333333</v>
      </c>
      <c r="G283" s="7" t="s">
        <v>36</v>
      </c>
      <c r="H283" s="7" t="s">
        <v>195</v>
      </c>
      <c r="I283" s="7" t="s">
        <v>38</v>
      </c>
      <c r="J283">
        <v>0.14000000000000001</v>
      </c>
      <c r="K283" s="148">
        <v>0.1212</v>
      </c>
      <c r="L283">
        <v>0.5</v>
      </c>
      <c r="M283" s="148">
        <v>0.25369999999999998</v>
      </c>
      <c r="N283">
        <v>0</v>
      </c>
      <c r="O283">
        <v>4</v>
      </c>
      <c r="P283">
        <v>4</v>
      </c>
    </row>
    <row r="284" spans="1:16">
      <c r="A284">
        <v>283</v>
      </c>
      <c r="B284" s="2">
        <v>40556</v>
      </c>
      <c r="C284">
        <v>1</v>
      </c>
      <c r="D284" t="s">
        <v>17</v>
      </c>
      <c r="E284" s="6" t="s">
        <v>18</v>
      </c>
      <c r="F284" s="151">
        <v>11.75</v>
      </c>
      <c r="G284" s="7" t="s">
        <v>36</v>
      </c>
      <c r="H284" s="7" t="s">
        <v>195</v>
      </c>
      <c r="I284" s="7" t="s">
        <v>38</v>
      </c>
      <c r="J284">
        <v>0.14000000000000001</v>
      </c>
      <c r="K284" s="148">
        <v>0.1212</v>
      </c>
      <c r="L284">
        <v>0.5</v>
      </c>
      <c r="M284" s="148">
        <v>0.29849999999999999</v>
      </c>
      <c r="N284">
        <v>0</v>
      </c>
      <c r="O284">
        <v>3</v>
      </c>
      <c r="P284">
        <v>3</v>
      </c>
    </row>
    <row r="285" spans="1:16">
      <c r="A285">
        <v>284</v>
      </c>
      <c r="B285" s="2">
        <v>40556</v>
      </c>
      <c r="C285">
        <v>1</v>
      </c>
      <c r="D285" t="s">
        <v>17</v>
      </c>
      <c r="E285" s="6" t="s">
        <v>18</v>
      </c>
      <c r="F285" s="151">
        <v>11.79166666666667</v>
      </c>
      <c r="G285" s="7" t="s">
        <v>36</v>
      </c>
      <c r="H285" s="7" t="s">
        <v>195</v>
      </c>
      <c r="I285" s="7" t="s">
        <v>38</v>
      </c>
      <c r="J285">
        <v>0.12</v>
      </c>
      <c r="K285" s="148">
        <v>0.1515</v>
      </c>
      <c r="L285">
        <v>0.54</v>
      </c>
      <c r="M285" s="148">
        <v>0.1343</v>
      </c>
      <c r="N285">
        <v>0</v>
      </c>
      <c r="O285">
        <v>28</v>
      </c>
      <c r="P285">
        <v>28</v>
      </c>
    </row>
    <row r="286" spans="1:16">
      <c r="A286">
        <v>285</v>
      </c>
      <c r="B286" s="2">
        <v>40556</v>
      </c>
      <c r="C286">
        <v>1</v>
      </c>
      <c r="D286" t="s">
        <v>17</v>
      </c>
      <c r="E286" s="6" t="s">
        <v>18</v>
      </c>
      <c r="F286" s="151">
        <v>11.83333333333333</v>
      </c>
      <c r="G286" s="7" t="s">
        <v>36</v>
      </c>
      <c r="H286" s="7" t="s">
        <v>195</v>
      </c>
      <c r="I286" s="7" t="s">
        <v>38</v>
      </c>
      <c r="J286">
        <v>0.12</v>
      </c>
      <c r="K286" s="148">
        <v>0.1515</v>
      </c>
      <c r="L286">
        <v>0.54</v>
      </c>
      <c r="M286" s="148">
        <v>0.1343</v>
      </c>
      <c r="N286">
        <v>0</v>
      </c>
      <c r="O286">
        <v>72</v>
      </c>
      <c r="P286">
        <v>72</v>
      </c>
    </row>
    <row r="287" spans="1:16">
      <c r="A287">
        <v>286</v>
      </c>
      <c r="B287" s="2">
        <v>40556</v>
      </c>
      <c r="C287">
        <v>1</v>
      </c>
      <c r="D287" t="s">
        <v>17</v>
      </c>
      <c r="E287" s="6" t="s">
        <v>18</v>
      </c>
      <c r="F287" s="151">
        <v>11.875</v>
      </c>
      <c r="G287" s="7" t="s">
        <v>36</v>
      </c>
      <c r="H287" s="7" t="s">
        <v>195</v>
      </c>
      <c r="I287" s="7" t="s">
        <v>38</v>
      </c>
      <c r="J287">
        <v>0.14000000000000001</v>
      </c>
      <c r="K287" s="148">
        <v>0.13639999999999999</v>
      </c>
      <c r="L287">
        <v>0.5</v>
      </c>
      <c r="M287" s="148">
        <v>0.19400000000000001</v>
      </c>
      <c r="N287">
        <v>5</v>
      </c>
      <c r="O287">
        <v>197</v>
      </c>
      <c r="P287">
        <v>202</v>
      </c>
    </row>
    <row r="288" spans="1:16">
      <c r="A288">
        <v>287</v>
      </c>
      <c r="B288" s="2">
        <v>40556</v>
      </c>
      <c r="C288">
        <v>1</v>
      </c>
      <c r="D288" t="s">
        <v>17</v>
      </c>
      <c r="E288" s="6" t="s">
        <v>18</v>
      </c>
      <c r="F288" s="151">
        <v>11.91666666666667</v>
      </c>
      <c r="G288" s="7" t="s">
        <v>36</v>
      </c>
      <c r="H288" s="7" t="s">
        <v>195</v>
      </c>
      <c r="I288" s="7" t="s">
        <v>38</v>
      </c>
      <c r="J288">
        <v>0.14000000000000001</v>
      </c>
      <c r="K288" s="148">
        <v>0.1212</v>
      </c>
      <c r="L288">
        <v>0.5</v>
      </c>
      <c r="M288" s="148">
        <v>0.32840000000000003</v>
      </c>
      <c r="N288">
        <v>2</v>
      </c>
      <c r="O288">
        <v>137</v>
      </c>
      <c r="P288">
        <v>139</v>
      </c>
    </row>
    <row r="289" spans="1:16">
      <c r="A289">
        <v>288</v>
      </c>
      <c r="B289" s="2">
        <v>40556</v>
      </c>
      <c r="C289">
        <v>1</v>
      </c>
      <c r="D289" t="s">
        <v>17</v>
      </c>
      <c r="E289" s="6" t="s">
        <v>18</v>
      </c>
      <c r="F289" s="151">
        <v>11.95833333333333</v>
      </c>
      <c r="G289" s="7" t="s">
        <v>36</v>
      </c>
      <c r="H289" s="7" t="s">
        <v>195</v>
      </c>
      <c r="I289" s="7" t="s">
        <v>39</v>
      </c>
      <c r="J289">
        <v>0.16</v>
      </c>
      <c r="K289" s="148">
        <v>0.13639999999999999</v>
      </c>
      <c r="L289">
        <v>0.5</v>
      </c>
      <c r="M289" s="148">
        <v>0.35820000000000002</v>
      </c>
      <c r="N289">
        <v>2</v>
      </c>
      <c r="O289">
        <v>36</v>
      </c>
      <c r="P289">
        <v>38</v>
      </c>
    </row>
    <row r="290" spans="1:16">
      <c r="A290">
        <v>289</v>
      </c>
      <c r="B290" s="2">
        <v>40556</v>
      </c>
      <c r="C290">
        <v>1</v>
      </c>
      <c r="D290" t="s">
        <v>17</v>
      </c>
      <c r="E290" s="6" t="s">
        <v>18</v>
      </c>
      <c r="F290" s="151">
        <v>12</v>
      </c>
      <c r="G290" s="7" t="s">
        <v>36</v>
      </c>
      <c r="H290" s="7" t="s">
        <v>195</v>
      </c>
      <c r="I290" s="7" t="s">
        <v>39</v>
      </c>
      <c r="J290">
        <v>0.2</v>
      </c>
      <c r="K290" s="148">
        <v>0.16669999999999999</v>
      </c>
      <c r="L290">
        <v>0.44</v>
      </c>
      <c r="M290" s="148">
        <v>0.44779999999999998</v>
      </c>
      <c r="N290">
        <v>4</v>
      </c>
      <c r="O290">
        <v>33</v>
      </c>
      <c r="P290">
        <v>37</v>
      </c>
    </row>
    <row r="291" spans="1:16">
      <c r="A291">
        <v>290</v>
      </c>
      <c r="B291" s="2">
        <v>40556</v>
      </c>
      <c r="C291">
        <v>1</v>
      </c>
      <c r="D291" t="s">
        <v>17</v>
      </c>
      <c r="E291" s="6" t="s">
        <v>18</v>
      </c>
      <c r="F291" s="151">
        <v>12.04166666666667</v>
      </c>
      <c r="G291" s="7" t="s">
        <v>36</v>
      </c>
      <c r="H291" s="7" t="s">
        <v>195</v>
      </c>
      <c r="I291" s="7" t="s">
        <v>38</v>
      </c>
      <c r="J291">
        <v>0.2</v>
      </c>
      <c r="K291" s="148">
        <v>0.16669999999999999</v>
      </c>
      <c r="L291">
        <v>0.44</v>
      </c>
      <c r="M291" s="148">
        <v>0.41789999999999999</v>
      </c>
      <c r="N291">
        <v>3</v>
      </c>
      <c r="O291">
        <v>49</v>
      </c>
      <c r="P291">
        <v>52</v>
      </c>
    </row>
    <row r="292" spans="1:16">
      <c r="A292">
        <v>291</v>
      </c>
      <c r="B292" s="2">
        <v>40556</v>
      </c>
      <c r="C292">
        <v>1</v>
      </c>
      <c r="D292" t="s">
        <v>17</v>
      </c>
      <c r="E292" s="6" t="s">
        <v>18</v>
      </c>
      <c r="F292" s="151">
        <v>12.08333333333333</v>
      </c>
      <c r="G292" s="7" t="s">
        <v>36</v>
      </c>
      <c r="H292" s="7" t="s">
        <v>195</v>
      </c>
      <c r="I292" s="7" t="s">
        <v>38</v>
      </c>
      <c r="J292">
        <v>0.22</v>
      </c>
      <c r="K292" s="148">
        <v>0.19700000000000001</v>
      </c>
      <c r="L292">
        <v>0.41</v>
      </c>
      <c r="M292" s="148">
        <v>0.44779999999999998</v>
      </c>
      <c r="N292">
        <v>2</v>
      </c>
      <c r="O292">
        <v>81</v>
      </c>
      <c r="P292">
        <v>83</v>
      </c>
    </row>
    <row r="293" spans="1:16">
      <c r="A293">
        <v>292</v>
      </c>
      <c r="B293" s="2">
        <v>40556</v>
      </c>
      <c r="C293">
        <v>1</v>
      </c>
      <c r="D293" t="s">
        <v>17</v>
      </c>
      <c r="E293" s="6" t="s">
        <v>18</v>
      </c>
      <c r="F293" s="151">
        <v>12.125</v>
      </c>
      <c r="G293" s="7" t="s">
        <v>36</v>
      </c>
      <c r="H293" s="7" t="s">
        <v>195</v>
      </c>
      <c r="I293" s="7" t="s">
        <v>38</v>
      </c>
      <c r="J293">
        <v>0.22</v>
      </c>
      <c r="K293" s="148">
        <v>0.19700000000000001</v>
      </c>
      <c r="L293">
        <v>0.41</v>
      </c>
      <c r="M293" s="148">
        <v>0.3881</v>
      </c>
      <c r="N293">
        <v>3</v>
      </c>
      <c r="O293">
        <v>39</v>
      </c>
      <c r="P293">
        <v>42</v>
      </c>
    </row>
    <row r="294" spans="1:16">
      <c r="A294">
        <v>293</v>
      </c>
      <c r="B294" s="2">
        <v>40556</v>
      </c>
      <c r="C294">
        <v>1</v>
      </c>
      <c r="D294" t="s">
        <v>17</v>
      </c>
      <c r="E294" s="6" t="s">
        <v>18</v>
      </c>
      <c r="F294" s="151">
        <v>12.16666666666667</v>
      </c>
      <c r="G294" s="7" t="s">
        <v>36</v>
      </c>
      <c r="H294" s="7" t="s">
        <v>195</v>
      </c>
      <c r="I294" s="7" t="s">
        <v>38</v>
      </c>
      <c r="J294">
        <v>0.24</v>
      </c>
      <c r="K294" s="148">
        <v>0.21210000000000001</v>
      </c>
      <c r="L294">
        <v>0.38</v>
      </c>
      <c r="M294" s="148">
        <v>0.29849999999999999</v>
      </c>
      <c r="N294">
        <v>5</v>
      </c>
      <c r="O294">
        <v>55</v>
      </c>
      <c r="P294">
        <v>60</v>
      </c>
    </row>
    <row r="295" spans="1:16">
      <c r="A295">
        <v>294</v>
      </c>
      <c r="B295" s="2">
        <v>40556</v>
      </c>
      <c r="C295">
        <v>1</v>
      </c>
      <c r="D295" t="s">
        <v>17</v>
      </c>
      <c r="E295" s="6" t="s">
        <v>18</v>
      </c>
      <c r="F295" s="151">
        <v>12.20833333333333</v>
      </c>
      <c r="G295" s="7" t="s">
        <v>36</v>
      </c>
      <c r="H295" s="7" t="s">
        <v>195</v>
      </c>
      <c r="I295" s="7" t="s">
        <v>38</v>
      </c>
      <c r="J295">
        <v>0.24</v>
      </c>
      <c r="K295" s="148">
        <v>0.21210000000000001</v>
      </c>
      <c r="L295">
        <v>0.38</v>
      </c>
      <c r="M295" s="148">
        <v>0.35820000000000002</v>
      </c>
      <c r="N295">
        <v>2</v>
      </c>
      <c r="O295">
        <v>76</v>
      </c>
      <c r="P295">
        <v>78</v>
      </c>
    </row>
    <row r="296" spans="1:16">
      <c r="A296">
        <v>295</v>
      </c>
      <c r="B296" s="2">
        <v>40556</v>
      </c>
      <c r="C296">
        <v>1</v>
      </c>
      <c r="D296" t="s">
        <v>17</v>
      </c>
      <c r="E296" s="6" t="s">
        <v>18</v>
      </c>
      <c r="F296" s="151">
        <v>12.25</v>
      </c>
      <c r="G296" s="7" t="s">
        <v>36</v>
      </c>
      <c r="H296" s="7" t="s">
        <v>195</v>
      </c>
      <c r="I296" s="7" t="s">
        <v>38</v>
      </c>
      <c r="J296">
        <v>0.2</v>
      </c>
      <c r="K296" s="148">
        <v>0.18179999999999999</v>
      </c>
      <c r="L296">
        <v>0.4</v>
      </c>
      <c r="M296" s="148">
        <v>0.28360000000000002</v>
      </c>
      <c r="N296">
        <v>4</v>
      </c>
      <c r="O296">
        <v>158</v>
      </c>
      <c r="P296">
        <v>162</v>
      </c>
    </row>
    <row r="297" spans="1:16">
      <c r="A297">
        <v>296</v>
      </c>
      <c r="B297" s="2">
        <v>40556</v>
      </c>
      <c r="C297">
        <v>1</v>
      </c>
      <c r="D297" t="s">
        <v>17</v>
      </c>
      <c r="E297" s="6" t="s">
        <v>18</v>
      </c>
      <c r="F297" s="151">
        <v>12.29166666666667</v>
      </c>
      <c r="G297" s="7" t="s">
        <v>36</v>
      </c>
      <c r="H297" s="7" t="s">
        <v>195</v>
      </c>
      <c r="I297" s="7" t="s">
        <v>38</v>
      </c>
      <c r="J297">
        <v>0.2</v>
      </c>
      <c r="K297" s="148">
        <v>0.18179999999999999</v>
      </c>
      <c r="L297">
        <v>0.4</v>
      </c>
      <c r="M297" s="148">
        <v>0.32840000000000003</v>
      </c>
      <c r="N297">
        <v>3</v>
      </c>
      <c r="O297">
        <v>141</v>
      </c>
      <c r="P297">
        <v>144</v>
      </c>
    </row>
    <row r="298" spans="1:16">
      <c r="A298">
        <v>297</v>
      </c>
      <c r="B298" s="2">
        <v>40556</v>
      </c>
      <c r="C298">
        <v>1</v>
      </c>
      <c r="D298" t="s">
        <v>17</v>
      </c>
      <c r="E298" s="6" t="s">
        <v>18</v>
      </c>
      <c r="F298" s="151">
        <v>12.33333333333333</v>
      </c>
      <c r="G298" s="7" t="s">
        <v>36</v>
      </c>
      <c r="H298" s="7" t="s">
        <v>195</v>
      </c>
      <c r="I298" s="7" t="s">
        <v>38</v>
      </c>
      <c r="J298">
        <v>0.16</v>
      </c>
      <c r="K298" s="148">
        <v>0.1515</v>
      </c>
      <c r="L298">
        <v>0.47</v>
      </c>
      <c r="M298" s="148">
        <v>0.25369999999999998</v>
      </c>
      <c r="N298">
        <v>1</v>
      </c>
      <c r="O298">
        <v>98</v>
      </c>
      <c r="P298">
        <v>99</v>
      </c>
    </row>
    <row r="299" spans="1:16">
      <c r="A299">
        <v>298</v>
      </c>
      <c r="B299" s="2">
        <v>40556</v>
      </c>
      <c r="C299">
        <v>1</v>
      </c>
      <c r="D299" t="s">
        <v>17</v>
      </c>
      <c r="E299" s="6" t="s">
        <v>18</v>
      </c>
      <c r="F299" s="151">
        <v>12.375</v>
      </c>
      <c r="G299" s="7" t="s">
        <v>36</v>
      </c>
      <c r="H299" s="7" t="s">
        <v>195</v>
      </c>
      <c r="I299" s="7" t="s">
        <v>38</v>
      </c>
      <c r="J299">
        <v>0.16</v>
      </c>
      <c r="K299" s="148">
        <v>0.1515</v>
      </c>
      <c r="L299">
        <v>0.47</v>
      </c>
      <c r="M299" s="148">
        <v>0.22389999999999999</v>
      </c>
      <c r="N299">
        <v>0</v>
      </c>
      <c r="O299">
        <v>64</v>
      </c>
      <c r="P299">
        <v>64</v>
      </c>
    </row>
    <row r="300" spans="1:16">
      <c r="A300">
        <v>299</v>
      </c>
      <c r="B300" s="2">
        <v>40556</v>
      </c>
      <c r="C300">
        <v>1</v>
      </c>
      <c r="D300" t="s">
        <v>17</v>
      </c>
      <c r="E300" s="6" t="s">
        <v>18</v>
      </c>
      <c r="F300" s="151">
        <v>12.41666666666667</v>
      </c>
      <c r="G300" s="7" t="s">
        <v>36</v>
      </c>
      <c r="H300" s="7" t="s">
        <v>195</v>
      </c>
      <c r="I300" s="7" t="s">
        <v>38</v>
      </c>
      <c r="J300">
        <v>0.14000000000000001</v>
      </c>
      <c r="K300" s="148">
        <v>0.1212</v>
      </c>
      <c r="L300">
        <v>0.46</v>
      </c>
      <c r="M300" s="148">
        <v>0.29849999999999999</v>
      </c>
      <c r="N300">
        <v>0</v>
      </c>
      <c r="O300">
        <v>40</v>
      </c>
      <c r="P300">
        <v>40</v>
      </c>
    </row>
    <row r="301" spans="1:16">
      <c r="A301">
        <v>300</v>
      </c>
      <c r="B301" s="2">
        <v>40556</v>
      </c>
      <c r="C301">
        <v>1</v>
      </c>
      <c r="D301" t="s">
        <v>17</v>
      </c>
      <c r="E301" s="6" t="s">
        <v>18</v>
      </c>
      <c r="F301" s="151">
        <v>12.45833333333333</v>
      </c>
      <c r="G301" s="7" t="s">
        <v>36</v>
      </c>
      <c r="H301" s="7" t="s">
        <v>195</v>
      </c>
      <c r="I301" s="7" t="s">
        <v>38</v>
      </c>
      <c r="J301">
        <v>0.14000000000000001</v>
      </c>
      <c r="K301" s="148">
        <v>0.1212</v>
      </c>
      <c r="L301">
        <v>0.46</v>
      </c>
      <c r="M301" s="148">
        <v>0.32840000000000003</v>
      </c>
      <c r="N301">
        <v>0</v>
      </c>
      <c r="O301">
        <v>30</v>
      </c>
      <c r="P301">
        <v>30</v>
      </c>
    </row>
    <row r="302" spans="1:16">
      <c r="A302">
        <v>301</v>
      </c>
      <c r="B302" s="2">
        <v>40556</v>
      </c>
      <c r="C302">
        <v>1</v>
      </c>
      <c r="D302" t="s">
        <v>17</v>
      </c>
      <c r="E302" s="6" t="s">
        <v>18</v>
      </c>
      <c r="F302" s="151">
        <v>12.5</v>
      </c>
      <c r="G302" s="7" t="s">
        <v>36</v>
      </c>
      <c r="H302" s="7" t="s">
        <v>195</v>
      </c>
      <c r="I302" s="7" t="s">
        <v>38</v>
      </c>
      <c r="J302">
        <v>0.12</v>
      </c>
      <c r="K302" s="148">
        <v>0.13639999999999999</v>
      </c>
      <c r="L302">
        <v>0.5</v>
      </c>
      <c r="M302" s="148">
        <v>0.19400000000000001</v>
      </c>
      <c r="N302">
        <v>1</v>
      </c>
      <c r="O302">
        <v>14</v>
      </c>
      <c r="P302">
        <v>15</v>
      </c>
    </row>
    <row r="303" spans="1:16">
      <c r="A303">
        <v>302</v>
      </c>
      <c r="B303" s="2">
        <v>40557</v>
      </c>
      <c r="C303">
        <v>1</v>
      </c>
      <c r="D303" t="s">
        <v>17</v>
      </c>
      <c r="E303" s="6" t="s">
        <v>18</v>
      </c>
      <c r="F303" s="151">
        <v>12.54166666666667</v>
      </c>
      <c r="G303" s="7" t="s">
        <v>36</v>
      </c>
      <c r="H303" s="7" t="s">
        <v>44</v>
      </c>
      <c r="I303" s="7" t="s">
        <v>38</v>
      </c>
      <c r="J303">
        <v>0.12</v>
      </c>
      <c r="K303" s="148">
        <v>0.13639999999999999</v>
      </c>
      <c r="L303">
        <v>0.5</v>
      </c>
      <c r="M303" s="148">
        <v>0.19400000000000001</v>
      </c>
      <c r="N303">
        <v>0</v>
      </c>
      <c r="O303">
        <v>14</v>
      </c>
      <c r="P303">
        <v>14</v>
      </c>
    </row>
    <row r="304" spans="1:16">
      <c r="A304">
        <v>303</v>
      </c>
      <c r="B304" s="2">
        <v>40557</v>
      </c>
      <c r="C304">
        <v>1</v>
      </c>
      <c r="D304" t="s">
        <v>17</v>
      </c>
      <c r="E304" s="6" t="s">
        <v>18</v>
      </c>
      <c r="F304" s="151">
        <v>12.58333333333333</v>
      </c>
      <c r="G304" s="7" t="s">
        <v>36</v>
      </c>
      <c r="H304" s="7" t="s">
        <v>44</v>
      </c>
      <c r="I304" s="7" t="s">
        <v>38</v>
      </c>
      <c r="J304">
        <v>0.1</v>
      </c>
      <c r="K304" s="148">
        <v>0.1212</v>
      </c>
      <c r="L304">
        <v>0.54</v>
      </c>
      <c r="M304" s="148">
        <v>0.16420000000000001</v>
      </c>
      <c r="N304">
        <v>0</v>
      </c>
      <c r="O304">
        <v>5</v>
      </c>
      <c r="P304">
        <v>5</v>
      </c>
    </row>
    <row r="305" spans="1:16">
      <c r="A305">
        <v>304</v>
      </c>
      <c r="B305" s="2">
        <v>40557</v>
      </c>
      <c r="C305">
        <v>1</v>
      </c>
      <c r="D305" t="s">
        <v>17</v>
      </c>
      <c r="E305" s="6" t="s">
        <v>18</v>
      </c>
      <c r="F305" s="151">
        <v>12.625</v>
      </c>
      <c r="G305" s="7" t="s">
        <v>36</v>
      </c>
      <c r="H305" s="7" t="s">
        <v>44</v>
      </c>
      <c r="I305" s="7" t="s">
        <v>38</v>
      </c>
      <c r="J305">
        <v>0.1</v>
      </c>
      <c r="K305" s="148">
        <v>0.1212</v>
      </c>
      <c r="L305">
        <v>0.54</v>
      </c>
      <c r="M305" s="148">
        <v>0.1343</v>
      </c>
      <c r="N305">
        <v>0</v>
      </c>
      <c r="O305">
        <v>1</v>
      </c>
      <c r="P305">
        <v>1</v>
      </c>
    </row>
    <row r="306" spans="1:16">
      <c r="A306">
        <v>305</v>
      </c>
      <c r="B306" s="2">
        <v>40557</v>
      </c>
      <c r="C306">
        <v>1</v>
      </c>
      <c r="D306" t="s">
        <v>17</v>
      </c>
      <c r="E306" s="6" t="s">
        <v>18</v>
      </c>
      <c r="F306" s="151">
        <v>12.66666666666667</v>
      </c>
      <c r="G306" s="7" t="s">
        <v>36</v>
      </c>
      <c r="H306" s="7" t="s">
        <v>44</v>
      </c>
      <c r="I306" s="7" t="s">
        <v>38</v>
      </c>
      <c r="J306">
        <v>0.1</v>
      </c>
      <c r="K306" s="148">
        <v>0.13639999999999999</v>
      </c>
      <c r="L306">
        <v>0.54</v>
      </c>
      <c r="M306" s="148">
        <v>0.1045</v>
      </c>
      <c r="N306">
        <v>0</v>
      </c>
      <c r="O306">
        <v>1</v>
      </c>
      <c r="P306">
        <v>1</v>
      </c>
    </row>
    <row r="307" spans="1:16">
      <c r="A307">
        <v>306</v>
      </c>
      <c r="B307" s="2">
        <v>40557</v>
      </c>
      <c r="C307">
        <v>1</v>
      </c>
      <c r="D307" t="s">
        <v>17</v>
      </c>
      <c r="E307" s="6" t="s">
        <v>18</v>
      </c>
      <c r="F307" s="151">
        <v>12.70833333333333</v>
      </c>
      <c r="G307" s="7" t="s">
        <v>36</v>
      </c>
      <c r="H307" s="7" t="s">
        <v>44</v>
      </c>
      <c r="I307" s="7" t="s">
        <v>38</v>
      </c>
      <c r="J307">
        <v>0.1</v>
      </c>
      <c r="K307" s="148">
        <v>0.13639999999999999</v>
      </c>
      <c r="L307">
        <v>0.54</v>
      </c>
      <c r="M307" s="148">
        <v>8.9599999999999999E-2</v>
      </c>
      <c r="N307">
        <v>0</v>
      </c>
      <c r="O307">
        <v>8</v>
      </c>
      <c r="P307">
        <v>8</v>
      </c>
    </row>
    <row r="308" spans="1:16">
      <c r="A308">
        <v>307</v>
      </c>
      <c r="B308" s="2">
        <v>40557</v>
      </c>
      <c r="C308">
        <v>1</v>
      </c>
      <c r="D308" t="s">
        <v>17</v>
      </c>
      <c r="E308" s="6" t="s">
        <v>18</v>
      </c>
      <c r="F308" s="151">
        <v>12.75</v>
      </c>
      <c r="G308" s="7" t="s">
        <v>36</v>
      </c>
      <c r="H308" s="7" t="s">
        <v>44</v>
      </c>
      <c r="I308" s="7" t="s">
        <v>38</v>
      </c>
      <c r="J308">
        <v>0.1</v>
      </c>
      <c r="K308" s="148">
        <v>0.18179999999999999</v>
      </c>
      <c r="L308">
        <v>0.54</v>
      </c>
      <c r="M308" s="148">
        <v>0</v>
      </c>
      <c r="N308">
        <v>0</v>
      </c>
      <c r="O308">
        <v>17</v>
      </c>
      <c r="P308">
        <v>17</v>
      </c>
    </row>
    <row r="309" spans="1:16">
      <c r="A309">
        <v>308</v>
      </c>
      <c r="B309" s="2">
        <v>40557</v>
      </c>
      <c r="C309">
        <v>1</v>
      </c>
      <c r="D309" t="s">
        <v>17</v>
      </c>
      <c r="E309" s="6" t="s">
        <v>18</v>
      </c>
      <c r="F309" s="151">
        <v>12.79166666666667</v>
      </c>
      <c r="G309" s="7" t="s">
        <v>36</v>
      </c>
      <c r="H309" s="7" t="s">
        <v>44</v>
      </c>
      <c r="I309" s="7" t="s">
        <v>38</v>
      </c>
      <c r="J309">
        <v>0.1</v>
      </c>
      <c r="K309" s="148">
        <v>0.1212</v>
      </c>
      <c r="L309">
        <v>0.74</v>
      </c>
      <c r="M309" s="148">
        <v>0.16420000000000001</v>
      </c>
      <c r="N309">
        <v>0</v>
      </c>
      <c r="O309">
        <v>70</v>
      </c>
      <c r="P309">
        <v>70</v>
      </c>
    </row>
    <row r="310" spans="1:16">
      <c r="A310">
        <v>309</v>
      </c>
      <c r="B310" s="2">
        <v>40557</v>
      </c>
      <c r="C310">
        <v>1</v>
      </c>
      <c r="D310" t="s">
        <v>17</v>
      </c>
      <c r="E310" s="6" t="s">
        <v>18</v>
      </c>
      <c r="F310" s="151">
        <v>12.83333333333333</v>
      </c>
      <c r="G310" s="7" t="s">
        <v>36</v>
      </c>
      <c r="H310" s="7" t="s">
        <v>44</v>
      </c>
      <c r="I310" s="7" t="s">
        <v>38</v>
      </c>
      <c r="J310">
        <v>0.12</v>
      </c>
      <c r="K310" s="148">
        <v>0.16669999999999999</v>
      </c>
      <c r="L310">
        <v>0.68</v>
      </c>
      <c r="M310" s="148">
        <v>0</v>
      </c>
      <c r="N310">
        <v>2</v>
      </c>
      <c r="O310">
        <v>156</v>
      </c>
      <c r="P310">
        <v>158</v>
      </c>
    </row>
    <row r="311" spans="1:16">
      <c r="A311">
        <v>310</v>
      </c>
      <c r="B311" s="2">
        <v>40557</v>
      </c>
      <c r="C311">
        <v>1</v>
      </c>
      <c r="D311" t="s">
        <v>17</v>
      </c>
      <c r="E311" s="6" t="s">
        <v>18</v>
      </c>
      <c r="F311" s="151">
        <v>12.875</v>
      </c>
      <c r="G311" s="7" t="s">
        <v>36</v>
      </c>
      <c r="H311" s="7" t="s">
        <v>44</v>
      </c>
      <c r="I311" s="7" t="s">
        <v>38</v>
      </c>
      <c r="J311">
        <v>0.14000000000000001</v>
      </c>
      <c r="K311" s="148">
        <v>0.1515</v>
      </c>
      <c r="L311">
        <v>0.69</v>
      </c>
      <c r="M311" s="148">
        <v>0.1343</v>
      </c>
      <c r="N311">
        <v>0</v>
      </c>
      <c r="O311">
        <v>117</v>
      </c>
      <c r="P311">
        <v>117</v>
      </c>
    </row>
    <row r="312" spans="1:16">
      <c r="A312">
        <v>311</v>
      </c>
      <c r="B312" s="2">
        <v>40557</v>
      </c>
      <c r="C312">
        <v>1</v>
      </c>
      <c r="D312" t="s">
        <v>17</v>
      </c>
      <c r="E312" s="6" t="s">
        <v>18</v>
      </c>
      <c r="F312" s="151">
        <v>12.91666666666667</v>
      </c>
      <c r="G312" s="7" t="s">
        <v>36</v>
      </c>
      <c r="H312" s="7" t="s">
        <v>44</v>
      </c>
      <c r="I312" s="7" t="s">
        <v>38</v>
      </c>
      <c r="J312">
        <v>0.18</v>
      </c>
      <c r="K312" s="148">
        <v>0.18179999999999999</v>
      </c>
      <c r="L312">
        <v>0.55000000000000004</v>
      </c>
      <c r="M312" s="148">
        <v>0.19400000000000001</v>
      </c>
      <c r="N312">
        <v>4</v>
      </c>
      <c r="O312">
        <v>40</v>
      </c>
      <c r="P312">
        <v>44</v>
      </c>
    </row>
    <row r="313" spans="1:16">
      <c r="A313">
        <v>312</v>
      </c>
      <c r="B313" s="2">
        <v>40557</v>
      </c>
      <c r="C313">
        <v>1</v>
      </c>
      <c r="D313" t="s">
        <v>17</v>
      </c>
      <c r="E313" s="6" t="s">
        <v>18</v>
      </c>
      <c r="F313" s="151">
        <v>12.95833333333333</v>
      </c>
      <c r="G313" s="7" t="s">
        <v>36</v>
      </c>
      <c r="H313" s="7" t="s">
        <v>44</v>
      </c>
      <c r="I313" s="7" t="s">
        <v>38</v>
      </c>
      <c r="J313">
        <v>0.18</v>
      </c>
      <c r="K313" s="148">
        <v>0.16669999999999999</v>
      </c>
      <c r="L313">
        <v>0.51</v>
      </c>
      <c r="M313" s="148">
        <v>0.28360000000000002</v>
      </c>
      <c r="N313">
        <v>6</v>
      </c>
      <c r="O313">
        <v>47</v>
      </c>
      <c r="P313">
        <v>53</v>
      </c>
    </row>
    <row r="314" spans="1:16">
      <c r="A314">
        <v>313</v>
      </c>
      <c r="B314" s="2">
        <v>40557</v>
      </c>
      <c r="C314">
        <v>1</v>
      </c>
      <c r="D314" t="s">
        <v>17</v>
      </c>
      <c r="E314" s="6" t="s">
        <v>18</v>
      </c>
      <c r="F314" s="151">
        <v>13</v>
      </c>
      <c r="G314" s="7" t="s">
        <v>36</v>
      </c>
      <c r="H314" s="7" t="s">
        <v>44</v>
      </c>
      <c r="I314" s="7" t="s">
        <v>38</v>
      </c>
      <c r="J314">
        <v>0.2</v>
      </c>
      <c r="K314" s="148">
        <v>0.19700000000000001</v>
      </c>
      <c r="L314">
        <v>0.44</v>
      </c>
      <c r="M314" s="148">
        <v>0.25369999999999998</v>
      </c>
      <c r="N314">
        <v>2</v>
      </c>
      <c r="O314">
        <v>59</v>
      </c>
      <c r="P314">
        <v>61</v>
      </c>
    </row>
    <row r="315" spans="1:16">
      <c r="A315">
        <v>314</v>
      </c>
      <c r="B315" s="2">
        <v>40557</v>
      </c>
      <c r="C315">
        <v>1</v>
      </c>
      <c r="D315" t="s">
        <v>17</v>
      </c>
      <c r="E315" s="6" t="s">
        <v>18</v>
      </c>
      <c r="F315" s="151">
        <v>13.04166666666667</v>
      </c>
      <c r="G315" s="7" t="s">
        <v>36</v>
      </c>
      <c r="H315" s="7" t="s">
        <v>44</v>
      </c>
      <c r="I315" s="7" t="s">
        <v>38</v>
      </c>
      <c r="J315">
        <v>0.22</v>
      </c>
      <c r="K315" s="148">
        <v>0.19700000000000001</v>
      </c>
      <c r="L315">
        <v>0.37</v>
      </c>
      <c r="M315" s="148">
        <v>0.3881</v>
      </c>
      <c r="N315">
        <v>4</v>
      </c>
      <c r="O315">
        <v>73</v>
      </c>
      <c r="P315">
        <v>77</v>
      </c>
    </row>
    <row r="316" spans="1:16">
      <c r="A316">
        <v>315</v>
      </c>
      <c r="B316" s="2">
        <v>40557</v>
      </c>
      <c r="C316">
        <v>1</v>
      </c>
      <c r="D316" t="s">
        <v>17</v>
      </c>
      <c r="E316" s="6" t="s">
        <v>18</v>
      </c>
      <c r="F316" s="151">
        <v>13.08333333333333</v>
      </c>
      <c r="G316" s="7" t="s">
        <v>36</v>
      </c>
      <c r="H316" s="7" t="s">
        <v>44</v>
      </c>
      <c r="I316" s="7" t="s">
        <v>38</v>
      </c>
      <c r="J316">
        <v>0.22</v>
      </c>
      <c r="K316" s="148">
        <v>0.21210000000000001</v>
      </c>
      <c r="L316">
        <v>0.41</v>
      </c>
      <c r="M316" s="148">
        <v>0.28360000000000002</v>
      </c>
      <c r="N316">
        <v>5</v>
      </c>
      <c r="O316">
        <v>59</v>
      </c>
      <c r="P316">
        <v>64</v>
      </c>
    </row>
    <row r="317" spans="1:16">
      <c r="A317">
        <v>316</v>
      </c>
      <c r="B317" s="2">
        <v>40557</v>
      </c>
      <c r="C317">
        <v>1</v>
      </c>
      <c r="D317" t="s">
        <v>17</v>
      </c>
      <c r="E317" s="6" t="s">
        <v>18</v>
      </c>
      <c r="F317" s="151">
        <v>13.125</v>
      </c>
      <c r="G317" s="7" t="s">
        <v>36</v>
      </c>
      <c r="H317" s="7" t="s">
        <v>44</v>
      </c>
      <c r="I317" s="7" t="s">
        <v>38</v>
      </c>
      <c r="J317">
        <v>0.24</v>
      </c>
      <c r="K317" s="148">
        <v>0.2424</v>
      </c>
      <c r="L317">
        <v>0.38</v>
      </c>
      <c r="M317" s="148">
        <v>0.16420000000000001</v>
      </c>
      <c r="N317">
        <v>9</v>
      </c>
      <c r="O317">
        <v>59</v>
      </c>
      <c r="P317">
        <v>68</v>
      </c>
    </row>
    <row r="318" spans="1:16">
      <c r="A318">
        <v>317</v>
      </c>
      <c r="B318" s="2">
        <v>40557</v>
      </c>
      <c r="C318">
        <v>1</v>
      </c>
      <c r="D318" t="s">
        <v>17</v>
      </c>
      <c r="E318" s="6" t="s">
        <v>18</v>
      </c>
      <c r="F318" s="151">
        <v>13.16666666666667</v>
      </c>
      <c r="G318" s="7" t="s">
        <v>36</v>
      </c>
      <c r="H318" s="7" t="s">
        <v>44</v>
      </c>
      <c r="I318" s="7" t="s">
        <v>38</v>
      </c>
      <c r="J318">
        <v>0.22</v>
      </c>
      <c r="K318" s="148">
        <v>0.2424</v>
      </c>
      <c r="L318">
        <v>0.41</v>
      </c>
      <c r="M318" s="148">
        <v>0.1045</v>
      </c>
      <c r="N318">
        <v>3</v>
      </c>
      <c r="O318">
        <v>87</v>
      </c>
      <c r="P318">
        <v>90</v>
      </c>
    </row>
    <row r="319" spans="1:16">
      <c r="A319">
        <v>318</v>
      </c>
      <c r="B319" s="2">
        <v>40557</v>
      </c>
      <c r="C319">
        <v>1</v>
      </c>
      <c r="D319" t="s">
        <v>17</v>
      </c>
      <c r="E319" s="6" t="s">
        <v>18</v>
      </c>
      <c r="F319" s="151">
        <v>13.20833333333333</v>
      </c>
      <c r="G319" s="7" t="s">
        <v>36</v>
      </c>
      <c r="H319" s="7" t="s">
        <v>44</v>
      </c>
      <c r="I319" s="7" t="s">
        <v>38</v>
      </c>
      <c r="J319">
        <v>0.22</v>
      </c>
      <c r="K319" s="148">
        <v>0.2273</v>
      </c>
      <c r="L319">
        <v>0.41</v>
      </c>
      <c r="M319" s="148">
        <v>0.16420000000000001</v>
      </c>
      <c r="N319">
        <v>4</v>
      </c>
      <c r="O319">
        <v>155</v>
      </c>
      <c r="P319">
        <v>159</v>
      </c>
    </row>
    <row r="320" spans="1:16">
      <c r="A320">
        <v>319</v>
      </c>
      <c r="B320" s="2">
        <v>40557</v>
      </c>
      <c r="C320">
        <v>1</v>
      </c>
      <c r="D320" t="s">
        <v>17</v>
      </c>
      <c r="E320" s="6" t="s">
        <v>18</v>
      </c>
      <c r="F320" s="151">
        <v>13.25</v>
      </c>
      <c r="G320" s="7" t="s">
        <v>36</v>
      </c>
      <c r="H320" s="7" t="s">
        <v>44</v>
      </c>
      <c r="I320" s="7" t="s">
        <v>38</v>
      </c>
      <c r="J320">
        <v>0.2</v>
      </c>
      <c r="K320" s="148">
        <v>0.2576</v>
      </c>
      <c r="L320">
        <v>0.47</v>
      </c>
      <c r="M320" s="148">
        <v>0</v>
      </c>
      <c r="N320">
        <v>5</v>
      </c>
      <c r="O320">
        <v>134</v>
      </c>
      <c r="P320">
        <v>139</v>
      </c>
    </row>
    <row r="321" spans="1:16">
      <c r="A321">
        <v>320</v>
      </c>
      <c r="B321" s="2">
        <v>40557</v>
      </c>
      <c r="C321">
        <v>1</v>
      </c>
      <c r="D321" t="s">
        <v>17</v>
      </c>
      <c r="E321" s="6" t="s">
        <v>18</v>
      </c>
      <c r="F321" s="151">
        <v>13.29166666666667</v>
      </c>
      <c r="G321" s="7" t="s">
        <v>36</v>
      </c>
      <c r="H321" s="7" t="s">
        <v>44</v>
      </c>
      <c r="I321" s="7" t="s">
        <v>38</v>
      </c>
      <c r="J321">
        <v>0.16</v>
      </c>
      <c r="K321" s="148">
        <v>0.19700000000000001</v>
      </c>
      <c r="L321">
        <v>0.59</v>
      </c>
      <c r="M321" s="148">
        <v>8.9599999999999999E-2</v>
      </c>
      <c r="N321">
        <v>3</v>
      </c>
      <c r="O321">
        <v>89</v>
      </c>
      <c r="P321">
        <v>92</v>
      </c>
    </row>
    <row r="322" spans="1:16">
      <c r="A322">
        <v>321</v>
      </c>
      <c r="B322" s="2">
        <v>40557</v>
      </c>
      <c r="C322">
        <v>1</v>
      </c>
      <c r="D322" t="s">
        <v>17</v>
      </c>
      <c r="E322" s="6" t="s">
        <v>18</v>
      </c>
      <c r="F322" s="151">
        <v>13.33333333333333</v>
      </c>
      <c r="G322" s="7" t="s">
        <v>36</v>
      </c>
      <c r="H322" s="7" t="s">
        <v>44</v>
      </c>
      <c r="I322" s="7" t="s">
        <v>38</v>
      </c>
      <c r="J322">
        <v>0.18</v>
      </c>
      <c r="K322" s="148">
        <v>0.2424</v>
      </c>
      <c r="L322">
        <v>0.59</v>
      </c>
      <c r="M322" s="148">
        <v>0</v>
      </c>
      <c r="N322">
        <v>0</v>
      </c>
      <c r="O322">
        <v>68</v>
      </c>
      <c r="P322">
        <v>68</v>
      </c>
    </row>
    <row r="323" spans="1:16">
      <c r="A323">
        <v>322</v>
      </c>
      <c r="B323" s="2">
        <v>40557</v>
      </c>
      <c r="C323">
        <v>1</v>
      </c>
      <c r="D323" t="s">
        <v>17</v>
      </c>
      <c r="E323" s="6" t="s">
        <v>18</v>
      </c>
      <c r="F323" s="151">
        <v>13.375</v>
      </c>
      <c r="G323" s="7" t="s">
        <v>36</v>
      </c>
      <c r="H323" s="7" t="s">
        <v>44</v>
      </c>
      <c r="I323" s="7" t="s">
        <v>38</v>
      </c>
      <c r="J323">
        <v>0.16</v>
      </c>
      <c r="K323" s="148">
        <v>0.2273</v>
      </c>
      <c r="L323">
        <v>0.69</v>
      </c>
      <c r="M323" s="148">
        <v>0</v>
      </c>
      <c r="N323">
        <v>4</v>
      </c>
      <c r="O323">
        <v>48</v>
      </c>
      <c r="P323">
        <v>52</v>
      </c>
    </row>
    <row r="324" spans="1:16">
      <c r="A324">
        <v>323</v>
      </c>
      <c r="B324" s="2">
        <v>40557</v>
      </c>
      <c r="C324">
        <v>1</v>
      </c>
      <c r="D324" t="s">
        <v>17</v>
      </c>
      <c r="E324" s="6" t="s">
        <v>18</v>
      </c>
      <c r="F324" s="151">
        <v>13.41666666666667</v>
      </c>
      <c r="G324" s="7" t="s">
        <v>36</v>
      </c>
      <c r="H324" s="7" t="s">
        <v>44</v>
      </c>
      <c r="I324" s="7" t="s">
        <v>39</v>
      </c>
      <c r="J324">
        <v>0.16</v>
      </c>
      <c r="K324" s="148">
        <v>0.2273</v>
      </c>
      <c r="L324">
        <v>0.69</v>
      </c>
      <c r="M324" s="148">
        <v>0</v>
      </c>
      <c r="N324">
        <v>2</v>
      </c>
      <c r="O324">
        <v>34</v>
      </c>
      <c r="P324">
        <v>36</v>
      </c>
    </row>
    <row r="325" spans="1:16">
      <c r="A325">
        <v>324</v>
      </c>
      <c r="B325" s="2">
        <v>40557</v>
      </c>
      <c r="C325">
        <v>1</v>
      </c>
      <c r="D325" t="s">
        <v>17</v>
      </c>
      <c r="E325" s="6" t="s">
        <v>18</v>
      </c>
      <c r="F325" s="151">
        <v>13.45833333333333</v>
      </c>
      <c r="G325" s="7" t="s">
        <v>36</v>
      </c>
      <c r="H325" s="7" t="s">
        <v>44</v>
      </c>
      <c r="I325" s="7" t="s">
        <v>39</v>
      </c>
      <c r="J325">
        <v>0.18</v>
      </c>
      <c r="K325" s="148">
        <v>0.2424</v>
      </c>
      <c r="L325">
        <v>0.55000000000000004</v>
      </c>
      <c r="M325" s="148">
        <v>0</v>
      </c>
      <c r="N325">
        <v>1</v>
      </c>
      <c r="O325">
        <v>26</v>
      </c>
      <c r="P325">
        <v>27</v>
      </c>
    </row>
    <row r="326" spans="1:16">
      <c r="A326">
        <v>325</v>
      </c>
      <c r="B326" s="2">
        <v>40558</v>
      </c>
      <c r="C326">
        <v>1</v>
      </c>
      <c r="D326" t="s">
        <v>17</v>
      </c>
      <c r="E326" s="6" t="s">
        <v>18</v>
      </c>
      <c r="F326" s="151">
        <v>13.5</v>
      </c>
      <c r="G326" s="7" t="s">
        <v>36</v>
      </c>
      <c r="H326" s="7" t="s">
        <v>37</v>
      </c>
      <c r="I326" s="7" t="s">
        <v>38</v>
      </c>
      <c r="J326">
        <v>0.18</v>
      </c>
      <c r="K326" s="148">
        <v>0.2424</v>
      </c>
      <c r="L326">
        <v>0.55000000000000004</v>
      </c>
      <c r="M326" s="148">
        <v>0</v>
      </c>
      <c r="N326">
        <v>3</v>
      </c>
      <c r="O326">
        <v>25</v>
      </c>
      <c r="P326">
        <v>28</v>
      </c>
    </row>
    <row r="327" spans="1:16">
      <c r="A327">
        <v>326</v>
      </c>
      <c r="B327" s="2">
        <v>40558</v>
      </c>
      <c r="C327">
        <v>1</v>
      </c>
      <c r="D327" t="s">
        <v>17</v>
      </c>
      <c r="E327" s="6" t="s">
        <v>18</v>
      </c>
      <c r="F327" s="151">
        <v>13.54166666666667</v>
      </c>
      <c r="G327" s="7" t="s">
        <v>36</v>
      </c>
      <c r="H327" s="7" t="s">
        <v>37</v>
      </c>
      <c r="I327" s="7" t="s">
        <v>39</v>
      </c>
      <c r="J327">
        <v>0.16</v>
      </c>
      <c r="K327" s="148">
        <v>0.19700000000000001</v>
      </c>
      <c r="L327">
        <v>0.59</v>
      </c>
      <c r="M327" s="148">
        <v>8.9599999999999999E-2</v>
      </c>
      <c r="N327">
        <v>2</v>
      </c>
      <c r="O327">
        <v>18</v>
      </c>
      <c r="P327">
        <v>20</v>
      </c>
    </row>
    <row r="328" spans="1:16">
      <c r="A328">
        <v>327</v>
      </c>
      <c r="B328" s="2">
        <v>40558</v>
      </c>
      <c r="C328">
        <v>1</v>
      </c>
      <c r="D328" t="s">
        <v>17</v>
      </c>
      <c r="E328" s="6" t="s">
        <v>18</v>
      </c>
      <c r="F328" s="151">
        <v>13.58333333333333</v>
      </c>
      <c r="G328" s="7" t="s">
        <v>36</v>
      </c>
      <c r="H328" s="7" t="s">
        <v>37</v>
      </c>
      <c r="I328" s="7" t="s">
        <v>39</v>
      </c>
      <c r="J328">
        <v>0.16</v>
      </c>
      <c r="K328" s="148">
        <v>0.19700000000000001</v>
      </c>
      <c r="L328">
        <v>0.59</v>
      </c>
      <c r="M328" s="148">
        <v>8.9599999999999999E-2</v>
      </c>
      <c r="N328">
        <v>0</v>
      </c>
      <c r="O328">
        <v>12</v>
      </c>
      <c r="P328">
        <v>12</v>
      </c>
    </row>
    <row r="329" spans="1:16">
      <c r="A329">
        <v>328</v>
      </c>
      <c r="B329" s="2">
        <v>40558</v>
      </c>
      <c r="C329">
        <v>1</v>
      </c>
      <c r="D329" t="s">
        <v>17</v>
      </c>
      <c r="E329" s="6" t="s">
        <v>18</v>
      </c>
      <c r="F329" s="151">
        <v>13.625</v>
      </c>
      <c r="G329" s="7" t="s">
        <v>36</v>
      </c>
      <c r="H329" s="7" t="s">
        <v>37</v>
      </c>
      <c r="I329" s="7" t="s">
        <v>39</v>
      </c>
      <c r="J329">
        <v>0.16</v>
      </c>
      <c r="K329" s="148">
        <v>0.2273</v>
      </c>
      <c r="L329">
        <v>0.59</v>
      </c>
      <c r="M329" s="148">
        <v>0</v>
      </c>
      <c r="N329">
        <v>1</v>
      </c>
      <c r="O329">
        <v>7</v>
      </c>
      <c r="P329">
        <v>8</v>
      </c>
    </row>
    <row r="330" spans="1:16">
      <c r="A330">
        <v>329</v>
      </c>
      <c r="B330" s="2">
        <v>40558</v>
      </c>
      <c r="C330">
        <v>1</v>
      </c>
      <c r="D330" t="s">
        <v>17</v>
      </c>
      <c r="E330" s="6" t="s">
        <v>18</v>
      </c>
      <c r="F330" s="151">
        <v>13.66666666666667</v>
      </c>
      <c r="G330" s="7" t="s">
        <v>36</v>
      </c>
      <c r="H330" s="7" t="s">
        <v>37</v>
      </c>
      <c r="I330" s="7" t="s">
        <v>39</v>
      </c>
      <c r="J330">
        <v>0.16</v>
      </c>
      <c r="K330" s="148">
        <v>0.2273</v>
      </c>
      <c r="L330">
        <v>0.59</v>
      </c>
      <c r="M330" s="148">
        <v>0</v>
      </c>
      <c r="N330">
        <v>0</v>
      </c>
      <c r="O330">
        <v>5</v>
      </c>
      <c r="P330">
        <v>5</v>
      </c>
    </row>
    <row r="331" spans="1:16">
      <c r="A331">
        <v>330</v>
      </c>
      <c r="B331" s="2">
        <v>40558</v>
      </c>
      <c r="C331">
        <v>1</v>
      </c>
      <c r="D331" t="s">
        <v>17</v>
      </c>
      <c r="E331" s="6" t="s">
        <v>18</v>
      </c>
      <c r="F331" s="151">
        <v>13.70833333333333</v>
      </c>
      <c r="G331" s="7" t="s">
        <v>36</v>
      </c>
      <c r="H331" s="7" t="s">
        <v>37</v>
      </c>
      <c r="I331" s="7" t="s">
        <v>38</v>
      </c>
      <c r="J331">
        <v>0.16</v>
      </c>
      <c r="K331" s="148">
        <v>0.2273</v>
      </c>
      <c r="L331">
        <v>0.59</v>
      </c>
      <c r="M331" s="148">
        <v>0</v>
      </c>
      <c r="N331">
        <v>0</v>
      </c>
      <c r="O331">
        <v>1</v>
      </c>
      <c r="P331">
        <v>1</v>
      </c>
    </row>
    <row r="332" spans="1:16">
      <c r="A332">
        <v>331</v>
      </c>
      <c r="B332" s="2">
        <v>40558</v>
      </c>
      <c r="C332">
        <v>1</v>
      </c>
      <c r="D332" t="s">
        <v>17</v>
      </c>
      <c r="E332" s="6" t="s">
        <v>18</v>
      </c>
      <c r="F332" s="151">
        <v>13.75</v>
      </c>
      <c r="G332" s="7" t="s">
        <v>36</v>
      </c>
      <c r="H332" s="7" t="s">
        <v>37</v>
      </c>
      <c r="I332" s="7" t="s">
        <v>38</v>
      </c>
      <c r="J332">
        <v>0.14000000000000001</v>
      </c>
      <c r="K332" s="148">
        <v>0.16669999999999999</v>
      </c>
      <c r="L332">
        <v>0.63</v>
      </c>
      <c r="M332" s="148">
        <v>0.1045</v>
      </c>
      <c r="N332">
        <v>1</v>
      </c>
      <c r="O332">
        <v>2</v>
      </c>
      <c r="P332">
        <v>3</v>
      </c>
    </row>
    <row r="333" spans="1:16">
      <c r="A333">
        <v>332</v>
      </c>
      <c r="B333" s="2">
        <v>40558</v>
      </c>
      <c r="C333">
        <v>1</v>
      </c>
      <c r="D333" t="s">
        <v>17</v>
      </c>
      <c r="E333" s="6" t="s">
        <v>18</v>
      </c>
      <c r="F333" s="151">
        <v>13.79166666666667</v>
      </c>
      <c r="G333" s="7" t="s">
        <v>36</v>
      </c>
      <c r="H333" s="7" t="s">
        <v>37</v>
      </c>
      <c r="I333" s="7" t="s">
        <v>38</v>
      </c>
      <c r="J333">
        <v>0.14000000000000001</v>
      </c>
      <c r="K333" s="148">
        <v>0.21210000000000001</v>
      </c>
      <c r="L333">
        <v>0.63</v>
      </c>
      <c r="M333" s="148">
        <v>0</v>
      </c>
      <c r="N333">
        <v>1</v>
      </c>
      <c r="O333">
        <v>9</v>
      </c>
      <c r="P333">
        <v>10</v>
      </c>
    </row>
    <row r="334" spans="1:16">
      <c r="A334">
        <v>333</v>
      </c>
      <c r="B334" s="2">
        <v>40558</v>
      </c>
      <c r="C334">
        <v>1</v>
      </c>
      <c r="D334" t="s">
        <v>17</v>
      </c>
      <c r="E334" s="6" t="s">
        <v>18</v>
      </c>
      <c r="F334" s="151">
        <v>13.83333333333333</v>
      </c>
      <c r="G334" s="7" t="s">
        <v>36</v>
      </c>
      <c r="H334" s="7" t="s">
        <v>37</v>
      </c>
      <c r="I334" s="7" t="s">
        <v>38</v>
      </c>
      <c r="J334">
        <v>0.14000000000000001</v>
      </c>
      <c r="K334" s="148">
        <v>0.1515</v>
      </c>
      <c r="L334">
        <v>0.63</v>
      </c>
      <c r="M334" s="148">
        <v>0.1343</v>
      </c>
      <c r="N334">
        <v>1</v>
      </c>
      <c r="O334">
        <v>22</v>
      </c>
      <c r="P334">
        <v>23</v>
      </c>
    </row>
    <row r="335" spans="1:16">
      <c r="A335">
        <v>334</v>
      </c>
      <c r="B335" s="2">
        <v>40558</v>
      </c>
      <c r="C335">
        <v>1</v>
      </c>
      <c r="D335" t="s">
        <v>17</v>
      </c>
      <c r="E335" s="6" t="s">
        <v>18</v>
      </c>
      <c r="F335" s="151">
        <v>13.875</v>
      </c>
      <c r="G335" s="7" t="s">
        <v>36</v>
      </c>
      <c r="H335" s="7" t="s">
        <v>37</v>
      </c>
      <c r="I335" s="7" t="s">
        <v>38</v>
      </c>
      <c r="J335">
        <v>0.16</v>
      </c>
      <c r="K335" s="148">
        <v>0.18179999999999999</v>
      </c>
      <c r="L335">
        <v>0.64</v>
      </c>
      <c r="M335" s="148">
        <v>0.1343</v>
      </c>
      <c r="N335">
        <v>2</v>
      </c>
      <c r="O335">
        <v>31</v>
      </c>
      <c r="P335">
        <v>33</v>
      </c>
    </row>
    <row r="336" spans="1:16">
      <c r="A336">
        <v>335</v>
      </c>
      <c r="B336" s="2">
        <v>40558</v>
      </c>
      <c r="C336">
        <v>1</v>
      </c>
      <c r="D336" t="s">
        <v>17</v>
      </c>
      <c r="E336" s="6" t="s">
        <v>18</v>
      </c>
      <c r="F336" s="151">
        <v>13.91666666666667</v>
      </c>
      <c r="G336" s="7" t="s">
        <v>36</v>
      </c>
      <c r="H336" s="7" t="s">
        <v>37</v>
      </c>
      <c r="I336" s="7" t="s">
        <v>38</v>
      </c>
      <c r="J336">
        <v>0.18</v>
      </c>
      <c r="K336" s="148">
        <v>0.19700000000000001</v>
      </c>
      <c r="L336">
        <v>0.59</v>
      </c>
      <c r="M336" s="148">
        <v>0.16420000000000001</v>
      </c>
      <c r="N336">
        <v>2</v>
      </c>
      <c r="O336">
        <v>57</v>
      </c>
      <c r="P336">
        <v>59</v>
      </c>
    </row>
    <row r="337" spans="1:16">
      <c r="A337">
        <v>336</v>
      </c>
      <c r="B337" s="2">
        <v>40558</v>
      </c>
      <c r="C337">
        <v>1</v>
      </c>
      <c r="D337" t="s">
        <v>17</v>
      </c>
      <c r="E337" s="6" t="s">
        <v>18</v>
      </c>
      <c r="F337" s="151">
        <v>13.95833333333333</v>
      </c>
      <c r="G337" s="7" t="s">
        <v>36</v>
      </c>
      <c r="H337" s="7" t="s">
        <v>37</v>
      </c>
      <c r="I337" s="7" t="s">
        <v>38</v>
      </c>
      <c r="J337">
        <v>0.2</v>
      </c>
      <c r="K337" s="148">
        <v>0.19700000000000001</v>
      </c>
      <c r="L337">
        <v>0.55000000000000004</v>
      </c>
      <c r="M337" s="148">
        <v>0.22389999999999999</v>
      </c>
      <c r="N337">
        <v>18</v>
      </c>
      <c r="O337">
        <v>54</v>
      </c>
      <c r="P337">
        <v>72</v>
      </c>
    </row>
    <row r="338" spans="1:16">
      <c r="A338">
        <v>337</v>
      </c>
      <c r="B338" s="2">
        <v>40558</v>
      </c>
      <c r="C338">
        <v>1</v>
      </c>
      <c r="D338" t="s">
        <v>17</v>
      </c>
      <c r="E338" s="6" t="s">
        <v>18</v>
      </c>
      <c r="F338" s="151">
        <v>14</v>
      </c>
      <c r="G338" s="7" t="s">
        <v>36</v>
      </c>
      <c r="H338" s="7" t="s">
        <v>37</v>
      </c>
      <c r="I338" s="7" t="s">
        <v>38</v>
      </c>
      <c r="J338">
        <v>0.24</v>
      </c>
      <c r="K338" s="148">
        <v>0.2273</v>
      </c>
      <c r="L338">
        <v>0.48</v>
      </c>
      <c r="M338" s="148">
        <v>0.22389999999999999</v>
      </c>
      <c r="N338">
        <v>15</v>
      </c>
      <c r="O338">
        <v>74</v>
      </c>
      <c r="P338">
        <v>89</v>
      </c>
    </row>
    <row r="339" spans="1:16">
      <c r="A339">
        <v>338</v>
      </c>
      <c r="B339" s="2">
        <v>40558</v>
      </c>
      <c r="C339">
        <v>1</v>
      </c>
      <c r="D339" t="s">
        <v>17</v>
      </c>
      <c r="E339" s="6" t="s">
        <v>18</v>
      </c>
      <c r="F339" s="151">
        <v>14.04166666666667</v>
      </c>
      <c r="G339" s="7" t="s">
        <v>36</v>
      </c>
      <c r="H339" s="7" t="s">
        <v>37</v>
      </c>
      <c r="I339" s="7" t="s">
        <v>38</v>
      </c>
      <c r="J339">
        <v>0.28000000000000003</v>
      </c>
      <c r="K339" s="148">
        <v>0.2576</v>
      </c>
      <c r="L339">
        <v>0.38</v>
      </c>
      <c r="M339" s="148">
        <v>0.29849999999999999</v>
      </c>
      <c r="N339">
        <v>21</v>
      </c>
      <c r="O339">
        <v>80</v>
      </c>
      <c r="P339">
        <v>101</v>
      </c>
    </row>
    <row r="340" spans="1:16">
      <c r="A340">
        <v>339</v>
      </c>
      <c r="B340" s="2">
        <v>40558</v>
      </c>
      <c r="C340">
        <v>1</v>
      </c>
      <c r="D340" t="s">
        <v>17</v>
      </c>
      <c r="E340" s="6" t="s">
        <v>18</v>
      </c>
      <c r="F340" s="151">
        <v>14.08333333333333</v>
      </c>
      <c r="G340" s="7" t="s">
        <v>36</v>
      </c>
      <c r="H340" s="7" t="s">
        <v>37</v>
      </c>
      <c r="I340" s="7" t="s">
        <v>38</v>
      </c>
      <c r="J340">
        <v>0.3</v>
      </c>
      <c r="K340" s="148">
        <v>0.28789999999999999</v>
      </c>
      <c r="L340">
        <v>0.39</v>
      </c>
      <c r="M340" s="148">
        <v>0.28360000000000002</v>
      </c>
      <c r="N340">
        <v>26</v>
      </c>
      <c r="O340">
        <v>92</v>
      </c>
      <c r="P340">
        <v>118</v>
      </c>
    </row>
    <row r="341" spans="1:16">
      <c r="A341">
        <v>340</v>
      </c>
      <c r="B341" s="2">
        <v>40558</v>
      </c>
      <c r="C341">
        <v>1</v>
      </c>
      <c r="D341" t="s">
        <v>17</v>
      </c>
      <c r="E341" s="6" t="s">
        <v>18</v>
      </c>
      <c r="F341" s="151">
        <v>14.125</v>
      </c>
      <c r="G341" s="7" t="s">
        <v>36</v>
      </c>
      <c r="H341" s="7" t="s">
        <v>37</v>
      </c>
      <c r="I341" s="7" t="s">
        <v>39</v>
      </c>
      <c r="J341">
        <v>0.32</v>
      </c>
      <c r="K341" s="148">
        <v>0.31819999999999998</v>
      </c>
      <c r="L341">
        <v>0.36</v>
      </c>
      <c r="M341" s="148">
        <v>0.19400000000000001</v>
      </c>
      <c r="N341">
        <v>21</v>
      </c>
      <c r="O341">
        <v>108</v>
      </c>
      <c r="P341">
        <v>129</v>
      </c>
    </row>
    <row r="342" spans="1:16">
      <c r="A342">
        <v>341</v>
      </c>
      <c r="B342" s="2">
        <v>40558</v>
      </c>
      <c r="C342">
        <v>1</v>
      </c>
      <c r="D342" t="s">
        <v>17</v>
      </c>
      <c r="E342" s="6" t="s">
        <v>18</v>
      </c>
      <c r="F342" s="151">
        <v>14.16666666666667</v>
      </c>
      <c r="G342" s="7" t="s">
        <v>36</v>
      </c>
      <c r="H342" s="7" t="s">
        <v>37</v>
      </c>
      <c r="I342" s="7" t="s">
        <v>39</v>
      </c>
      <c r="J342">
        <v>0.34</v>
      </c>
      <c r="K342" s="148">
        <v>0.33329999999999999</v>
      </c>
      <c r="L342">
        <v>0.34</v>
      </c>
      <c r="M342" s="148">
        <v>0.19400000000000001</v>
      </c>
      <c r="N342">
        <v>33</v>
      </c>
      <c r="O342">
        <v>95</v>
      </c>
      <c r="P342">
        <v>128</v>
      </c>
    </row>
    <row r="343" spans="1:16">
      <c r="A343">
        <v>342</v>
      </c>
      <c r="B343" s="2">
        <v>40558</v>
      </c>
      <c r="C343">
        <v>1</v>
      </c>
      <c r="D343" t="s">
        <v>17</v>
      </c>
      <c r="E343" s="6" t="s">
        <v>18</v>
      </c>
      <c r="F343" s="151">
        <v>14.20833333333333</v>
      </c>
      <c r="G343" s="7" t="s">
        <v>36</v>
      </c>
      <c r="H343" s="7" t="s">
        <v>37</v>
      </c>
      <c r="I343" s="7" t="s">
        <v>39</v>
      </c>
      <c r="J343">
        <v>0.32</v>
      </c>
      <c r="K343" s="148">
        <v>0.30299999999999999</v>
      </c>
      <c r="L343">
        <v>0.36</v>
      </c>
      <c r="M343" s="148">
        <v>0.28360000000000002</v>
      </c>
      <c r="N343">
        <v>29</v>
      </c>
      <c r="O343">
        <v>54</v>
      </c>
      <c r="P343">
        <v>83</v>
      </c>
    </row>
    <row r="344" spans="1:16">
      <c r="A344">
        <v>343</v>
      </c>
      <c r="B344" s="2">
        <v>40558</v>
      </c>
      <c r="C344">
        <v>1</v>
      </c>
      <c r="D344" t="s">
        <v>17</v>
      </c>
      <c r="E344" s="6" t="s">
        <v>18</v>
      </c>
      <c r="F344" s="151">
        <v>14.25</v>
      </c>
      <c r="G344" s="7" t="s">
        <v>36</v>
      </c>
      <c r="H344" s="7" t="s">
        <v>37</v>
      </c>
      <c r="I344" s="7" t="s">
        <v>39</v>
      </c>
      <c r="J344">
        <v>0.3</v>
      </c>
      <c r="K344" s="148">
        <v>0.28789999999999999</v>
      </c>
      <c r="L344">
        <v>0.45</v>
      </c>
      <c r="M344" s="148">
        <v>0.25369999999999998</v>
      </c>
      <c r="N344">
        <v>15</v>
      </c>
      <c r="O344">
        <v>69</v>
      </c>
      <c r="P344">
        <v>84</v>
      </c>
    </row>
    <row r="345" spans="1:16">
      <c r="A345">
        <v>344</v>
      </c>
      <c r="B345" s="2">
        <v>40558</v>
      </c>
      <c r="C345">
        <v>1</v>
      </c>
      <c r="D345" t="s">
        <v>17</v>
      </c>
      <c r="E345" s="6" t="s">
        <v>18</v>
      </c>
      <c r="F345" s="151">
        <v>14.29166666666667</v>
      </c>
      <c r="G345" s="7" t="s">
        <v>36</v>
      </c>
      <c r="H345" s="7" t="s">
        <v>37</v>
      </c>
      <c r="I345" s="7" t="s">
        <v>39</v>
      </c>
      <c r="J345">
        <v>0.32</v>
      </c>
      <c r="K345" s="148">
        <v>0.30299999999999999</v>
      </c>
      <c r="L345">
        <v>0.39</v>
      </c>
      <c r="M345" s="148">
        <v>0.25369999999999998</v>
      </c>
      <c r="N345">
        <v>14</v>
      </c>
      <c r="O345">
        <v>60</v>
      </c>
      <c r="P345">
        <v>74</v>
      </c>
    </row>
    <row r="346" spans="1:16">
      <c r="A346">
        <v>345</v>
      </c>
      <c r="B346" s="2">
        <v>40558</v>
      </c>
      <c r="C346">
        <v>1</v>
      </c>
      <c r="D346" t="s">
        <v>17</v>
      </c>
      <c r="E346" s="6" t="s">
        <v>18</v>
      </c>
      <c r="F346" s="151">
        <v>14.33333333333333</v>
      </c>
      <c r="G346" s="7" t="s">
        <v>36</v>
      </c>
      <c r="H346" s="7" t="s">
        <v>37</v>
      </c>
      <c r="I346" s="7" t="s">
        <v>39</v>
      </c>
      <c r="J346">
        <v>0.32</v>
      </c>
      <c r="K346" s="148">
        <v>0.30299999999999999</v>
      </c>
      <c r="L346">
        <v>0.39</v>
      </c>
      <c r="M346" s="148">
        <v>0.25369999999999998</v>
      </c>
      <c r="N346">
        <v>6</v>
      </c>
      <c r="O346">
        <v>35</v>
      </c>
      <c r="P346">
        <v>41</v>
      </c>
    </row>
    <row r="347" spans="1:16">
      <c r="A347">
        <v>346</v>
      </c>
      <c r="B347" s="2">
        <v>40558</v>
      </c>
      <c r="C347">
        <v>1</v>
      </c>
      <c r="D347" t="s">
        <v>17</v>
      </c>
      <c r="E347" s="6" t="s">
        <v>18</v>
      </c>
      <c r="F347" s="151">
        <v>14.375</v>
      </c>
      <c r="G347" s="7" t="s">
        <v>36</v>
      </c>
      <c r="H347" s="7" t="s">
        <v>37</v>
      </c>
      <c r="I347" s="7" t="s">
        <v>39</v>
      </c>
      <c r="J347">
        <v>0.32</v>
      </c>
      <c r="K347" s="148">
        <v>0.30299999999999999</v>
      </c>
      <c r="L347">
        <v>0.39</v>
      </c>
      <c r="M347" s="148">
        <v>0.22389999999999999</v>
      </c>
      <c r="N347">
        <v>6</v>
      </c>
      <c r="O347">
        <v>51</v>
      </c>
      <c r="P347">
        <v>57</v>
      </c>
    </row>
    <row r="348" spans="1:16">
      <c r="A348">
        <v>347</v>
      </c>
      <c r="B348" s="2">
        <v>40558</v>
      </c>
      <c r="C348">
        <v>1</v>
      </c>
      <c r="D348" t="s">
        <v>17</v>
      </c>
      <c r="E348" s="6" t="s">
        <v>18</v>
      </c>
      <c r="F348" s="151">
        <v>14.41666666666667</v>
      </c>
      <c r="G348" s="7" t="s">
        <v>36</v>
      </c>
      <c r="H348" s="7" t="s">
        <v>37</v>
      </c>
      <c r="I348" s="7" t="s">
        <v>39</v>
      </c>
      <c r="J348">
        <v>0.3</v>
      </c>
      <c r="K348" s="148">
        <v>0.31819999999999998</v>
      </c>
      <c r="L348">
        <v>0.42</v>
      </c>
      <c r="M348" s="148">
        <v>0.1045</v>
      </c>
      <c r="N348">
        <v>0</v>
      </c>
      <c r="O348">
        <v>26</v>
      </c>
      <c r="P348">
        <v>26</v>
      </c>
    </row>
    <row r="349" spans="1:16">
      <c r="A349">
        <v>348</v>
      </c>
      <c r="B349" s="2">
        <v>40558</v>
      </c>
      <c r="C349">
        <v>1</v>
      </c>
      <c r="D349" t="s">
        <v>17</v>
      </c>
      <c r="E349" s="6" t="s">
        <v>18</v>
      </c>
      <c r="F349" s="151">
        <v>14.45833333333333</v>
      </c>
      <c r="G349" s="7" t="s">
        <v>36</v>
      </c>
      <c r="H349" s="7" t="s">
        <v>37</v>
      </c>
      <c r="I349" s="7" t="s">
        <v>38</v>
      </c>
      <c r="J349">
        <v>0.3</v>
      </c>
      <c r="K349" s="148">
        <v>0.28789999999999999</v>
      </c>
      <c r="L349">
        <v>0.45</v>
      </c>
      <c r="M349" s="148">
        <v>0.28360000000000002</v>
      </c>
      <c r="N349">
        <v>5</v>
      </c>
      <c r="O349">
        <v>39</v>
      </c>
      <c r="P349">
        <v>44</v>
      </c>
    </row>
    <row r="350" spans="1:16">
      <c r="A350">
        <v>349</v>
      </c>
      <c r="B350" s="2">
        <v>40559</v>
      </c>
      <c r="C350">
        <v>1</v>
      </c>
      <c r="D350" t="s">
        <v>17</v>
      </c>
      <c r="E350" s="6" t="s">
        <v>18</v>
      </c>
      <c r="F350" s="151">
        <v>14.5</v>
      </c>
      <c r="G350" s="7" t="s">
        <v>36</v>
      </c>
      <c r="H350" s="7" t="s">
        <v>40</v>
      </c>
      <c r="I350" s="7" t="s">
        <v>38</v>
      </c>
      <c r="J350">
        <v>0.26</v>
      </c>
      <c r="K350" s="148">
        <v>0.30299999999999999</v>
      </c>
      <c r="L350">
        <v>0.56000000000000005</v>
      </c>
      <c r="M350" s="148">
        <v>0</v>
      </c>
      <c r="N350">
        <v>6</v>
      </c>
      <c r="O350">
        <v>33</v>
      </c>
      <c r="P350">
        <v>39</v>
      </c>
    </row>
    <row r="351" spans="1:16">
      <c r="A351">
        <v>350</v>
      </c>
      <c r="B351" s="2">
        <v>40559</v>
      </c>
      <c r="C351">
        <v>1</v>
      </c>
      <c r="D351" t="s">
        <v>17</v>
      </c>
      <c r="E351" s="6" t="s">
        <v>18</v>
      </c>
      <c r="F351" s="151">
        <v>14.54166666666667</v>
      </c>
      <c r="G351" s="7" t="s">
        <v>36</v>
      </c>
      <c r="H351" s="7" t="s">
        <v>40</v>
      </c>
      <c r="I351" s="7" t="s">
        <v>38</v>
      </c>
      <c r="J351">
        <v>0.26</v>
      </c>
      <c r="K351" s="148">
        <v>0.2727</v>
      </c>
      <c r="L351">
        <v>0.56000000000000005</v>
      </c>
      <c r="M351" s="148">
        <v>0.1343</v>
      </c>
      <c r="N351">
        <v>4</v>
      </c>
      <c r="O351">
        <v>19</v>
      </c>
      <c r="P351">
        <v>23</v>
      </c>
    </row>
    <row r="352" spans="1:16">
      <c r="A352">
        <v>351</v>
      </c>
      <c r="B352" s="2">
        <v>40559</v>
      </c>
      <c r="C352">
        <v>1</v>
      </c>
      <c r="D352" t="s">
        <v>17</v>
      </c>
      <c r="E352" s="6" t="s">
        <v>18</v>
      </c>
      <c r="F352" s="151">
        <v>14.58333333333333</v>
      </c>
      <c r="G352" s="7" t="s">
        <v>36</v>
      </c>
      <c r="H352" s="7" t="s">
        <v>40</v>
      </c>
      <c r="I352" s="7" t="s">
        <v>38</v>
      </c>
      <c r="J352">
        <v>0.26</v>
      </c>
      <c r="K352" s="148">
        <v>0.28789999999999999</v>
      </c>
      <c r="L352">
        <v>0.56000000000000005</v>
      </c>
      <c r="M352" s="148">
        <v>8.9599999999999999E-2</v>
      </c>
      <c r="N352">
        <v>3</v>
      </c>
      <c r="O352">
        <v>13</v>
      </c>
      <c r="P352">
        <v>16</v>
      </c>
    </row>
    <row r="353" spans="1:16">
      <c r="A353">
        <v>352</v>
      </c>
      <c r="B353" s="2">
        <v>40559</v>
      </c>
      <c r="C353">
        <v>1</v>
      </c>
      <c r="D353" t="s">
        <v>17</v>
      </c>
      <c r="E353" s="6" t="s">
        <v>18</v>
      </c>
      <c r="F353" s="151">
        <v>14.625</v>
      </c>
      <c r="G353" s="7" t="s">
        <v>36</v>
      </c>
      <c r="H353" s="7" t="s">
        <v>40</v>
      </c>
      <c r="I353" s="7" t="s">
        <v>38</v>
      </c>
      <c r="J353">
        <v>0.22</v>
      </c>
      <c r="K353" s="148">
        <v>0.2727</v>
      </c>
      <c r="L353">
        <v>0.69</v>
      </c>
      <c r="M353" s="148">
        <v>0</v>
      </c>
      <c r="N353">
        <v>9</v>
      </c>
      <c r="O353">
        <v>6</v>
      </c>
      <c r="P353">
        <v>15</v>
      </c>
    </row>
    <row r="354" spans="1:16">
      <c r="A354">
        <v>353</v>
      </c>
      <c r="B354" s="2">
        <v>40559</v>
      </c>
      <c r="C354">
        <v>1</v>
      </c>
      <c r="D354" t="s">
        <v>17</v>
      </c>
      <c r="E354" s="6" t="s">
        <v>18</v>
      </c>
      <c r="F354" s="151">
        <v>14.66666666666667</v>
      </c>
      <c r="G354" s="7" t="s">
        <v>36</v>
      </c>
      <c r="H354" s="7" t="s">
        <v>40</v>
      </c>
      <c r="I354" s="7" t="s">
        <v>38</v>
      </c>
      <c r="J354">
        <v>0.26</v>
      </c>
      <c r="K354" s="148">
        <v>0.2576</v>
      </c>
      <c r="L354">
        <v>0.56000000000000005</v>
      </c>
      <c r="M354" s="148">
        <v>0.16420000000000001</v>
      </c>
      <c r="N354">
        <v>0</v>
      </c>
      <c r="O354">
        <v>1</v>
      </c>
      <c r="P354">
        <v>1</v>
      </c>
    </row>
    <row r="355" spans="1:16">
      <c r="A355">
        <v>354</v>
      </c>
      <c r="B355" s="2">
        <v>40559</v>
      </c>
      <c r="C355">
        <v>1</v>
      </c>
      <c r="D355" t="s">
        <v>17</v>
      </c>
      <c r="E355" s="6" t="s">
        <v>18</v>
      </c>
      <c r="F355" s="151">
        <v>14.70833333333333</v>
      </c>
      <c r="G355" s="7" t="s">
        <v>36</v>
      </c>
      <c r="H355" s="7" t="s">
        <v>40</v>
      </c>
      <c r="I355" s="7" t="s">
        <v>39</v>
      </c>
      <c r="J355">
        <v>0.26</v>
      </c>
      <c r="K355" s="148">
        <v>0.2576</v>
      </c>
      <c r="L355">
        <v>0.56000000000000005</v>
      </c>
      <c r="M355" s="148">
        <v>0.16420000000000001</v>
      </c>
      <c r="N355">
        <v>1</v>
      </c>
      <c r="O355">
        <v>1</v>
      </c>
      <c r="P355">
        <v>2</v>
      </c>
    </row>
    <row r="356" spans="1:16">
      <c r="A356">
        <v>355</v>
      </c>
      <c r="B356" s="2">
        <v>40559</v>
      </c>
      <c r="C356">
        <v>1</v>
      </c>
      <c r="D356" t="s">
        <v>17</v>
      </c>
      <c r="E356" s="6" t="s">
        <v>18</v>
      </c>
      <c r="F356" s="151">
        <v>14.75</v>
      </c>
      <c r="G356" s="7" t="s">
        <v>36</v>
      </c>
      <c r="H356" s="7" t="s">
        <v>40</v>
      </c>
      <c r="I356" s="7" t="s">
        <v>39</v>
      </c>
      <c r="J356">
        <v>0.26</v>
      </c>
      <c r="K356" s="148">
        <v>0.2576</v>
      </c>
      <c r="L356">
        <v>0.56000000000000005</v>
      </c>
      <c r="M356" s="148">
        <v>0.16420000000000001</v>
      </c>
      <c r="N356">
        <v>0</v>
      </c>
      <c r="O356">
        <v>1</v>
      </c>
      <c r="P356">
        <v>1</v>
      </c>
    </row>
    <row r="357" spans="1:16">
      <c r="A357">
        <v>356</v>
      </c>
      <c r="B357" s="2">
        <v>40559</v>
      </c>
      <c r="C357">
        <v>1</v>
      </c>
      <c r="D357" t="s">
        <v>17</v>
      </c>
      <c r="E357" s="6" t="s">
        <v>18</v>
      </c>
      <c r="F357" s="151">
        <v>14.79166666666667</v>
      </c>
      <c r="G357" s="7" t="s">
        <v>36</v>
      </c>
      <c r="H357" s="7" t="s">
        <v>40</v>
      </c>
      <c r="I357" s="7" t="s">
        <v>39</v>
      </c>
      <c r="J357">
        <v>0.24</v>
      </c>
      <c r="K357" s="148">
        <v>0.21210000000000001</v>
      </c>
      <c r="L357">
        <v>0.56000000000000005</v>
      </c>
      <c r="M357" s="148">
        <v>0.29849999999999999</v>
      </c>
      <c r="N357">
        <v>0</v>
      </c>
      <c r="O357">
        <v>3</v>
      </c>
      <c r="P357">
        <v>3</v>
      </c>
    </row>
    <row r="358" spans="1:16">
      <c r="A358">
        <v>357</v>
      </c>
      <c r="B358" s="2">
        <v>40559</v>
      </c>
      <c r="C358">
        <v>1</v>
      </c>
      <c r="D358" t="s">
        <v>17</v>
      </c>
      <c r="E358" s="6" t="s">
        <v>18</v>
      </c>
      <c r="F358" s="151">
        <v>14.83333333333333</v>
      </c>
      <c r="G358" s="7" t="s">
        <v>36</v>
      </c>
      <c r="H358" s="7" t="s">
        <v>40</v>
      </c>
      <c r="I358" s="7" t="s">
        <v>38</v>
      </c>
      <c r="J358">
        <v>0.22</v>
      </c>
      <c r="K358" s="148">
        <v>0.21210000000000001</v>
      </c>
      <c r="L358">
        <v>0.55000000000000004</v>
      </c>
      <c r="M358" s="148">
        <v>0.28360000000000002</v>
      </c>
      <c r="N358">
        <v>0</v>
      </c>
      <c r="O358">
        <v>18</v>
      </c>
      <c r="P358">
        <v>18</v>
      </c>
    </row>
    <row r="359" spans="1:16">
      <c r="A359">
        <v>358</v>
      </c>
      <c r="B359" s="2">
        <v>40559</v>
      </c>
      <c r="C359">
        <v>1</v>
      </c>
      <c r="D359" t="s">
        <v>17</v>
      </c>
      <c r="E359" s="6" t="s">
        <v>18</v>
      </c>
      <c r="F359" s="151">
        <v>14.875</v>
      </c>
      <c r="G359" s="7" t="s">
        <v>36</v>
      </c>
      <c r="H359" s="7" t="s">
        <v>40</v>
      </c>
      <c r="I359" s="7" t="s">
        <v>38</v>
      </c>
      <c r="J359">
        <v>0.22</v>
      </c>
      <c r="K359" s="148">
        <v>0.21210000000000001</v>
      </c>
      <c r="L359">
        <v>0.51</v>
      </c>
      <c r="M359" s="148">
        <v>0.25369999999999998</v>
      </c>
      <c r="N359">
        <v>3</v>
      </c>
      <c r="O359">
        <v>29</v>
      </c>
      <c r="P359">
        <v>32</v>
      </c>
    </row>
    <row r="360" spans="1:16">
      <c r="A360">
        <v>359</v>
      </c>
      <c r="B360" s="2">
        <v>40559</v>
      </c>
      <c r="C360">
        <v>1</v>
      </c>
      <c r="D360" t="s">
        <v>17</v>
      </c>
      <c r="E360" s="6" t="s">
        <v>18</v>
      </c>
      <c r="F360" s="151">
        <v>14.91666666666667</v>
      </c>
      <c r="G360" s="7" t="s">
        <v>36</v>
      </c>
      <c r="H360" s="7" t="s">
        <v>40</v>
      </c>
      <c r="I360" s="7" t="s">
        <v>38</v>
      </c>
      <c r="J360">
        <v>0.22</v>
      </c>
      <c r="K360" s="148">
        <v>0.21210000000000001</v>
      </c>
      <c r="L360">
        <v>0.51</v>
      </c>
      <c r="M360" s="148">
        <v>0.28360000000000002</v>
      </c>
      <c r="N360">
        <v>8</v>
      </c>
      <c r="O360">
        <v>71</v>
      </c>
      <c r="P360">
        <v>79</v>
      </c>
    </row>
    <row r="361" spans="1:16">
      <c r="A361">
        <v>360</v>
      </c>
      <c r="B361" s="2">
        <v>40559</v>
      </c>
      <c r="C361">
        <v>1</v>
      </c>
      <c r="D361" t="s">
        <v>17</v>
      </c>
      <c r="E361" s="6" t="s">
        <v>18</v>
      </c>
      <c r="F361" s="151">
        <v>14.95833333333333</v>
      </c>
      <c r="G361" s="7" t="s">
        <v>36</v>
      </c>
      <c r="H361" s="7" t="s">
        <v>40</v>
      </c>
      <c r="I361" s="7" t="s">
        <v>38</v>
      </c>
      <c r="J361">
        <v>0.24</v>
      </c>
      <c r="K361" s="148">
        <v>0.2273</v>
      </c>
      <c r="L361">
        <v>0.44</v>
      </c>
      <c r="M361" s="148">
        <v>0.25369999999999998</v>
      </c>
      <c r="N361">
        <v>23</v>
      </c>
      <c r="O361">
        <v>70</v>
      </c>
      <c r="P361">
        <v>93</v>
      </c>
    </row>
    <row r="362" spans="1:16">
      <c r="A362">
        <v>361</v>
      </c>
      <c r="B362" s="2">
        <v>40559</v>
      </c>
      <c r="C362">
        <v>1</v>
      </c>
      <c r="D362" t="s">
        <v>17</v>
      </c>
      <c r="E362" s="6" t="s">
        <v>18</v>
      </c>
      <c r="F362" s="151">
        <v>15</v>
      </c>
      <c r="G362" s="7" t="s">
        <v>36</v>
      </c>
      <c r="H362" s="7" t="s">
        <v>40</v>
      </c>
      <c r="I362" s="7" t="s">
        <v>38</v>
      </c>
      <c r="J362">
        <v>0.24</v>
      </c>
      <c r="K362" s="148">
        <v>0.21210000000000001</v>
      </c>
      <c r="L362">
        <v>0.41</v>
      </c>
      <c r="M362" s="148">
        <v>0.28360000000000002</v>
      </c>
      <c r="N362">
        <v>29</v>
      </c>
      <c r="O362">
        <v>75</v>
      </c>
      <c r="P362">
        <v>104</v>
      </c>
    </row>
    <row r="363" spans="1:16">
      <c r="A363">
        <v>362</v>
      </c>
      <c r="B363" s="2">
        <v>40559</v>
      </c>
      <c r="C363">
        <v>1</v>
      </c>
      <c r="D363" t="s">
        <v>17</v>
      </c>
      <c r="E363" s="6" t="s">
        <v>18</v>
      </c>
      <c r="F363" s="151">
        <v>15.04166666666667</v>
      </c>
      <c r="G363" s="7" t="s">
        <v>36</v>
      </c>
      <c r="H363" s="7" t="s">
        <v>40</v>
      </c>
      <c r="I363" s="7" t="s">
        <v>38</v>
      </c>
      <c r="J363">
        <v>0.26</v>
      </c>
      <c r="K363" s="148">
        <v>0.2273</v>
      </c>
      <c r="L363">
        <v>0.35</v>
      </c>
      <c r="M363" s="148">
        <v>0.29849999999999999</v>
      </c>
      <c r="N363">
        <v>23</v>
      </c>
      <c r="O363">
        <v>95</v>
      </c>
      <c r="P363">
        <v>118</v>
      </c>
    </row>
    <row r="364" spans="1:16">
      <c r="A364">
        <v>363</v>
      </c>
      <c r="B364" s="2">
        <v>40559</v>
      </c>
      <c r="C364">
        <v>1</v>
      </c>
      <c r="D364" t="s">
        <v>17</v>
      </c>
      <c r="E364" s="6" t="s">
        <v>18</v>
      </c>
      <c r="F364" s="151">
        <v>15.08333333333333</v>
      </c>
      <c r="G364" s="7" t="s">
        <v>36</v>
      </c>
      <c r="H364" s="7" t="s">
        <v>40</v>
      </c>
      <c r="I364" s="7" t="s">
        <v>38</v>
      </c>
      <c r="J364">
        <v>0.28000000000000003</v>
      </c>
      <c r="K364" s="148">
        <v>0.2727</v>
      </c>
      <c r="L364">
        <v>0.36</v>
      </c>
      <c r="M364" s="148">
        <v>0.25369999999999998</v>
      </c>
      <c r="N364">
        <v>22</v>
      </c>
      <c r="O364">
        <v>69</v>
      </c>
      <c r="P364">
        <v>91</v>
      </c>
    </row>
    <row r="365" spans="1:16">
      <c r="A365">
        <v>364</v>
      </c>
      <c r="B365" s="2">
        <v>40559</v>
      </c>
      <c r="C365">
        <v>1</v>
      </c>
      <c r="D365" t="s">
        <v>17</v>
      </c>
      <c r="E365" s="6" t="s">
        <v>18</v>
      </c>
      <c r="F365" s="151">
        <v>15.125</v>
      </c>
      <c r="G365" s="7" t="s">
        <v>36</v>
      </c>
      <c r="H365" s="7" t="s">
        <v>40</v>
      </c>
      <c r="I365" s="7" t="s">
        <v>38</v>
      </c>
      <c r="J365">
        <v>0.26</v>
      </c>
      <c r="K365" s="148">
        <v>0.2424</v>
      </c>
      <c r="L365">
        <v>0.38</v>
      </c>
      <c r="M365" s="148">
        <v>0.25369999999999998</v>
      </c>
      <c r="N365">
        <v>35</v>
      </c>
      <c r="O365">
        <v>78</v>
      </c>
      <c r="P365">
        <v>113</v>
      </c>
    </row>
    <row r="366" spans="1:16">
      <c r="A366">
        <v>365</v>
      </c>
      <c r="B366" s="2">
        <v>40559</v>
      </c>
      <c r="C366">
        <v>1</v>
      </c>
      <c r="D366" t="s">
        <v>17</v>
      </c>
      <c r="E366" s="6" t="s">
        <v>18</v>
      </c>
      <c r="F366" s="151">
        <v>15.16666666666667</v>
      </c>
      <c r="G366" s="7" t="s">
        <v>36</v>
      </c>
      <c r="H366" s="7" t="s">
        <v>40</v>
      </c>
      <c r="I366" s="7" t="s">
        <v>38</v>
      </c>
      <c r="J366">
        <v>0.24</v>
      </c>
      <c r="K366" s="148">
        <v>0.2273</v>
      </c>
      <c r="L366">
        <v>0.38</v>
      </c>
      <c r="M366" s="148">
        <v>0.22389999999999999</v>
      </c>
      <c r="N366">
        <v>22</v>
      </c>
      <c r="O366">
        <v>77</v>
      </c>
      <c r="P366">
        <v>99</v>
      </c>
    </row>
    <row r="367" spans="1:16">
      <c r="A367">
        <v>366</v>
      </c>
      <c r="B367" s="2">
        <v>40559</v>
      </c>
      <c r="C367">
        <v>1</v>
      </c>
      <c r="D367" t="s">
        <v>17</v>
      </c>
      <c r="E367" s="6" t="s">
        <v>18</v>
      </c>
      <c r="F367" s="151">
        <v>15.20833333333333</v>
      </c>
      <c r="G367" s="7" t="s">
        <v>36</v>
      </c>
      <c r="H367" s="7" t="s">
        <v>40</v>
      </c>
      <c r="I367" s="7" t="s">
        <v>38</v>
      </c>
      <c r="J367">
        <v>0.22</v>
      </c>
      <c r="K367" s="148">
        <v>0.21210000000000001</v>
      </c>
      <c r="L367">
        <v>0.37</v>
      </c>
      <c r="M367" s="148">
        <v>0.25369999999999998</v>
      </c>
      <c r="N367">
        <v>23</v>
      </c>
      <c r="O367">
        <v>82</v>
      </c>
      <c r="P367">
        <v>105</v>
      </c>
    </row>
    <row r="368" spans="1:16">
      <c r="A368">
        <v>367</v>
      </c>
      <c r="B368" s="2">
        <v>40559</v>
      </c>
      <c r="C368">
        <v>1</v>
      </c>
      <c r="D368" t="s">
        <v>17</v>
      </c>
      <c r="E368" s="6" t="s">
        <v>18</v>
      </c>
      <c r="F368" s="151">
        <v>15.25</v>
      </c>
      <c r="G368" s="7" t="s">
        <v>36</v>
      </c>
      <c r="H368" s="7" t="s">
        <v>40</v>
      </c>
      <c r="I368" s="7" t="s">
        <v>38</v>
      </c>
      <c r="J368">
        <v>0.2</v>
      </c>
      <c r="K368" s="148">
        <v>0.21210000000000001</v>
      </c>
      <c r="L368">
        <v>0.4</v>
      </c>
      <c r="M368" s="148">
        <v>0.16420000000000001</v>
      </c>
      <c r="N368">
        <v>11</v>
      </c>
      <c r="O368">
        <v>56</v>
      </c>
      <c r="P368">
        <v>67</v>
      </c>
    </row>
    <row r="369" spans="1:16">
      <c r="A369">
        <v>368</v>
      </c>
      <c r="B369" s="2">
        <v>40559</v>
      </c>
      <c r="C369">
        <v>1</v>
      </c>
      <c r="D369" t="s">
        <v>17</v>
      </c>
      <c r="E369" s="6" t="s">
        <v>18</v>
      </c>
      <c r="F369" s="151">
        <v>15.29166666666667</v>
      </c>
      <c r="G369" s="7" t="s">
        <v>36</v>
      </c>
      <c r="H369" s="7" t="s">
        <v>40</v>
      </c>
      <c r="I369" s="7" t="s">
        <v>38</v>
      </c>
      <c r="J369">
        <v>0.18</v>
      </c>
      <c r="K369" s="148">
        <v>0.19700000000000001</v>
      </c>
      <c r="L369">
        <v>0.47</v>
      </c>
      <c r="M369" s="148">
        <v>0.1343</v>
      </c>
      <c r="N369">
        <v>14</v>
      </c>
      <c r="O369">
        <v>47</v>
      </c>
      <c r="P369">
        <v>61</v>
      </c>
    </row>
    <row r="370" spans="1:16">
      <c r="A370">
        <v>369</v>
      </c>
      <c r="B370" s="2">
        <v>40559</v>
      </c>
      <c r="C370">
        <v>1</v>
      </c>
      <c r="D370" t="s">
        <v>17</v>
      </c>
      <c r="E370" s="6" t="s">
        <v>18</v>
      </c>
      <c r="F370" s="151">
        <v>15.33333333333333</v>
      </c>
      <c r="G370" s="7" t="s">
        <v>36</v>
      </c>
      <c r="H370" s="7" t="s">
        <v>40</v>
      </c>
      <c r="I370" s="7" t="s">
        <v>38</v>
      </c>
      <c r="J370">
        <v>0.18</v>
      </c>
      <c r="K370" s="148">
        <v>0.19700000000000001</v>
      </c>
      <c r="L370">
        <v>0.47</v>
      </c>
      <c r="M370" s="148">
        <v>0.16420000000000001</v>
      </c>
      <c r="N370">
        <v>7</v>
      </c>
      <c r="O370">
        <v>50</v>
      </c>
      <c r="P370">
        <v>57</v>
      </c>
    </row>
    <row r="371" spans="1:16">
      <c r="A371">
        <v>370</v>
      </c>
      <c r="B371" s="2">
        <v>40559</v>
      </c>
      <c r="C371">
        <v>1</v>
      </c>
      <c r="D371" t="s">
        <v>17</v>
      </c>
      <c r="E371" s="6" t="s">
        <v>18</v>
      </c>
      <c r="F371" s="151">
        <v>15.375</v>
      </c>
      <c r="G371" s="7" t="s">
        <v>36</v>
      </c>
      <c r="H371" s="7" t="s">
        <v>40</v>
      </c>
      <c r="I371" s="7" t="s">
        <v>38</v>
      </c>
      <c r="J371">
        <v>0.18</v>
      </c>
      <c r="K371" s="148">
        <v>0.19700000000000001</v>
      </c>
      <c r="L371">
        <v>0.51</v>
      </c>
      <c r="M371" s="148">
        <v>0.16420000000000001</v>
      </c>
      <c r="N371">
        <v>6</v>
      </c>
      <c r="O371">
        <v>22</v>
      </c>
      <c r="P371">
        <v>28</v>
      </c>
    </row>
    <row r="372" spans="1:16">
      <c r="A372">
        <v>371</v>
      </c>
      <c r="B372" s="2">
        <v>40559</v>
      </c>
      <c r="C372">
        <v>1</v>
      </c>
      <c r="D372" t="s">
        <v>17</v>
      </c>
      <c r="E372" s="6" t="s">
        <v>18</v>
      </c>
      <c r="F372" s="151">
        <v>15.41666666666667</v>
      </c>
      <c r="G372" s="7" t="s">
        <v>36</v>
      </c>
      <c r="H372" s="7" t="s">
        <v>40</v>
      </c>
      <c r="I372" s="7" t="s">
        <v>39</v>
      </c>
      <c r="J372">
        <v>0.2</v>
      </c>
      <c r="K372" s="148">
        <v>0.21210000000000001</v>
      </c>
      <c r="L372">
        <v>0.49</v>
      </c>
      <c r="M372" s="148">
        <v>0.1343</v>
      </c>
      <c r="N372">
        <v>2</v>
      </c>
      <c r="O372">
        <v>19</v>
      </c>
      <c r="P372">
        <v>21</v>
      </c>
    </row>
    <row r="373" spans="1:16">
      <c r="A373">
        <v>372</v>
      </c>
      <c r="B373" s="2">
        <v>40559</v>
      </c>
      <c r="C373">
        <v>1</v>
      </c>
      <c r="D373" t="s">
        <v>17</v>
      </c>
      <c r="E373" s="6" t="s">
        <v>18</v>
      </c>
      <c r="F373" s="151">
        <v>15.45833333333333</v>
      </c>
      <c r="G373" s="7" t="s">
        <v>36</v>
      </c>
      <c r="H373" s="7" t="s">
        <v>40</v>
      </c>
      <c r="I373" s="7" t="s">
        <v>39</v>
      </c>
      <c r="J373">
        <v>0.2</v>
      </c>
      <c r="K373" s="148">
        <v>0.2273</v>
      </c>
      <c r="L373">
        <v>0.4</v>
      </c>
      <c r="M373" s="148">
        <v>0.1045</v>
      </c>
      <c r="N373">
        <v>0</v>
      </c>
      <c r="O373">
        <v>18</v>
      </c>
      <c r="P373">
        <v>18</v>
      </c>
    </row>
    <row r="374" spans="1:16">
      <c r="A374">
        <v>373</v>
      </c>
      <c r="B374" s="2">
        <v>40560</v>
      </c>
      <c r="C374">
        <v>1</v>
      </c>
      <c r="D374" t="s">
        <v>17</v>
      </c>
      <c r="E374" s="6" t="s">
        <v>18</v>
      </c>
      <c r="F374" s="151">
        <v>15.5</v>
      </c>
      <c r="G374" s="7" t="s">
        <v>47</v>
      </c>
      <c r="H374" s="7" t="s">
        <v>41</v>
      </c>
      <c r="I374" s="7" t="s">
        <v>39</v>
      </c>
      <c r="J374">
        <v>0.2</v>
      </c>
      <c r="K374" s="148">
        <v>0.19700000000000001</v>
      </c>
      <c r="L374">
        <v>0.47</v>
      </c>
      <c r="M374" s="148">
        <v>0.22389999999999999</v>
      </c>
      <c r="N374">
        <v>1</v>
      </c>
      <c r="O374">
        <v>16</v>
      </c>
      <c r="P374">
        <v>17</v>
      </c>
    </row>
    <row r="375" spans="1:16">
      <c r="A375">
        <v>374</v>
      </c>
      <c r="B375" s="2">
        <v>40560</v>
      </c>
      <c r="C375">
        <v>1</v>
      </c>
      <c r="D375" t="s">
        <v>17</v>
      </c>
      <c r="E375" s="6" t="s">
        <v>18</v>
      </c>
      <c r="F375" s="151">
        <v>15.54166666666667</v>
      </c>
      <c r="G375" s="7" t="s">
        <v>47</v>
      </c>
      <c r="H375" s="7" t="s">
        <v>41</v>
      </c>
      <c r="I375" s="7" t="s">
        <v>39</v>
      </c>
      <c r="J375">
        <v>0.2</v>
      </c>
      <c r="K375" s="148">
        <v>0.19700000000000001</v>
      </c>
      <c r="L375">
        <v>0.44</v>
      </c>
      <c r="M375" s="148">
        <v>0.19400000000000001</v>
      </c>
      <c r="N375">
        <v>1</v>
      </c>
      <c r="O375">
        <v>15</v>
      </c>
      <c r="P375">
        <v>16</v>
      </c>
    </row>
    <row r="376" spans="1:16">
      <c r="A376">
        <v>375</v>
      </c>
      <c r="B376" s="2">
        <v>40560</v>
      </c>
      <c r="C376">
        <v>1</v>
      </c>
      <c r="D376" t="s">
        <v>17</v>
      </c>
      <c r="E376" s="6" t="s">
        <v>18</v>
      </c>
      <c r="F376" s="151">
        <v>15.58333333333333</v>
      </c>
      <c r="G376" s="7" t="s">
        <v>47</v>
      </c>
      <c r="H376" s="7" t="s">
        <v>41</v>
      </c>
      <c r="I376" s="7" t="s">
        <v>39</v>
      </c>
      <c r="J376">
        <v>0.18</v>
      </c>
      <c r="K376" s="148">
        <v>0.16669999999999999</v>
      </c>
      <c r="L376">
        <v>0.43</v>
      </c>
      <c r="M376" s="148">
        <v>0.25369999999999998</v>
      </c>
      <c r="N376">
        <v>0</v>
      </c>
      <c r="O376">
        <v>8</v>
      </c>
      <c r="P376">
        <v>8</v>
      </c>
    </row>
    <row r="377" spans="1:16">
      <c r="A377">
        <v>376</v>
      </c>
      <c r="B377" s="2">
        <v>40560</v>
      </c>
      <c r="C377">
        <v>1</v>
      </c>
      <c r="D377" t="s">
        <v>17</v>
      </c>
      <c r="E377" s="6" t="s">
        <v>18</v>
      </c>
      <c r="F377" s="151">
        <v>15.625</v>
      </c>
      <c r="G377" s="7" t="s">
        <v>47</v>
      </c>
      <c r="H377" s="7" t="s">
        <v>41</v>
      </c>
      <c r="I377" s="7" t="s">
        <v>39</v>
      </c>
      <c r="J377">
        <v>0.18</v>
      </c>
      <c r="K377" s="148">
        <v>0.18179999999999999</v>
      </c>
      <c r="L377">
        <v>0.43</v>
      </c>
      <c r="M377" s="148">
        <v>0.19400000000000001</v>
      </c>
      <c r="N377">
        <v>0</v>
      </c>
      <c r="O377">
        <v>2</v>
      </c>
      <c r="P377">
        <v>2</v>
      </c>
    </row>
    <row r="378" spans="1:16">
      <c r="A378">
        <v>377</v>
      </c>
      <c r="B378" s="2">
        <v>40560</v>
      </c>
      <c r="C378">
        <v>1</v>
      </c>
      <c r="D378" t="s">
        <v>17</v>
      </c>
      <c r="E378" s="6" t="s">
        <v>18</v>
      </c>
      <c r="F378" s="151">
        <v>15.66666666666667</v>
      </c>
      <c r="G378" s="7" t="s">
        <v>47</v>
      </c>
      <c r="H378" s="7" t="s">
        <v>41</v>
      </c>
      <c r="I378" s="7" t="s">
        <v>39</v>
      </c>
      <c r="J378">
        <v>0.18</v>
      </c>
      <c r="K378" s="148">
        <v>0.19700000000000001</v>
      </c>
      <c r="L378">
        <v>0.43</v>
      </c>
      <c r="M378" s="148">
        <v>0.1343</v>
      </c>
      <c r="N378">
        <v>1</v>
      </c>
      <c r="O378">
        <v>2</v>
      </c>
      <c r="P378">
        <v>3</v>
      </c>
    </row>
    <row r="379" spans="1:16">
      <c r="A379">
        <v>378</v>
      </c>
      <c r="B379" s="2">
        <v>40560</v>
      </c>
      <c r="C379">
        <v>1</v>
      </c>
      <c r="D379" t="s">
        <v>17</v>
      </c>
      <c r="E379" s="6" t="s">
        <v>18</v>
      </c>
      <c r="F379" s="151">
        <v>15.70833333333333</v>
      </c>
      <c r="G379" s="7" t="s">
        <v>47</v>
      </c>
      <c r="H379" s="7" t="s">
        <v>41</v>
      </c>
      <c r="I379" s="7" t="s">
        <v>39</v>
      </c>
      <c r="J379">
        <v>0.18</v>
      </c>
      <c r="K379" s="148">
        <v>0.19700000000000001</v>
      </c>
      <c r="L379">
        <v>0.43</v>
      </c>
      <c r="M379" s="148">
        <v>0.16420000000000001</v>
      </c>
      <c r="N379">
        <v>0</v>
      </c>
      <c r="O379">
        <v>1</v>
      </c>
      <c r="P379">
        <v>1</v>
      </c>
    </row>
    <row r="380" spans="1:16">
      <c r="A380">
        <v>379</v>
      </c>
      <c r="B380" s="2">
        <v>40560</v>
      </c>
      <c r="C380">
        <v>1</v>
      </c>
      <c r="D380" t="s">
        <v>17</v>
      </c>
      <c r="E380" s="6" t="s">
        <v>18</v>
      </c>
      <c r="F380" s="151">
        <v>15.75</v>
      </c>
      <c r="G380" s="7" t="s">
        <v>47</v>
      </c>
      <c r="H380" s="7" t="s">
        <v>41</v>
      </c>
      <c r="I380" s="7" t="s">
        <v>39</v>
      </c>
      <c r="J380">
        <v>0.18</v>
      </c>
      <c r="K380" s="148">
        <v>0.18179999999999999</v>
      </c>
      <c r="L380">
        <v>0.43</v>
      </c>
      <c r="M380" s="148">
        <v>0.19400000000000001</v>
      </c>
      <c r="N380">
        <v>0</v>
      </c>
      <c r="O380">
        <v>5</v>
      </c>
      <c r="P380">
        <v>5</v>
      </c>
    </row>
    <row r="381" spans="1:16">
      <c r="A381">
        <v>380</v>
      </c>
      <c r="B381" s="2">
        <v>40560</v>
      </c>
      <c r="C381">
        <v>1</v>
      </c>
      <c r="D381" t="s">
        <v>17</v>
      </c>
      <c r="E381" s="6" t="s">
        <v>18</v>
      </c>
      <c r="F381" s="151">
        <v>15.79166666666667</v>
      </c>
      <c r="G381" s="7" t="s">
        <v>47</v>
      </c>
      <c r="H381" s="7" t="s">
        <v>41</v>
      </c>
      <c r="I381" s="7" t="s">
        <v>39</v>
      </c>
      <c r="J381">
        <v>0.16</v>
      </c>
      <c r="K381" s="148">
        <v>0.18179999999999999</v>
      </c>
      <c r="L381">
        <v>0.5</v>
      </c>
      <c r="M381" s="148">
        <v>0.1343</v>
      </c>
      <c r="N381">
        <v>4</v>
      </c>
      <c r="O381">
        <v>9</v>
      </c>
      <c r="P381">
        <v>13</v>
      </c>
    </row>
    <row r="382" spans="1:16">
      <c r="A382">
        <v>381</v>
      </c>
      <c r="B382" s="2">
        <v>40560</v>
      </c>
      <c r="C382">
        <v>1</v>
      </c>
      <c r="D382" t="s">
        <v>17</v>
      </c>
      <c r="E382" s="6" t="s">
        <v>18</v>
      </c>
      <c r="F382" s="151">
        <v>15.83333333333333</v>
      </c>
      <c r="G382" s="7" t="s">
        <v>47</v>
      </c>
      <c r="H382" s="7" t="s">
        <v>41</v>
      </c>
      <c r="I382" s="7" t="s">
        <v>39</v>
      </c>
      <c r="J382">
        <v>0.16</v>
      </c>
      <c r="K382" s="148">
        <v>0.1515</v>
      </c>
      <c r="L382">
        <v>0.47</v>
      </c>
      <c r="M382" s="148">
        <v>0.22389999999999999</v>
      </c>
      <c r="N382">
        <v>3</v>
      </c>
      <c r="O382">
        <v>30</v>
      </c>
      <c r="P382">
        <v>33</v>
      </c>
    </row>
    <row r="383" spans="1:16">
      <c r="A383">
        <v>382</v>
      </c>
      <c r="B383" s="2">
        <v>40560</v>
      </c>
      <c r="C383">
        <v>1</v>
      </c>
      <c r="D383" t="s">
        <v>17</v>
      </c>
      <c r="E383" s="6" t="s">
        <v>18</v>
      </c>
      <c r="F383" s="151">
        <v>15.875</v>
      </c>
      <c r="G383" s="7" t="s">
        <v>47</v>
      </c>
      <c r="H383" s="7" t="s">
        <v>41</v>
      </c>
      <c r="I383" s="7" t="s">
        <v>39</v>
      </c>
      <c r="J383">
        <v>0.16</v>
      </c>
      <c r="K383" s="148">
        <v>0.1515</v>
      </c>
      <c r="L383">
        <v>0.47</v>
      </c>
      <c r="M383" s="148">
        <v>0.22389999999999999</v>
      </c>
      <c r="N383">
        <v>8</v>
      </c>
      <c r="O383">
        <v>39</v>
      </c>
      <c r="P383">
        <v>47</v>
      </c>
    </row>
    <row r="384" spans="1:16">
      <c r="A384">
        <v>383</v>
      </c>
      <c r="B384" s="2">
        <v>40560</v>
      </c>
      <c r="C384">
        <v>1</v>
      </c>
      <c r="D384" t="s">
        <v>17</v>
      </c>
      <c r="E384" s="6" t="s">
        <v>18</v>
      </c>
      <c r="F384" s="151">
        <v>15.91666666666667</v>
      </c>
      <c r="G384" s="7" t="s">
        <v>47</v>
      </c>
      <c r="H384" s="7" t="s">
        <v>41</v>
      </c>
      <c r="I384" s="7" t="s">
        <v>39</v>
      </c>
      <c r="J384">
        <v>0.16</v>
      </c>
      <c r="K384" s="148">
        <v>0.1515</v>
      </c>
      <c r="L384">
        <v>0.5</v>
      </c>
      <c r="M384" s="148">
        <v>0.25369999999999998</v>
      </c>
      <c r="N384">
        <v>7</v>
      </c>
      <c r="O384">
        <v>50</v>
      </c>
      <c r="P384">
        <v>57</v>
      </c>
    </row>
    <row r="385" spans="1:16">
      <c r="A385">
        <v>384</v>
      </c>
      <c r="B385" s="2">
        <v>40560</v>
      </c>
      <c r="C385">
        <v>1</v>
      </c>
      <c r="D385" t="s">
        <v>17</v>
      </c>
      <c r="E385" s="6" t="s">
        <v>18</v>
      </c>
      <c r="F385" s="151">
        <v>15.95833333333333</v>
      </c>
      <c r="G385" s="7" t="s">
        <v>47</v>
      </c>
      <c r="H385" s="7" t="s">
        <v>41</v>
      </c>
      <c r="I385" s="7" t="s">
        <v>39</v>
      </c>
      <c r="J385">
        <v>0.16</v>
      </c>
      <c r="K385" s="148">
        <v>0.1515</v>
      </c>
      <c r="L385">
        <v>0.55000000000000004</v>
      </c>
      <c r="M385" s="148">
        <v>0.19400000000000001</v>
      </c>
      <c r="N385">
        <v>9</v>
      </c>
      <c r="O385">
        <v>55</v>
      </c>
      <c r="P385">
        <v>64</v>
      </c>
    </row>
    <row r="386" spans="1:16">
      <c r="A386">
        <v>385</v>
      </c>
      <c r="B386" s="2">
        <v>40560</v>
      </c>
      <c r="C386">
        <v>1</v>
      </c>
      <c r="D386" t="s">
        <v>17</v>
      </c>
      <c r="E386" s="6" t="s">
        <v>18</v>
      </c>
      <c r="F386" s="151">
        <v>16</v>
      </c>
      <c r="G386" s="7" t="s">
        <v>47</v>
      </c>
      <c r="H386" s="7" t="s">
        <v>41</v>
      </c>
      <c r="I386" s="7" t="s">
        <v>39</v>
      </c>
      <c r="J386">
        <v>0.18</v>
      </c>
      <c r="K386" s="148">
        <v>0.19700000000000001</v>
      </c>
      <c r="L386">
        <v>0.47</v>
      </c>
      <c r="M386" s="148">
        <v>0.1343</v>
      </c>
      <c r="N386">
        <v>10</v>
      </c>
      <c r="O386">
        <v>70</v>
      </c>
      <c r="P386">
        <v>80</v>
      </c>
    </row>
    <row r="387" spans="1:16">
      <c r="A387">
        <v>386</v>
      </c>
      <c r="B387" s="2">
        <v>40560</v>
      </c>
      <c r="C387">
        <v>1</v>
      </c>
      <c r="D387" t="s">
        <v>17</v>
      </c>
      <c r="E387" s="6" t="s">
        <v>18</v>
      </c>
      <c r="F387" s="151">
        <v>16.041666666666671</v>
      </c>
      <c r="G387" s="7" t="s">
        <v>47</v>
      </c>
      <c r="H387" s="7" t="s">
        <v>41</v>
      </c>
      <c r="I387" s="7" t="s">
        <v>39</v>
      </c>
      <c r="J387">
        <v>0.18</v>
      </c>
      <c r="K387" s="148">
        <v>0.19700000000000001</v>
      </c>
      <c r="L387">
        <v>0.47</v>
      </c>
      <c r="M387" s="148">
        <v>0.1343</v>
      </c>
      <c r="N387">
        <v>13</v>
      </c>
      <c r="O387">
        <v>80</v>
      </c>
      <c r="P387">
        <v>93</v>
      </c>
    </row>
    <row r="388" spans="1:16">
      <c r="A388">
        <v>387</v>
      </c>
      <c r="B388" s="2">
        <v>40560</v>
      </c>
      <c r="C388">
        <v>1</v>
      </c>
      <c r="D388" t="s">
        <v>17</v>
      </c>
      <c r="E388" s="6" t="s">
        <v>18</v>
      </c>
      <c r="F388" s="151">
        <v>16.083333333333329</v>
      </c>
      <c r="G388" s="7" t="s">
        <v>47</v>
      </c>
      <c r="H388" s="7" t="s">
        <v>41</v>
      </c>
      <c r="I388" s="7" t="s">
        <v>39</v>
      </c>
      <c r="J388">
        <v>0.18</v>
      </c>
      <c r="K388" s="148">
        <v>0.21210000000000001</v>
      </c>
      <c r="L388">
        <v>0.43</v>
      </c>
      <c r="M388" s="148">
        <v>0.1045</v>
      </c>
      <c r="N388">
        <v>12</v>
      </c>
      <c r="O388">
        <v>74</v>
      </c>
      <c r="P388">
        <v>86</v>
      </c>
    </row>
    <row r="389" spans="1:16">
      <c r="A389">
        <v>388</v>
      </c>
      <c r="B389" s="2">
        <v>40560</v>
      </c>
      <c r="C389">
        <v>1</v>
      </c>
      <c r="D389" t="s">
        <v>17</v>
      </c>
      <c r="E389" s="6" t="s">
        <v>18</v>
      </c>
      <c r="F389" s="151">
        <v>16.125</v>
      </c>
      <c r="G389" s="7" t="s">
        <v>47</v>
      </c>
      <c r="H389" s="7" t="s">
        <v>41</v>
      </c>
      <c r="I389" s="7" t="s">
        <v>39</v>
      </c>
      <c r="J389">
        <v>0.2</v>
      </c>
      <c r="K389" s="148">
        <v>0.21210000000000001</v>
      </c>
      <c r="L389">
        <v>0.47</v>
      </c>
      <c r="M389" s="148">
        <v>0.16420000000000001</v>
      </c>
      <c r="N389">
        <v>21</v>
      </c>
      <c r="O389">
        <v>72</v>
      </c>
      <c r="P389">
        <v>93</v>
      </c>
    </row>
    <row r="390" spans="1:16">
      <c r="A390">
        <v>389</v>
      </c>
      <c r="B390" s="2">
        <v>40560</v>
      </c>
      <c r="C390">
        <v>1</v>
      </c>
      <c r="D390" t="s">
        <v>17</v>
      </c>
      <c r="E390" s="6" t="s">
        <v>18</v>
      </c>
      <c r="F390" s="151">
        <v>16.166666666666671</v>
      </c>
      <c r="G390" s="7" t="s">
        <v>47</v>
      </c>
      <c r="H390" s="7" t="s">
        <v>41</v>
      </c>
      <c r="I390" s="7" t="s">
        <v>39</v>
      </c>
      <c r="J390">
        <v>0.2</v>
      </c>
      <c r="K390" s="148">
        <v>0.21210000000000001</v>
      </c>
      <c r="L390">
        <v>0.47</v>
      </c>
      <c r="M390" s="148">
        <v>0.16420000000000001</v>
      </c>
      <c r="N390">
        <v>6</v>
      </c>
      <c r="O390">
        <v>76</v>
      </c>
      <c r="P390">
        <v>82</v>
      </c>
    </row>
    <row r="391" spans="1:16">
      <c r="A391">
        <v>390</v>
      </c>
      <c r="B391" s="2">
        <v>40560</v>
      </c>
      <c r="C391">
        <v>1</v>
      </c>
      <c r="D391" t="s">
        <v>17</v>
      </c>
      <c r="E391" s="6" t="s">
        <v>18</v>
      </c>
      <c r="F391" s="151">
        <v>16.208333333333329</v>
      </c>
      <c r="G391" s="7" t="s">
        <v>47</v>
      </c>
      <c r="H391" s="7" t="s">
        <v>41</v>
      </c>
      <c r="I391" s="7" t="s">
        <v>38</v>
      </c>
      <c r="J391">
        <v>0.2</v>
      </c>
      <c r="K391" s="148">
        <v>0.19700000000000001</v>
      </c>
      <c r="L391">
        <v>0.51</v>
      </c>
      <c r="M391" s="148">
        <v>0.19400000000000001</v>
      </c>
      <c r="N391">
        <v>4</v>
      </c>
      <c r="O391">
        <v>67</v>
      </c>
      <c r="P391">
        <v>71</v>
      </c>
    </row>
    <row r="392" spans="1:16">
      <c r="A392">
        <v>391</v>
      </c>
      <c r="B392" s="2">
        <v>40560</v>
      </c>
      <c r="C392">
        <v>1</v>
      </c>
      <c r="D392" t="s">
        <v>17</v>
      </c>
      <c r="E392" s="6" t="s">
        <v>18</v>
      </c>
      <c r="F392" s="151">
        <v>16.25</v>
      </c>
      <c r="G392" s="7" t="s">
        <v>47</v>
      </c>
      <c r="H392" s="7" t="s">
        <v>41</v>
      </c>
      <c r="I392" s="7" t="s">
        <v>39</v>
      </c>
      <c r="J392">
        <v>0.18</v>
      </c>
      <c r="K392" s="148">
        <v>0.16669999999999999</v>
      </c>
      <c r="L392">
        <v>0.55000000000000004</v>
      </c>
      <c r="M392" s="148">
        <v>0.25369999999999998</v>
      </c>
      <c r="N392">
        <v>7</v>
      </c>
      <c r="O392">
        <v>85</v>
      </c>
      <c r="P392">
        <v>92</v>
      </c>
    </row>
    <row r="393" spans="1:16">
      <c r="A393">
        <v>392</v>
      </c>
      <c r="B393" s="2">
        <v>40560</v>
      </c>
      <c r="C393">
        <v>1</v>
      </c>
      <c r="D393" t="s">
        <v>17</v>
      </c>
      <c r="E393" s="6" t="s">
        <v>18</v>
      </c>
      <c r="F393" s="151">
        <v>16.291666666666671</v>
      </c>
      <c r="G393" s="7" t="s">
        <v>47</v>
      </c>
      <c r="H393" s="7" t="s">
        <v>41</v>
      </c>
      <c r="I393" s="7" t="s">
        <v>45</v>
      </c>
      <c r="J393">
        <v>0.18</v>
      </c>
      <c r="K393" s="148">
        <v>0.18179999999999999</v>
      </c>
      <c r="L393">
        <v>0.59</v>
      </c>
      <c r="M393" s="148">
        <v>0.19400000000000001</v>
      </c>
      <c r="N393">
        <v>2</v>
      </c>
      <c r="O393">
        <v>58</v>
      </c>
      <c r="P393">
        <v>60</v>
      </c>
    </row>
    <row r="394" spans="1:16">
      <c r="A394">
        <v>393</v>
      </c>
      <c r="B394" s="2">
        <v>40560</v>
      </c>
      <c r="C394">
        <v>1</v>
      </c>
      <c r="D394" t="s">
        <v>17</v>
      </c>
      <c r="E394" s="6" t="s">
        <v>18</v>
      </c>
      <c r="F394" s="151">
        <v>16.333333333333329</v>
      </c>
      <c r="G394" s="7" t="s">
        <v>47</v>
      </c>
      <c r="H394" s="7" t="s">
        <v>41</v>
      </c>
      <c r="I394" s="7" t="s">
        <v>45</v>
      </c>
      <c r="J394">
        <v>0.16</v>
      </c>
      <c r="K394" s="148">
        <v>0.1515</v>
      </c>
      <c r="L394">
        <v>0.8</v>
      </c>
      <c r="M394" s="148">
        <v>0.19400000000000001</v>
      </c>
      <c r="N394">
        <v>4</v>
      </c>
      <c r="O394">
        <v>29</v>
      </c>
      <c r="P394">
        <v>33</v>
      </c>
    </row>
    <row r="395" spans="1:16">
      <c r="A395">
        <v>394</v>
      </c>
      <c r="B395" s="2">
        <v>40560</v>
      </c>
      <c r="C395">
        <v>1</v>
      </c>
      <c r="D395" t="s">
        <v>17</v>
      </c>
      <c r="E395" s="6" t="s">
        <v>18</v>
      </c>
      <c r="F395" s="151">
        <v>16.375</v>
      </c>
      <c r="G395" s="7" t="s">
        <v>47</v>
      </c>
      <c r="H395" s="7" t="s">
        <v>41</v>
      </c>
      <c r="I395" s="7" t="s">
        <v>45</v>
      </c>
      <c r="J395">
        <v>0.16</v>
      </c>
      <c r="K395" s="148">
        <v>0.1515</v>
      </c>
      <c r="L395">
        <v>0.8</v>
      </c>
      <c r="M395" s="148">
        <v>0.19400000000000001</v>
      </c>
      <c r="N395">
        <v>3</v>
      </c>
      <c r="O395">
        <v>24</v>
      </c>
      <c r="P395">
        <v>27</v>
      </c>
    </row>
    <row r="396" spans="1:16">
      <c r="A396">
        <v>395</v>
      </c>
      <c r="B396" s="2">
        <v>40560</v>
      </c>
      <c r="C396">
        <v>1</v>
      </c>
      <c r="D396" t="s">
        <v>17</v>
      </c>
      <c r="E396" s="6" t="s">
        <v>18</v>
      </c>
      <c r="F396" s="151">
        <v>16.416666666666671</v>
      </c>
      <c r="G396" s="7" t="s">
        <v>47</v>
      </c>
      <c r="H396" s="7" t="s">
        <v>41</v>
      </c>
      <c r="I396" s="7" t="s">
        <v>45</v>
      </c>
      <c r="J396">
        <v>0.14000000000000001</v>
      </c>
      <c r="K396" s="148">
        <v>0.1212</v>
      </c>
      <c r="L396">
        <v>0.93</v>
      </c>
      <c r="M396" s="148">
        <v>0.25369999999999998</v>
      </c>
      <c r="N396">
        <v>0</v>
      </c>
      <c r="O396">
        <v>13</v>
      </c>
      <c r="P396">
        <v>13</v>
      </c>
    </row>
    <row r="397" spans="1:16">
      <c r="A397">
        <v>396</v>
      </c>
      <c r="B397" s="2">
        <v>40560</v>
      </c>
      <c r="C397">
        <v>1</v>
      </c>
      <c r="D397" t="s">
        <v>17</v>
      </c>
      <c r="E397" s="6" t="s">
        <v>18</v>
      </c>
      <c r="F397" s="151">
        <v>16.458333333333329</v>
      </c>
      <c r="G397" s="7" t="s">
        <v>47</v>
      </c>
      <c r="H397" s="7" t="s">
        <v>41</v>
      </c>
      <c r="I397" s="7" t="s">
        <v>45</v>
      </c>
      <c r="J397">
        <v>0.16</v>
      </c>
      <c r="K397" s="148">
        <v>0.13639999999999999</v>
      </c>
      <c r="L397">
        <v>0.86</v>
      </c>
      <c r="M397" s="148">
        <v>0.28360000000000002</v>
      </c>
      <c r="N397">
        <v>1</v>
      </c>
      <c r="O397">
        <v>3</v>
      </c>
      <c r="P397">
        <v>4</v>
      </c>
    </row>
    <row r="398" spans="1:16">
      <c r="A398">
        <v>397</v>
      </c>
      <c r="B398" s="2">
        <v>40561</v>
      </c>
      <c r="C398">
        <v>1</v>
      </c>
      <c r="D398" t="s">
        <v>17</v>
      </c>
      <c r="E398" s="6" t="s">
        <v>18</v>
      </c>
      <c r="F398" s="151">
        <v>16.5</v>
      </c>
      <c r="G398" s="7" t="s">
        <v>36</v>
      </c>
      <c r="H398" s="7" t="s">
        <v>42</v>
      </c>
      <c r="I398" s="7" t="s">
        <v>39</v>
      </c>
      <c r="J398">
        <v>0.2</v>
      </c>
      <c r="K398" s="148">
        <v>0.18179999999999999</v>
      </c>
      <c r="L398">
        <v>0.86</v>
      </c>
      <c r="M398" s="148">
        <v>0.32840000000000003</v>
      </c>
      <c r="N398">
        <v>0</v>
      </c>
      <c r="O398">
        <v>3</v>
      </c>
      <c r="P398">
        <v>3</v>
      </c>
    </row>
    <row r="399" spans="1:16">
      <c r="A399">
        <v>398</v>
      </c>
      <c r="B399" s="2">
        <v>40561</v>
      </c>
      <c r="C399">
        <v>1</v>
      </c>
      <c r="D399" t="s">
        <v>17</v>
      </c>
      <c r="E399" s="6" t="s">
        <v>18</v>
      </c>
      <c r="F399" s="151">
        <v>16.541666666666671</v>
      </c>
      <c r="G399" s="7" t="s">
        <v>36</v>
      </c>
      <c r="H399" s="7" t="s">
        <v>42</v>
      </c>
      <c r="I399" s="7" t="s">
        <v>39</v>
      </c>
      <c r="J399">
        <v>0.2</v>
      </c>
      <c r="K399" s="148">
        <v>0.19700000000000001</v>
      </c>
      <c r="L399">
        <v>0.86</v>
      </c>
      <c r="M399" s="148">
        <v>0.22389999999999999</v>
      </c>
      <c r="N399">
        <v>0</v>
      </c>
      <c r="O399">
        <v>22</v>
      </c>
      <c r="P399">
        <v>22</v>
      </c>
    </row>
    <row r="400" spans="1:16">
      <c r="A400">
        <v>399</v>
      </c>
      <c r="B400" s="2">
        <v>40561</v>
      </c>
      <c r="C400">
        <v>1</v>
      </c>
      <c r="D400" t="s">
        <v>17</v>
      </c>
      <c r="E400" s="6" t="s">
        <v>18</v>
      </c>
      <c r="F400" s="151">
        <v>16.583333333333329</v>
      </c>
      <c r="G400" s="7" t="s">
        <v>36</v>
      </c>
      <c r="H400" s="7" t="s">
        <v>42</v>
      </c>
      <c r="I400" s="7" t="s">
        <v>39</v>
      </c>
      <c r="J400">
        <v>0.22</v>
      </c>
      <c r="K400" s="148">
        <v>0.2273</v>
      </c>
      <c r="L400">
        <v>0.8</v>
      </c>
      <c r="M400" s="148">
        <v>0.16420000000000001</v>
      </c>
      <c r="N400">
        <v>2</v>
      </c>
      <c r="O400">
        <v>26</v>
      </c>
      <c r="P400">
        <v>28</v>
      </c>
    </row>
    <row r="401" spans="1:16">
      <c r="A401">
        <v>400</v>
      </c>
      <c r="B401" s="2">
        <v>40561</v>
      </c>
      <c r="C401">
        <v>1</v>
      </c>
      <c r="D401" t="s">
        <v>17</v>
      </c>
      <c r="E401" s="6" t="s">
        <v>18</v>
      </c>
      <c r="F401" s="151">
        <v>16.625</v>
      </c>
      <c r="G401" s="7" t="s">
        <v>36</v>
      </c>
      <c r="H401" s="7" t="s">
        <v>42</v>
      </c>
      <c r="I401" s="7" t="s">
        <v>39</v>
      </c>
      <c r="J401">
        <v>0.22</v>
      </c>
      <c r="K401" s="148">
        <v>0.2273</v>
      </c>
      <c r="L401">
        <v>0.87</v>
      </c>
      <c r="M401" s="148">
        <v>0.16420000000000001</v>
      </c>
      <c r="N401">
        <v>3</v>
      </c>
      <c r="O401">
        <v>32</v>
      </c>
      <c r="P401">
        <v>35</v>
      </c>
    </row>
    <row r="402" spans="1:16">
      <c r="A402">
        <v>401</v>
      </c>
      <c r="B402" s="2">
        <v>40561</v>
      </c>
      <c r="C402">
        <v>1</v>
      </c>
      <c r="D402" t="s">
        <v>17</v>
      </c>
      <c r="E402" s="6" t="s">
        <v>18</v>
      </c>
      <c r="F402" s="151">
        <v>16.666666666666671</v>
      </c>
      <c r="G402" s="7" t="s">
        <v>36</v>
      </c>
      <c r="H402" s="7" t="s">
        <v>42</v>
      </c>
      <c r="I402" s="7" t="s">
        <v>39</v>
      </c>
      <c r="J402">
        <v>0.22</v>
      </c>
      <c r="K402" s="148">
        <v>0.2273</v>
      </c>
      <c r="L402">
        <v>0.87</v>
      </c>
      <c r="M402" s="148">
        <v>0.19400000000000001</v>
      </c>
      <c r="N402">
        <v>0</v>
      </c>
      <c r="O402">
        <v>61</v>
      </c>
      <c r="P402">
        <v>61</v>
      </c>
    </row>
    <row r="403" spans="1:16">
      <c r="A403">
        <v>402</v>
      </c>
      <c r="B403" s="2">
        <v>40561</v>
      </c>
      <c r="C403">
        <v>1</v>
      </c>
      <c r="D403" t="s">
        <v>17</v>
      </c>
      <c r="E403" s="6" t="s">
        <v>18</v>
      </c>
      <c r="F403" s="151">
        <v>16.708333333333329</v>
      </c>
      <c r="G403" s="7" t="s">
        <v>36</v>
      </c>
      <c r="H403" s="7" t="s">
        <v>42</v>
      </c>
      <c r="I403" s="7" t="s">
        <v>39</v>
      </c>
      <c r="J403">
        <v>0.22</v>
      </c>
      <c r="K403" s="148">
        <v>0.2273</v>
      </c>
      <c r="L403">
        <v>0.82</v>
      </c>
      <c r="M403" s="148">
        <v>0.19400000000000001</v>
      </c>
      <c r="N403">
        <v>1</v>
      </c>
      <c r="O403">
        <v>124</v>
      </c>
      <c r="P403">
        <v>125</v>
      </c>
    </row>
    <row r="404" spans="1:16">
      <c r="A404">
        <v>403</v>
      </c>
      <c r="B404" s="2">
        <v>40561</v>
      </c>
      <c r="C404">
        <v>1</v>
      </c>
      <c r="D404" t="s">
        <v>17</v>
      </c>
      <c r="E404" s="6" t="s">
        <v>18</v>
      </c>
      <c r="F404" s="151">
        <v>16.75</v>
      </c>
      <c r="G404" s="7" t="s">
        <v>36</v>
      </c>
      <c r="H404" s="7" t="s">
        <v>42</v>
      </c>
      <c r="I404" s="7" t="s">
        <v>39</v>
      </c>
      <c r="J404">
        <v>0.22</v>
      </c>
      <c r="K404" s="148">
        <v>0.2273</v>
      </c>
      <c r="L404">
        <v>0.8</v>
      </c>
      <c r="M404" s="148">
        <v>0.16420000000000001</v>
      </c>
      <c r="N404">
        <v>1</v>
      </c>
      <c r="O404">
        <v>132</v>
      </c>
      <c r="P404">
        <v>133</v>
      </c>
    </row>
    <row r="405" spans="1:16">
      <c r="A405">
        <v>404</v>
      </c>
      <c r="B405" s="2">
        <v>40561</v>
      </c>
      <c r="C405">
        <v>1</v>
      </c>
      <c r="D405" t="s">
        <v>17</v>
      </c>
      <c r="E405" s="6" t="s">
        <v>18</v>
      </c>
      <c r="F405" s="151">
        <v>16.791666666666671</v>
      </c>
      <c r="G405" s="7" t="s">
        <v>36</v>
      </c>
      <c r="H405" s="7" t="s">
        <v>42</v>
      </c>
      <c r="I405" s="7" t="s">
        <v>39</v>
      </c>
      <c r="J405">
        <v>0.22</v>
      </c>
      <c r="K405" s="148">
        <v>0.2273</v>
      </c>
      <c r="L405">
        <v>0.8</v>
      </c>
      <c r="M405" s="148">
        <v>0.1343</v>
      </c>
      <c r="N405">
        <v>1</v>
      </c>
      <c r="O405">
        <v>98</v>
      </c>
      <c r="P405">
        <v>99</v>
      </c>
    </row>
    <row r="406" spans="1:16">
      <c r="A406">
        <v>405</v>
      </c>
      <c r="B406" s="2">
        <v>40561</v>
      </c>
      <c r="C406">
        <v>1</v>
      </c>
      <c r="D406" t="s">
        <v>17</v>
      </c>
      <c r="E406" s="6" t="s">
        <v>18</v>
      </c>
      <c r="F406" s="151">
        <v>16.833333333333329</v>
      </c>
      <c r="G406" s="7" t="s">
        <v>36</v>
      </c>
      <c r="H406" s="7" t="s">
        <v>42</v>
      </c>
      <c r="I406" s="7" t="s">
        <v>39</v>
      </c>
      <c r="J406">
        <v>0.22</v>
      </c>
      <c r="K406" s="148">
        <v>0.2727</v>
      </c>
      <c r="L406">
        <v>0.87</v>
      </c>
      <c r="M406" s="148">
        <v>0</v>
      </c>
      <c r="N406">
        <v>0</v>
      </c>
      <c r="O406">
        <v>83</v>
      </c>
      <c r="P406">
        <v>83</v>
      </c>
    </row>
    <row r="407" spans="1:16">
      <c r="A407">
        <v>406</v>
      </c>
      <c r="B407" s="2">
        <v>40561</v>
      </c>
      <c r="C407">
        <v>1</v>
      </c>
      <c r="D407" t="s">
        <v>17</v>
      </c>
      <c r="E407" s="6" t="s">
        <v>18</v>
      </c>
      <c r="F407" s="151">
        <v>16.875</v>
      </c>
      <c r="G407" s="7" t="s">
        <v>36</v>
      </c>
      <c r="H407" s="7" t="s">
        <v>42</v>
      </c>
      <c r="I407" s="7" t="s">
        <v>39</v>
      </c>
      <c r="J407">
        <v>0.22</v>
      </c>
      <c r="K407" s="148">
        <v>0.2424</v>
      </c>
      <c r="L407">
        <v>0.93</v>
      </c>
      <c r="M407" s="148">
        <v>0.1045</v>
      </c>
      <c r="N407">
        <v>0</v>
      </c>
      <c r="O407">
        <v>41</v>
      </c>
      <c r="P407">
        <v>41</v>
      </c>
    </row>
    <row r="408" spans="1:16">
      <c r="A408">
        <v>407</v>
      </c>
      <c r="B408" s="2">
        <v>40561</v>
      </c>
      <c r="C408">
        <v>1</v>
      </c>
      <c r="D408" t="s">
        <v>17</v>
      </c>
      <c r="E408" s="6" t="s">
        <v>18</v>
      </c>
      <c r="F408" s="151">
        <v>16.916666666666671</v>
      </c>
      <c r="G408" s="7" t="s">
        <v>36</v>
      </c>
      <c r="H408" s="7" t="s">
        <v>42</v>
      </c>
      <c r="I408" s="7" t="s">
        <v>39</v>
      </c>
      <c r="J408">
        <v>0.22</v>
      </c>
      <c r="K408" s="148">
        <v>0.2576</v>
      </c>
      <c r="L408">
        <v>0.93</v>
      </c>
      <c r="M408" s="148">
        <v>8.9599999999999999E-2</v>
      </c>
      <c r="N408">
        <v>0</v>
      </c>
      <c r="O408">
        <v>33</v>
      </c>
      <c r="P408">
        <v>33</v>
      </c>
    </row>
    <row r="409" spans="1:16">
      <c r="A409">
        <v>408</v>
      </c>
      <c r="B409" s="2">
        <v>40561</v>
      </c>
      <c r="C409">
        <v>1</v>
      </c>
      <c r="D409" t="s">
        <v>17</v>
      </c>
      <c r="E409" s="6" t="s">
        <v>18</v>
      </c>
      <c r="F409" s="151">
        <v>16.958333333333329</v>
      </c>
      <c r="G409" s="7" t="s">
        <v>36</v>
      </c>
      <c r="H409" s="7" t="s">
        <v>42</v>
      </c>
      <c r="I409" s="7" t="s">
        <v>39</v>
      </c>
      <c r="J409">
        <v>0.22</v>
      </c>
      <c r="K409" s="148">
        <v>0.2727</v>
      </c>
      <c r="L409">
        <v>0.93</v>
      </c>
      <c r="M409" s="148">
        <v>0</v>
      </c>
      <c r="N409">
        <v>1</v>
      </c>
      <c r="O409">
        <v>19</v>
      </c>
      <c r="P409">
        <v>20</v>
      </c>
    </row>
    <row r="410" spans="1:16">
      <c r="A410">
        <v>409</v>
      </c>
      <c r="B410" s="2">
        <v>40562</v>
      </c>
      <c r="C410">
        <v>1</v>
      </c>
      <c r="D410" t="s">
        <v>17</v>
      </c>
      <c r="E410" s="6" t="s">
        <v>18</v>
      </c>
      <c r="F410" s="151">
        <v>17</v>
      </c>
      <c r="G410" s="7" t="s">
        <v>36</v>
      </c>
      <c r="H410" s="7" t="s">
        <v>46</v>
      </c>
      <c r="I410" s="7" t="s">
        <v>39</v>
      </c>
      <c r="J410">
        <v>0.22</v>
      </c>
      <c r="K410" s="148">
        <v>0.2727</v>
      </c>
      <c r="L410">
        <v>0.93</v>
      </c>
      <c r="M410" s="148">
        <v>0</v>
      </c>
      <c r="N410">
        <v>0</v>
      </c>
      <c r="O410">
        <v>3</v>
      </c>
      <c r="P410">
        <v>3</v>
      </c>
    </row>
    <row r="411" spans="1:16">
      <c r="A411">
        <v>410</v>
      </c>
      <c r="B411" s="2">
        <v>40562</v>
      </c>
      <c r="C411">
        <v>1</v>
      </c>
      <c r="D411" t="s">
        <v>17</v>
      </c>
      <c r="E411" s="6" t="s">
        <v>18</v>
      </c>
      <c r="F411" s="151">
        <v>17.041666666666671</v>
      </c>
      <c r="G411" s="7" t="s">
        <v>36</v>
      </c>
      <c r="H411" s="7" t="s">
        <v>46</v>
      </c>
      <c r="I411" s="7" t="s">
        <v>45</v>
      </c>
      <c r="J411">
        <v>0.22</v>
      </c>
      <c r="K411" s="148">
        <v>0.2273</v>
      </c>
      <c r="L411">
        <v>0.93</v>
      </c>
      <c r="M411" s="148">
        <v>0.1343</v>
      </c>
      <c r="N411">
        <v>1</v>
      </c>
      <c r="O411">
        <v>6</v>
      </c>
      <c r="P411">
        <v>7</v>
      </c>
    </row>
    <row r="412" spans="1:16">
      <c r="A412">
        <v>411</v>
      </c>
      <c r="B412" s="2">
        <v>40562</v>
      </c>
      <c r="C412">
        <v>1</v>
      </c>
      <c r="D412" t="s">
        <v>17</v>
      </c>
      <c r="E412" s="6" t="s">
        <v>18</v>
      </c>
      <c r="F412" s="151">
        <v>17.083333333333329</v>
      </c>
      <c r="G412" s="7" t="s">
        <v>36</v>
      </c>
      <c r="H412" s="7" t="s">
        <v>46</v>
      </c>
      <c r="I412" s="7" t="s">
        <v>45</v>
      </c>
      <c r="J412">
        <v>0.22</v>
      </c>
      <c r="K412" s="148">
        <v>0.2273</v>
      </c>
      <c r="L412">
        <v>0.93</v>
      </c>
      <c r="M412" s="148">
        <v>0.1343</v>
      </c>
      <c r="N412">
        <v>0</v>
      </c>
      <c r="O412">
        <v>3</v>
      </c>
      <c r="P412">
        <v>3</v>
      </c>
    </row>
    <row r="413" spans="1:16">
      <c r="A413">
        <v>412</v>
      </c>
      <c r="B413" s="2">
        <v>40562</v>
      </c>
      <c r="C413">
        <v>1</v>
      </c>
      <c r="D413" t="s">
        <v>17</v>
      </c>
      <c r="E413" s="6" t="s">
        <v>18</v>
      </c>
      <c r="F413" s="151">
        <v>17.125</v>
      </c>
      <c r="G413" s="7" t="s">
        <v>36</v>
      </c>
      <c r="H413" s="7" t="s">
        <v>46</v>
      </c>
      <c r="I413" s="7" t="s">
        <v>45</v>
      </c>
      <c r="J413">
        <v>0.22</v>
      </c>
      <c r="K413" s="148">
        <v>0.2273</v>
      </c>
      <c r="L413">
        <v>0.93</v>
      </c>
      <c r="M413" s="148">
        <v>0.1343</v>
      </c>
      <c r="N413">
        <v>1</v>
      </c>
      <c r="O413">
        <v>1</v>
      </c>
      <c r="P413">
        <v>2</v>
      </c>
    </row>
    <row r="414" spans="1:16">
      <c r="A414">
        <v>413</v>
      </c>
      <c r="B414" s="2">
        <v>40562</v>
      </c>
      <c r="C414">
        <v>1</v>
      </c>
      <c r="D414" t="s">
        <v>17</v>
      </c>
      <c r="E414" s="6" t="s">
        <v>18</v>
      </c>
      <c r="F414" s="151">
        <v>17.166666666666671</v>
      </c>
      <c r="G414" s="7" t="s">
        <v>36</v>
      </c>
      <c r="H414" s="7" t="s">
        <v>46</v>
      </c>
      <c r="I414" s="7" t="s">
        <v>39</v>
      </c>
      <c r="J414">
        <v>0.22</v>
      </c>
      <c r="K414" s="148">
        <v>0.2576</v>
      </c>
      <c r="L414">
        <v>0.93</v>
      </c>
      <c r="M414" s="148">
        <v>8.9599999999999999E-2</v>
      </c>
      <c r="N414">
        <v>0</v>
      </c>
      <c r="O414">
        <v>7</v>
      </c>
      <c r="P414">
        <v>7</v>
      </c>
    </row>
    <row r="415" spans="1:16">
      <c r="A415">
        <v>414</v>
      </c>
      <c r="B415" s="2">
        <v>40562</v>
      </c>
      <c r="C415">
        <v>1</v>
      </c>
      <c r="D415" t="s">
        <v>17</v>
      </c>
      <c r="E415" s="6" t="s">
        <v>18</v>
      </c>
      <c r="F415" s="151">
        <v>17.208333333333329</v>
      </c>
      <c r="G415" s="7" t="s">
        <v>36</v>
      </c>
      <c r="H415" s="7" t="s">
        <v>46</v>
      </c>
      <c r="I415" s="7" t="s">
        <v>39</v>
      </c>
      <c r="J415">
        <v>0.22</v>
      </c>
      <c r="K415" s="148">
        <v>0.2576</v>
      </c>
      <c r="L415">
        <v>0.93</v>
      </c>
      <c r="M415" s="148">
        <v>8.9599999999999999E-2</v>
      </c>
      <c r="N415">
        <v>0</v>
      </c>
      <c r="O415">
        <v>32</v>
      </c>
      <c r="P415">
        <v>32</v>
      </c>
    </row>
    <row r="416" spans="1:16">
      <c r="A416">
        <v>415</v>
      </c>
      <c r="B416" s="2">
        <v>40562</v>
      </c>
      <c r="C416">
        <v>1</v>
      </c>
      <c r="D416" t="s">
        <v>17</v>
      </c>
      <c r="E416" s="6" t="s">
        <v>18</v>
      </c>
      <c r="F416" s="151">
        <v>17.25</v>
      </c>
      <c r="G416" s="7" t="s">
        <v>36</v>
      </c>
      <c r="H416" s="7" t="s">
        <v>46</v>
      </c>
      <c r="I416" s="7" t="s">
        <v>39</v>
      </c>
      <c r="J416">
        <v>0.24</v>
      </c>
      <c r="K416" s="148">
        <v>0.2576</v>
      </c>
      <c r="L416">
        <v>0.92</v>
      </c>
      <c r="M416" s="148">
        <v>0.1045</v>
      </c>
      <c r="N416">
        <v>1</v>
      </c>
      <c r="O416">
        <v>89</v>
      </c>
      <c r="P416">
        <v>90</v>
      </c>
    </row>
    <row r="417" spans="1:16">
      <c r="A417">
        <v>416</v>
      </c>
      <c r="B417" s="2">
        <v>40562</v>
      </c>
      <c r="C417">
        <v>1</v>
      </c>
      <c r="D417" t="s">
        <v>17</v>
      </c>
      <c r="E417" s="6" t="s">
        <v>18</v>
      </c>
      <c r="F417" s="151">
        <v>17.291666666666671</v>
      </c>
      <c r="G417" s="7" t="s">
        <v>36</v>
      </c>
      <c r="H417" s="7" t="s">
        <v>46</v>
      </c>
      <c r="I417" s="7" t="s">
        <v>39</v>
      </c>
      <c r="J417">
        <v>0.24</v>
      </c>
      <c r="K417" s="148">
        <v>0.2576</v>
      </c>
      <c r="L417">
        <v>0.93</v>
      </c>
      <c r="M417" s="148">
        <v>0.1045</v>
      </c>
      <c r="N417">
        <v>1</v>
      </c>
      <c r="O417">
        <v>196</v>
      </c>
      <c r="P417">
        <v>197</v>
      </c>
    </row>
    <row r="418" spans="1:16">
      <c r="A418">
        <v>417</v>
      </c>
      <c r="B418" s="2">
        <v>40562</v>
      </c>
      <c r="C418">
        <v>1</v>
      </c>
      <c r="D418" t="s">
        <v>17</v>
      </c>
      <c r="E418" s="6" t="s">
        <v>18</v>
      </c>
      <c r="F418" s="151">
        <v>17.333333333333329</v>
      </c>
      <c r="G418" s="7" t="s">
        <v>36</v>
      </c>
      <c r="H418" s="7" t="s">
        <v>46</v>
      </c>
      <c r="I418" s="7" t="s">
        <v>39</v>
      </c>
      <c r="J418">
        <v>0.24</v>
      </c>
      <c r="K418" s="148">
        <v>0.2576</v>
      </c>
      <c r="L418">
        <v>0.93</v>
      </c>
      <c r="M418" s="148">
        <v>0.1045</v>
      </c>
      <c r="N418">
        <v>2</v>
      </c>
      <c r="O418">
        <v>107</v>
      </c>
      <c r="P418">
        <v>109</v>
      </c>
    </row>
    <row r="419" spans="1:16">
      <c r="A419">
        <v>418</v>
      </c>
      <c r="B419" s="2">
        <v>40562</v>
      </c>
      <c r="C419">
        <v>1</v>
      </c>
      <c r="D419" t="s">
        <v>17</v>
      </c>
      <c r="E419" s="6" t="s">
        <v>18</v>
      </c>
      <c r="F419" s="151">
        <v>17.375</v>
      </c>
      <c r="G419" s="7" t="s">
        <v>36</v>
      </c>
      <c r="H419" s="7" t="s">
        <v>46</v>
      </c>
      <c r="I419" s="7" t="s">
        <v>39</v>
      </c>
      <c r="J419">
        <v>0.26</v>
      </c>
      <c r="K419" s="148">
        <v>0.2727</v>
      </c>
      <c r="L419">
        <v>0.93</v>
      </c>
      <c r="M419" s="148">
        <v>0.1343</v>
      </c>
      <c r="N419">
        <v>1</v>
      </c>
      <c r="O419">
        <v>46</v>
      </c>
      <c r="P419">
        <v>47</v>
      </c>
    </row>
    <row r="420" spans="1:16">
      <c r="A420">
        <v>419</v>
      </c>
      <c r="B420" s="2">
        <v>40562</v>
      </c>
      <c r="C420">
        <v>1</v>
      </c>
      <c r="D420" t="s">
        <v>17</v>
      </c>
      <c r="E420" s="6" t="s">
        <v>18</v>
      </c>
      <c r="F420" s="151">
        <v>17.416666666666671</v>
      </c>
      <c r="G420" s="7" t="s">
        <v>36</v>
      </c>
      <c r="H420" s="7" t="s">
        <v>46</v>
      </c>
      <c r="I420" s="7" t="s">
        <v>39</v>
      </c>
      <c r="J420">
        <v>0.28000000000000003</v>
      </c>
      <c r="K420" s="148">
        <v>0.30299999999999999</v>
      </c>
      <c r="L420">
        <v>0.87</v>
      </c>
      <c r="M420" s="148">
        <v>8.9599999999999999E-2</v>
      </c>
      <c r="N420">
        <v>5</v>
      </c>
      <c r="O420">
        <v>47</v>
      </c>
      <c r="P420">
        <v>52</v>
      </c>
    </row>
    <row r="421" spans="1:16">
      <c r="A421">
        <v>420</v>
      </c>
      <c r="B421" s="2">
        <v>40562</v>
      </c>
      <c r="C421">
        <v>1</v>
      </c>
      <c r="D421" t="s">
        <v>17</v>
      </c>
      <c r="E421" s="6" t="s">
        <v>18</v>
      </c>
      <c r="F421" s="151">
        <v>17.458333333333329</v>
      </c>
      <c r="G421" s="7" t="s">
        <v>36</v>
      </c>
      <c r="H421" s="7" t="s">
        <v>46</v>
      </c>
      <c r="I421" s="7" t="s">
        <v>39</v>
      </c>
      <c r="J421">
        <v>0.3</v>
      </c>
      <c r="K421" s="148">
        <v>0.31819999999999998</v>
      </c>
      <c r="L421">
        <v>0.81</v>
      </c>
      <c r="M421" s="148">
        <v>8.9599999999999999E-2</v>
      </c>
      <c r="N421">
        <v>5</v>
      </c>
      <c r="O421">
        <v>65</v>
      </c>
      <c r="P421">
        <v>70</v>
      </c>
    </row>
    <row r="422" spans="1:16">
      <c r="A422">
        <v>421</v>
      </c>
      <c r="B422" s="2">
        <v>40562</v>
      </c>
      <c r="C422">
        <v>1</v>
      </c>
      <c r="D422" t="s">
        <v>17</v>
      </c>
      <c r="E422" s="6" t="s">
        <v>18</v>
      </c>
      <c r="F422" s="151">
        <v>17.5</v>
      </c>
      <c r="G422" s="7" t="s">
        <v>36</v>
      </c>
      <c r="H422" s="7" t="s">
        <v>46</v>
      </c>
      <c r="I422" s="7" t="s">
        <v>38</v>
      </c>
      <c r="J422">
        <v>0.4</v>
      </c>
      <c r="K422" s="148">
        <v>0.40910000000000002</v>
      </c>
      <c r="L422">
        <v>0.62</v>
      </c>
      <c r="M422" s="148">
        <v>0.28360000000000002</v>
      </c>
      <c r="N422">
        <v>11</v>
      </c>
      <c r="O422">
        <v>67</v>
      </c>
      <c r="P422">
        <v>78</v>
      </c>
    </row>
    <row r="423" spans="1:16">
      <c r="A423">
        <v>422</v>
      </c>
      <c r="B423" s="2">
        <v>40562</v>
      </c>
      <c r="C423">
        <v>1</v>
      </c>
      <c r="D423" t="s">
        <v>17</v>
      </c>
      <c r="E423" s="6" t="s">
        <v>18</v>
      </c>
      <c r="F423" s="151">
        <v>17.541666666666671</v>
      </c>
      <c r="G423" s="7" t="s">
        <v>36</v>
      </c>
      <c r="H423" s="7" t="s">
        <v>46</v>
      </c>
      <c r="I423" s="7" t="s">
        <v>38</v>
      </c>
      <c r="J423">
        <v>0.4</v>
      </c>
      <c r="K423" s="148">
        <v>0.40910000000000002</v>
      </c>
      <c r="L423">
        <v>0.57999999999999996</v>
      </c>
      <c r="M423" s="148">
        <v>0.25369999999999998</v>
      </c>
      <c r="N423">
        <v>7</v>
      </c>
      <c r="O423">
        <v>68</v>
      </c>
      <c r="P423">
        <v>75</v>
      </c>
    </row>
    <row r="424" spans="1:16">
      <c r="A424">
        <v>423</v>
      </c>
      <c r="B424" s="2">
        <v>40562</v>
      </c>
      <c r="C424">
        <v>1</v>
      </c>
      <c r="D424" t="s">
        <v>17</v>
      </c>
      <c r="E424" s="6" t="s">
        <v>18</v>
      </c>
      <c r="F424" s="151">
        <v>17.583333333333329</v>
      </c>
      <c r="G424" s="7" t="s">
        <v>36</v>
      </c>
      <c r="H424" s="7" t="s">
        <v>46</v>
      </c>
      <c r="I424" s="7" t="s">
        <v>38</v>
      </c>
      <c r="J424">
        <v>0.4</v>
      </c>
      <c r="K424" s="148">
        <v>0.40910000000000002</v>
      </c>
      <c r="L424">
        <v>0.54</v>
      </c>
      <c r="M424" s="148">
        <v>0.28360000000000002</v>
      </c>
      <c r="N424">
        <v>4</v>
      </c>
      <c r="O424">
        <v>78</v>
      </c>
      <c r="P424">
        <v>82</v>
      </c>
    </row>
    <row r="425" spans="1:16">
      <c r="A425">
        <v>424</v>
      </c>
      <c r="B425" s="2">
        <v>40562</v>
      </c>
      <c r="C425">
        <v>1</v>
      </c>
      <c r="D425" t="s">
        <v>17</v>
      </c>
      <c r="E425" s="6" t="s">
        <v>18</v>
      </c>
      <c r="F425" s="151">
        <v>17.625</v>
      </c>
      <c r="G425" s="7" t="s">
        <v>36</v>
      </c>
      <c r="H425" s="7" t="s">
        <v>46</v>
      </c>
      <c r="I425" s="7" t="s">
        <v>38</v>
      </c>
      <c r="J425">
        <v>0.38</v>
      </c>
      <c r="K425" s="148">
        <v>0.39389999999999997</v>
      </c>
      <c r="L425">
        <v>0.57999999999999996</v>
      </c>
      <c r="M425" s="148">
        <v>0.3881</v>
      </c>
      <c r="N425">
        <v>10</v>
      </c>
      <c r="O425">
        <v>94</v>
      </c>
      <c r="P425">
        <v>104</v>
      </c>
    </row>
    <row r="426" spans="1:16">
      <c r="A426">
        <v>425</v>
      </c>
      <c r="B426" s="2">
        <v>40562</v>
      </c>
      <c r="C426">
        <v>1</v>
      </c>
      <c r="D426" t="s">
        <v>17</v>
      </c>
      <c r="E426" s="6" t="s">
        <v>18</v>
      </c>
      <c r="F426" s="151">
        <v>17.666666666666671</v>
      </c>
      <c r="G426" s="7" t="s">
        <v>36</v>
      </c>
      <c r="H426" s="7" t="s">
        <v>46</v>
      </c>
      <c r="I426" s="7" t="s">
        <v>38</v>
      </c>
      <c r="J426">
        <v>0.36</v>
      </c>
      <c r="K426" s="148">
        <v>0.33329999999999999</v>
      </c>
      <c r="L426">
        <v>0.56999999999999995</v>
      </c>
      <c r="M426" s="148">
        <v>0.32840000000000003</v>
      </c>
      <c r="N426">
        <v>7</v>
      </c>
      <c r="O426">
        <v>190</v>
      </c>
      <c r="P426">
        <v>197</v>
      </c>
    </row>
    <row r="427" spans="1:16">
      <c r="A427">
        <v>426</v>
      </c>
      <c r="B427" s="2">
        <v>40562</v>
      </c>
      <c r="C427">
        <v>1</v>
      </c>
      <c r="D427" t="s">
        <v>17</v>
      </c>
      <c r="E427" s="6" t="s">
        <v>18</v>
      </c>
      <c r="F427" s="151">
        <v>17.708333333333329</v>
      </c>
      <c r="G427" s="7" t="s">
        <v>36</v>
      </c>
      <c r="H427" s="7" t="s">
        <v>46</v>
      </c>
      <c r="I427" s="7" t="s">
        <v>38</v>
      </c>
      <c r="J427">
        <v>0.34</v>
      </c>
      <c r="K427" s="148">
        <v>0.31819999999999998</v>
      </c>
      <c r="L427">
        <v>0.61</v>
      </c>
      <c r="M427" s="148">
        <v>0.28360000000000002</v>
      </c>
      <c r="N427">
        <v>5</v>
      </c>
      <c r="O427">
        <v>156</v>
      </c>
      <c r="P427">
        <v>161</v>
      </c>
    </row>
    <row r="428" spans="1:16">
      <c r="A428">
        <v>427</v>
      </c>
      <c r="B428" s="2">
        <v>40562</v>
      </c>
      <c r="C428">
        <v>1</v>
      </c>
      <c r="D428" t="s">
        <v>17</v>
      </c>
      <c r="E428" s="6" t="s">
        <v>18</v>
      </c>
      <c r="F428" s="151">
        <v>17.75</v>
      </c>
      <c r="G428" s="7" t="s">
        <v>36</v>
      </c>
      <c r="H428" s="7" t="s">
        <v>46</v>
      </c>
      <c r="I428" s="7" t="s">
        <v>38</v>
      </c>
      <c r="J428">
        <v>0.32</v>
      </c>
      <c r="K428" s="148">
        <v>0.28789999999999999</v>
      </c>
      <c r="L428">
        <v>0.56999999999999995</v>
      </c>
      <c r="M428" s="148">
        <v>0.41789999999999999</v>
      </c>
      <c r="N428">
        <v>4</v>
      </c>
      <c r="O428">
        <v>108</v>
      </c>
      <c r="P428">
        <v>112</v>
      </c>
    </row>
    <row r="429" spans="1:16">
      <c r="A429">
        <v>428</v>
      </c>
      <c r="B429" s="2">
        <v>40562</v>
      </c>
      <c r="C429">
        <v>1</v>
      </c>
      <c r="D429" t="s">
        <v>17</v>
      </c>
      <c r="E429" s="6" t="s">
        <v>18</v>
      </c>
      <c r="F429" s="151">
        <v>17.791666666666671</v>
      </c>
      <c r="G429" s="7" t="s">
        <v>36</v>
      </c>
      <c r="H429" s="7" t="s">
        <v>46</v>
      </c>
      <c r="I429" s="7" t="s">
        <v>38</v>
      </c>
      <c r="J429">
        <v>0.32</v>
      </c>
      <c r="K429" s="148">
        <v>0.30299999999999999</v>
      </c>
      <c r="L429">
        <v>0.49</v>
      </c>
      <c r="M429" s="148">
        <v>0.29849999999999999</v>
      </c>
      <c r="N429">
        <v>2</v>
      </c>
      <c r="O429">
        <v>74</v>
      </c>
      <c r="P429">
        <v>76</v>
      </c>
    </row>
    <row r="430" spans="1:16">
      <c r="A430">
        <v>429</v>
      </c>
      <c r="B430" s="2">
        <v>40562</v>
      </c>
      <c r="C430">
        <v>1</v>
      </c>
      <c r="D430" t="s">
        <v>17</v>
      </c>
      <c r="E430" s="6" t="s">
        <v>18</v>
      </c>
      <c r="F430" s="151">
        <v>17.833333333333329</v>
      </c>
      <c r="G430" s="7" t="s">
        <v>36</v>
      </c>
      <c r="H430" s="7" t="s">
        <v>46</v>
      </c>
      <c r="I430" s="7" t="s">
        <v>38</v>
      </c>
      <c r="J430">
        <v>0.32</v>
      </c>
      <c r="K430" s="148">
        <v>0.28789999999999999</v>
      </c>
      <c r="L430">
        <v>0.49</v>
      </c>
      <c r="M430" s="148">
        <v>0.41789999999999999</v>
      </c>
      <c r="N430">
        <v>4</v>
      </c>
      <c r="O430">
        <v>55</v>
      </c>
      <c r="P430">
        <v>59</v>
      </c>
    </row>
    <row r="431" spans="1:16">
      <c r="A431">
        <v>430</v>
      </c>
      <c r="B431" s="2">
        <v>40562</v>
      </c>
      <c r="C431">
        <v>1</v>
      </c>
      <c r="D431" t="s">
        <v>17</v>
      </c>
      <c r="E431" s="6" t="s">
        <v>18</v>
      </c>
      <c r="F431" s="151">
        <v>17.875</v>
      </c>
      <c r="G431" s="7" t="s">
        <v>36</v>
      </c>
      <c r="H431" s="7" t="s">
        <v>46</v>
      </c>
      <c r="I431" s="7" t="s">
        <v>38</v>
      </c>
      <c r="J431">
        <v>0.3</v>
      </c>
      <c r="K431" s="148">
        <v>0.30299999999999999</v>
      </c>
      <c r="L431">
        <v>0.52</v>
      </c>
      <c r="M431" s="148">
        <v>0.16420000000000001</v>
      </c>
      <c r="N431">
        <v>6</v>
      </c>
      <c r="O431">
        <v>53</v>
      </c>
      <c r="P431">
        <v>59</v>
      </c>
    </row>
    <row r="432" spans="1:16">
      <c r="A432">
        <v>431</v>
      </c>
      <c r="B432" s="2">
        <v>40562</v>
      </c>
      <c r="C432">
        <v>1</v>
      </c>
      <c r="D432" t="s">
        <v>17</v>
      </c>
      <c r="E432" s="6" t="s">
        <v>18</v>
      </c>
      <c r="F432" s="151">
        <v>17.916666666666671</v>
      </c>
      <c r="G432" s="7" t="s">
        <v>36</v>
      </c>
      <c r="H432" s="7" t="s">
        <v>46</v>
      </c>
      <c r="I432" s="7" t="s">
        <v>38</v>
      </c>
      <c r="J432">
        <v>0.3</v>
      </c>
      <c r="K432" s="148">
        <v>0.2727</v>
      </c>
      <c r="L432">
        <v>0.52</v>
      </c>
      <c r="M432" s="148">
        <v>0.4627</v>
      </c>
      <c r="N432">
        <v>1</v>
      </c>
      <c r="O432">
        <v>27</v>
      </c>
      <c r="P432">
        <v>28</v>
      </c>
    </row>
    <row r="433" spans="1:16">
      <c r="A433">
        <v>432</v>
      </c>
      <c r="B433" s="2">
        <v>40563</v>
      </c>
      <c r="C433">
        <v>1</v>
      </c>
      <c r="D433" t="s">
        <v>17</v>
      </c>
      <c r="E433" s="6" t="s">
        <v>18</v>
      </c>
      <c r="F433" s="151">
        <v>17.958333333333329</v>
      </c>
      <c r="G433" s="7" t="s">
        <v>36</v>
      </c>
      <c r="H433" s="7" t="s">
        <v>195</v>
      </c>
      <c r="I433" s="7" t="s">
        <v>38</v>
      </c>
      <c r="J433">
        <v>0.26</v>
      </c>
      <c r="K433" s="148">
        <v>0.2273</v>
      </c>
      <c r="L433">
        <v>0.56000000000000005</v>
      </c>
      <c r="M433" s="148">
        <v>0.3881</v>
      </c>
      <c r="N433">
        <v>5</v>
      </c>
      <c r="O433">
        <v>8</v>
      </c>
      <c r="P433">
        <v>13</v>
      </c>
    </row>
    <row r="434" spans="1:16">
      <c r="A434">
        <v>433</v>
      </c>
      <c r="B434" s="2">
        <v>40563</v>
      </c>
      <c r="C434">
        <v>1</v>
      </c>
      <c r="D434" t="s">
        <v>17</v>
      </c>
      <c r="E434" s="6" t="s">
        <v>18</v>
      </c>
      <c r="F434" s="151">
        <v>18</v>
      </c>
      <c r="G434" s="7" t="s">
        <v>36</v>
      </c>
      <c r="H434" s="7" t="s">
        <v>195</v>
      </c>
      <c r="I434" s="7" t="s">
        <v>38</v>
      </c>
      <c r="J434">
        <v>0.26</v>
      </c>
      <c r="K434" s="148">
        <v>0.2727</v>
      </c>
      <c r="L434">
        <v>0.56000000000000005</v>
      </c>
      <c r="M434" s="148">
        <v>0</v>
      </c>
      <c r="N434">
        <v>2</v>
      </c>
      <c r="O434">
        <v>3</v>
      </c>
      <c r="P434">
        <v>5</v>
      </c>
    </row>
    <row r="435" spans="1:16">
      <c r="A435">
        <v>434</v>
      </c>
      <c r="B435" s="2">
        <v>40563</v>
      </c>
      <c r="C435">
        <v>1</v>
      </c>
      <c r="D435" t="s">
        <v>17</v>
      </c>
      <c r="E435" s="6" t="s">
        <v>18</v>
      </c>
      <c r="F435" s="151">
        <v>18.041666666666671</v>
      </c>
      <c r="G435" s="7" t="s">
        <v>36</v>
      </c>
      <c r="H435" s="7" t="s">
        <v>195</v>
      </c>
      <c r="I435" s="7" t="s">
        <v>38</v>
      </c>
      <c r="J435">
        <v>0.26</v>
      </c>
      <c r="K435" s="148">
        <v>0.2727</v>
      </c>
      <c r="L435">
        <v>0.56000000000000005</v>
      </c>
      <c r="M435" s="148">
        <v>0</v>
      </c>
      <c r="N435">
        <v>0</v>
      </c>
      <c r="O435">
        <v>2</v>
      </c>
      <c r="P435">
        <v>2</v>
      </c>
    </row>
    <row r="436" spans="1:16">
      <c r="A436">
        <v>435</v>
      </c>
      <c r="B436" s="2">
        <v>40563</v>
      </c>
      <c r="C436">
        <v>1</v>
      </c>
      <c r="D436" t="s">
        <v>17</v>
      </c>
      <c r="E436" s="6" t="s">
        <v>18</v>
      </c>
      <c r="F436" s="151">
        <v>18.083333333333329</v>
      </c>
      <c r="G436" s="7" t="s">
        <v>36</v>
      </c>
      <c r="H436" s="7" t="s">
        <v>195</v>
      </c>
      <c r="I436" s="7" t="s">
        <v>38</v>
      </c>
      <c r="J436">
        <v>0.26</v>
      </c>
      <c r="K436" s="148">
        <v>0.2576</v>
      </c>
      <c r="L436">
        <v>0.56000000000000005</v>
      </c>
      <c r="M436" s="148">
        <v>0.16420000000000001</v>
      </c>
      <c r="N436">
        <v>0</v>
      </c>
      <c r="O436">
        <v>1</v>
      </c>
      <c r="P436">
        <v>1</v>
      </c>
    </row>
    <row r="437" spans="1:16">
      <c r="A437">
        <v>436</v>
      </c>
      <c r="B437" s="2">
        <v>40563</v>
      </c>
      <c r="C437">
        <v>1</v>
      </c>
      <c r="D437" t="s">
        <v>17</v>
      </c>
      <c r="E437" s="6" t="s">
        <v>18</v>
      </c>
      <c r="F437" s="151">
        <v>18.125</v>
      </c>
      <c r="G437" s="7" t="s">
        <v>36</v>
      </c>
      <c r="H437" s="7" t="s">
        <v>195</v>
      </c>
      <c r="I437" s="7" t="s">
        <v>38</v>
      </c>
      <c r="J437">
        <v>0.26</v>
      </c>
      <c r="K437" s="148">
        <v>0.2576</v>
      </c>
      <c r="L437">
        <v>0.56000000000000005</v>
      </c>
      <c r="M437" s="148">
        <v>0.16420000000000001</v>
      </c>
      <c r="N437">
        <v>0</v>
      </c>
      <c r="O437">
        <v>1</v>
      </c>
      <c r="P437">
        <v>1</v>
      </c>
    </row>
    <row r="438" spans="1:16">
      <c r="A438">
        <v>437</v>
      </c>
      <c r="B438" s="2">
        <v>40563</v>
      </c>
      <c r="C438">
        <v>1</v>
      </c>
      <c r="D438" t="s">
        <v>17</v>
      </c>
      <c r="E438" s="6" t="s">
        <v>18</v>
      </c>
      <c r="F438" s="151">
        <v>18.166666666666671</v>
      </c>
      <c r="G438" s="7" t="s">
        <v>36</v>
      </c>
      <c r="H438" s="7" t="s">
        <v>195</v>
      </c>
      <c r="I438" s="7" t="s">
        <v>38</v>
      </c>
      <c r="J438">
        <v>0.24</v>
      </c>
      <c r="K438" s="148">
        <v>0.2273</v>
      </c>
      <c r="L438">
        <v>0.6</v>
      </c>
      <c r="M438" s="148">
        <v>0.22389999999999999</v>
      </c>
      <c r="N438">
        <v>0</v>
      </c>
      <c r="O438">
        <v>6</v>
      </c>
      <c r="P438">
        <v>6</v>
      </c>
    </row>
    <row r="439" spans="1:16">
      <c r="A439">
        <v>438</v>
      </c>
      <c r="B439" s="2">
        <v>40563</v>
      </c>
      <c r="C439">
        <v>1</v>
      </c>
      <c r="D439" t="s">
        <v>17</v>
      </c>
      <c r="E439" s="6" t="s">
        <v>18</v>
      </c>
      <c r="F439" s="151">
        <v>18.208333333333329</v>
      </c>
      <c r="G439" s="7" t="s">
        <v>36</v>
      </c>
      <c r="H439" s="7" t="s">
        <v>195</v>
      </c>
      <c r="I439" s="7" t="s">
        <v>38</v>
      </c>
      <c r="J439">
        <v>0.22</v>
      </c>
      <c r="K439" s="148">
        <v>0.21210000000000001</v>
      </c>
      <c r="L439">
        <v>0.6</v>
      </c>
      <c r="M439" s="148">
        <v>0.22389999999999999</v>
      </c>
      <c r="N439">
        <v>0</v>
      </c>
      <c r="O439">
        <v>35</v>
      </c>
      <c r="P439">
        <v>35</v>
      </c>
    </row>
    <row r="440" spans="1:16">
      <c r="A440">
        <v>439</v>
      </c>
      <c r="B440" s="2">
        <v>40563</v>
      </c>
      <c r="C440">
        <v>1</v>
      </c>
      <c r="D440" t="s">
        <v>17</v>
      </c>
      <c r="E440" s="6" t="s">
        <v>18</v>
      </c>
      <c r="F440" s="151">
        <v>18.25</v>
      </c>
      <c r="G440" s="7" t="s">
        <v>36</v>
      </c>
      <c r="H440" s="7" t="s">
        <v>195</v>
      </c>
      <c r="I440" s="7" t="s">
        <v>38</v>
      </c>
      <c r="J440">
        <v>0.22</v>
      </c>
      <c r="K440" s="148">
        <v>0.21210000000000001</v>
      </c>
      <c r="L440">
        <v>0.55000000000000004</v>
      </c>
      <c r="M440" s="148">
        <v>0.22389999999999999</v>
      </c>
      <c r="N440">
        <v>1</v>
      </c>
      <c r="O440">
        <v>100</v>
      </c>
      <c r="P440">
        <v>101</v>
      </c>
    </row>
    <row r="441" spans="1:16">
      <c r="A441">
        <v>440</v>
      </c>
      <c r="B441" s="2">
        <v>40563</v>
      </c>
      <c r="C441">
        <v>1</v>
      </c>
      <c r="D441" t="s">
        <v>17</v>
      </c>
      <c r="E441" s="6" t="s">
        <v>18</v>
      </c>
      <c r="F441" s="151">
        <v>18.291666666666671</v>
      </c>
      <c r="G441" s="7" t="s">
        <v>36</v>
      </c>
      <c r="H441" s="7" t="s">
        <v>195</v>
      </c>
      <c r="I441" s="7" t="s">
        <v>38</v>
      </c>
      <c r="J441">
        <v>0.22</v>
      </c>
      <c r="K441" s="148">
        <v>0.21210000000000001</v>
      </c>
      <c r="L441">
        <v>0.55000000000000004</v>
      </c>
      <c r="M441" s="148">
        <v>0.28360000000000002</v>
      </c>
      <c r="N441">
        <v>2</v>
      </c>
      <c r="O441">
        <v>247</v>
      </c>
      <c r="P441">
        <v>249</v>
      </c>
    </row>
    <row r="442" spans="1:16">
      <c r="A442">
        <v>441</v>
      </c>
      <c r="B442" s="2">
        <v>40563</v>
      </c>
      <c r="C442">
        <v>1</v>
      </c>
      <c r="D442" t="s">
        <v>17</v>
      </c>
      <c r="E442" s="6" t="s">
        <v>18</v>
      </c>
      <c r="F442" s="151">
        <v>18.333333333333329</v>
      </c>
      <c r="G442" s="7" t="s">
        <v>36</v>
      </c>
      <c r="H442" s="7" t="s">
        <v>195</v>
      </c>
      <c r="I442" s="7" t="s">
        <v>39</v>
      </c>
      <c r="J442">
        <v>0.24</v>
      </c>
      <c r="K442" s="148">
        <v>0.2273</v>
      </c>
      <c r="L442">
        <v>0.52</v>
      </c>
      <c r="M442" s="148">
        <v>0.22389999999999999</v>
      </c>
      <c r="N442">
        <v>3</v>
      </c>
      <c r="O442">
        <v>140</v>
      </c>
      <c r="P442">
        <v>143</v>
      </c>
    </row>
    <row r="443" spans="1:16">
      <c r="A443">
        <v>442</v>
      </c>
      <c r="B443" s="2">
        <v>40563</v>
      </c>
      <c r="C443">
        <v>1</v>
      </c>
      <c r="D443" t="s">
        <v>17</v>
      </c>
      <c r="E443" s="6" t="s">
        <v>18</v>
      </c>
      <c r="F443" s="151">
        <v>18.375</v>
      </c>
      <c r="G443" s="7" t="s">
        <v>36</v>
      </c>
      <c r="H443" s="7" t="s">
        <v>195</v>
      </c>
      <c r="I443" s="7" t="s">
        <v>38</v>
      </c>
      <c r="J443">
        <v>0.26</v>
      </c>
      <c r="K443" s="148">
        <v>0.2273</v>
      </c>
      <c r="L443">
        <v>0.48</v>
      </c>
      <c r="M443" s="148">
        <v>0.29849999999999999</v>
      </c>
      <c r="N443">
        <v>1</v>
      </c>
      <c r="O443">
        <v>56</v>
      </c>
      <c r="P443">
        <v>57</v>
      </c>
    </row>
    <row r="444" spans="1:16">
      <c r="A444">
        <v>443</v>
      </c>
      <c r="B444" s="2">
        <v>40563</v>
      </c>
      <c r="C444">
        <v>1</v>
      </c>
      <c r="D444" t="s">
        <v>17</v>
      </c>
      <c r="E444" s="6" t="s">
        <v>18</v>
      </c>
      <c r="F444" s="151">
        <v>18.416666666666671</v>
      </c>
      <c r="G444" s="7" t="s">
        <v>36</v>
      </c>
      <c r="H444" s="7" t="s">
        <v>195</v>
      </c>
      <c r="I444" s="7" t="s">
        <v>39</v>
      </c>
      <c r="J444">
        <v>0.28000000000000003</v>
      </c>
      <c r="K444" s="148">
        <v>0.2727</v>
      </c>
      <c r="L444">
        <v>0.45</v>
      </c>
      <c r="M444" s="148">
        <v>0.16420000000000001</v>
      </c>
      <c r="N444">
        <v>5</v>
      </c>
      <c r="O444">
        <v>63</v>
      </c>
      <c r="P444">
        <v>68</v>
      </c>
    </row>
    <row r="445" spans="1:16">
      <c r="A445">
        <v>444</v>
      </c>
      <c r="B445" s="2">
        <v>40563</v>
      </c>
      <c r="C445">
        <v>1</v>
      </c>
      <c r="D445" t="s">
        <v>17</v>
      </c>
      <c r="E445" s="6" t="s">
        <v>18</v>
      </c>
      <c r="F445" s="151">
        <v>18.458333333333329</v>
      </c>
      <c r="G445" s="7" t="s">
        <v>36</v>
      </c>
      <c r="H445" s="7" t="s">
        <v>195</v>
      </c>
      <c r="I445" s="7" t="s">
        <v>39</v>
      </c>
      <c r="J445">
        <v>0.3</v>
      </c>
      <c r="K445" s="148">
        <v>0.33329999999999999</v>
      </c>
      <c r="L445">
        <v>0.42</v>
      </c>
      <c r="M445" s="148">
        <v>0</v>
      </c>
      <c r="N445">
        <v>7</v>
      </c>
      <c r="O445">
        <v>77</v>
      </c>
      <c r="P445">
        <v>84</v>
      </c>
    </row>
    <row r="446" spans="1:16">
      <c r="A446">
        <v>445</v>
      </c>
      <c r="B446" s="2">
        <v>40563</v>
      </c>
      <c r="C446">
        <v>1</v>
      </c>
      <c r="D446" t="s">
        <v>17</v>
      </c>
      <c r="E446" s="6" t="s">
        <v>18</v>
      </c>
      <c r="F446" s="151">
        <v>18.5</v>
      </c>
      <c r="G446" s="7" t="s">
        <v>36</v>
      </c>
      <c r="H446" s="7" t="s">
        <v>195</v>
      </c>
      <c r="I446" s="7" t="s">
        <v>39</v>
      </c>
      <c r="J446">
        <v>0.28000000000000003</v>
      </c>
      <c r="K446" s="148">
        <v>0.28789999999999999</v>
      </c>
      <c r="L446">
        <v>0.45</v>
      </c>
      <c r="M446" s="148">
        <v>0.1045</v>
      </c>
      <c r="N446">
        <v>12</v>
      </c>
      <c r="O446">
        <v>86</v>
      </c>
      <c r="P446">
        <v>98</v>
      </c>
    </row>
    <row r="447" spans="1:16">
      <c r="A447">
        <v>446</v>
      </c>
      <c r="B447" s="2">
        <v>40563</v>
      </c>
      <c r="C447">
        <v>1</v>
      </c>
      <c r="D447" t="s">
        <v>17</v>
      </c>
      <c r="E447" s="6" t="s">
        <v>18</v>
      </c>
      <c r="F447" s="151">
        <v>18.541666666666671</v>
      </c>
      <c r="G447" s="7" t="s">
        <v>36</v>
      </c>
      <c r="H447" s="7" t="s">
        <v>195</v>
      </c>
      <c r="I447" s="7" t="s">
        <v>39</v>
      </c>
      <c r="J447">
        <v>0.3</v>
      </c>
      <c r="K447" s="148">
        <v>0.30299999999999999</v>
      </c>
      <c r="L447">
        <v>0.45</v>
      </c>
      <c r="M447" s="148">
        <v>0.1343</v>
      </c>
      <c r="N447">
        <v>6</v>
      </c>
      <c r="O447">
        <v>75</v>
      </c>
      <c r="P447">
        <v>81</v>
      </c>
    </row>
    <row r="448" spans="1:16">
      <c r="A448">
        <v>447</v>
      </c>
      <c r="B448" s="2">
        <v>40563</v>
      </c>
      <c r="C448">
        <v>1</v>
      </c>
      <c r="D448" t="s">
        <v>17</v>
      </c>
      <c r="E448" s="6" t="s">
        <v>18</v>
      </c>
      <c r="F448" s="151">
        <v>18.583333333333329</v>
      </c>
      <c r="G448" s="7" t="s">
        <v>36</v>
      </c>
      <c r="H448" s="7" t="s">
        <v>195</v>
      </c>
      <c r="I448" s="7" t="s">
        <v>39</v>
      </c>
      <c r="J448">
        <v>0.32</v>
      </c>
      <c r="K448" s="148">
        <v>0.31819999999999998</v>
      </c>
      <c r="L448">
        <v>0.45</v>
      </c>
      <c r="M448" s="148">
        <v>0.19400000000000001</v>
      </c>
      <c r="N448">
        <v>8</v>
      </c>
      <c r="O448">
        <v>62</v>
      </c>
      <c r="P448">
        <v>70</v>
      </c>
    </row>
    <row r="449" spans="1:16">
      <c r="A449">
        <v>448</v>
      </c>
      <c r="B449" s="2">
        <v>40563</v>
      </c>
      <c r="C449">
        <v>1</v>
      </c>
      <c r="D449" t="s">
        <v>17</v>
      </c>
      <c r="E449" s="6" t="s">
        <v>18</v>
      </c>
      <c r="F449" s="151">
        <v>18.625</v>
      </c>
      <c r="G449" s="7" t="s">
        <v>36</v>
      </c>
      <c r="H449" s="7" t="s">
        <v>195</v>
      </c>
      <c r="I449" s="7" t="s">
        <v>39</v>
      </c>
      <c r="J449">
        <v>0.3</v>
      </c>
      <c r="K449" s="148">
        <v>0.30299999999999999</v>
      </c>
      <c r="L449">
        <v>0.49</v>
      </c>
      <c r="M449" s="148">
        <v>0.1343</v>
      </c>
      <c r="N449">
        <v>8</v>
      </c>
      <c r="O449">
        <v>83</v>
      </c>
      <c r="P449">
        <v>91</v>
      </c>
    </row>
    <row r="450" spans="1:16">
      <c r="A450">
        <v>449</v>
      </c>
      <c r="B450" s="2">
        <v>40563</v>
      </c>
      <c r="C450">
        <v>1</v>
      </c>
      <c r="D450" t="s">
        <v>17</v>
      </c>
      <c r="E450" s="6" t="s">
        <v>18</v>
      </c>
      <c r="F450" s="151">
        <v>18.666666666666671</v>
      </c>
      <c r="G450" s="7" t="s">
        <v>36</v>
      </c>
      <c r="H450" s="7" t="s">
        <v>195</v>
      </c>
      <c r="I450" s="7" t="s">
        <v>39</v>
      </c>
      <c r="J450">
        <v>0.3</v>
      </c>
      <c r="K450" s="148">
        <v>0.31819999999999998</v>
      </c>
      <c r="L450">
        <v>0.49</v>
      </c>
      <c r="M450" s="148">
        <v>0.1045</v>
      </c>
      <c r="N450">
        <v>8</v>
      </c>
      <c r="O450">
        <v>207</v>
      </c>
      <c r="P450">
        <v>215</v>
      </c>
    </row>
    <row r="451" spans="1:16">
      <c r="A451">
        <v>450</v>
      </c>
      <c r="B451" s="2">
        <v>40563</v>
      </c>
      <c r="C451">
        <v>1</v>
      </c>
      <c r="D451" t="s">
        <v>17</v>
      </c>
      <c r="E451" s="6" t="s">
        <v>18</v>
      </c>
      <c r="F451" s="151">
        <v>18.708333333333329</v>
      </c>
      <c r="G451" s="7" t="s">
        <v>36</v>
      </c>
      <c r="H451" s="7" t="s">
        <v>195</v>
      </c>
      <c r="I451" s="7" t="s">
        <v>39</v>
      </c>
      <c r="J451">
        <v>0.26</v>
      </c>
      <c r="K451" s="148">
        <v>0.2576</v>
      </c>
      <c r="L451">
        <v>0.56000000000000005</v>
      </c>
      <c r="M451" s="148">
        <v>0.19400000000000001</v>
      </c>
      <c r="N451">
        <v>1</v>
      </c>
      <c r="O451">
        <v>184</v>
      </c>
      <c r="P451">
        <v>185</v>
      </c>
    </row>
    <row r="452" spans="1:16">
      <c r="A452">
        <v>451</v>
      </c>
      <c r="B452" s="2">
        <v>40563</v>
      </c>
      <c r="C452">
        <v>1</v>
      </c>
      <c r="D452" t="s">
        <v>17</v>
      </c>
      <c r="E452" s="6" t="s">
        <v>18</v>
      </c>
      <c r="F452" s="151">
        <v>18.75</v>
      </c>
      <c r="G452" s="7" t="s">
        <v>36</v>
      </c>
      <c r="H452" s="7" t="s">
        <v>195</v>
      </c>
      <c r="I452" s="7" t="s">
        <v>38</v>
      </c>
      <c r="J452">
        <v>0.26</v>
      </c>
      <c r="K452" s="148">
        <v>0.2273</v>
      </c>
      <c r="L452">
        <v>0.56000000000000005</v>
      </c>
      <c r="M452" s="148">
        <v>0.32840000000000003</v>
      </c>
      <c r="N452">
        <v>6</v>
      </c>
      <c r="O452">
        <v>146</v>
      </c>
      <c r="P452">
        <v>152</v>
      </c>
    </row>
    <row r="453" spans="1:16">
      <c r="A453">
        <v>452</v>
      </c>
      <c r="B453" s="2">
        <v>40563</v>
      </c>
      <c r="C453">
        <v>1</v>
      </c>
      <c r="D453" t="s">
        <v>17</v>
      </c>
      <c r="E453" s="6" t="s">
        <v>18</v>
      </c>
      <c r="F453" s="151">
        <v>18.791666666666671</v>
      </c>
      <c r="G453" s="7" t="s">
        <v>36</v>
      </c>
      <c r="H453" s="7" t="s">
        <v>195</v>
      </c>
      <c r="I453" s="7" t="s">
        <v>39</v>
      </c>
      <c r="J453">
        <v>0.26</v>
      </c>
      <c r="K453" s="148">
        <v>0.2424</v>
      </c>
      <c r="L453">
        <v>0.6</v>
      </c>
      <c r="M453" s="148">
        <v>0.28360000000000002</v>
      </c>
      <c r="N453">
        <v>2</v>
      </c>
      <c r="O453">
        <v>124</v>
      </c>
      <c r="P453">
        <v>126</v>
      </c>
    </row>
    <row r="454" spans="1:16">
      <c r="A454">
        <v>453</v>
      </c>
      <c r="B454" s="2">
        <v>40563</v>
      </c>
      <c r="C454">
        <v>1</v>
      </c>
      <c r="D454" t="s">
        <v>17</v>
      </c>
      <c r="E454" s="6" t="s">
        <v>18</v>
      </c>
      <c r="F454" s="151">
        <v>18.833333333333329</v>
      </c>
      <c r="G454" s="7" t="s">
        <v>36</v>
      </c>
      <c r="H454" s="7" t="s">
        <v>195</v>
      </c>
      <c r="I454" s="7" t="s">
        <v>39</v>
      </c>
      <c r="J454">
        <v>0.24</v>
      </c>
      <c r="K454" s="148">
        <v>0.2273</v>
      </c>
      <c r="L454">
        <v>0.6</v>
      </c>
      <c r="M454" s="148">
        <v>0.25369999999999998</v>
      </c>
      <c r="N454">
        <v>3</v>
      </c>
      <c r="O454">
        <v>54</v>
      </c>
      <c r="P454">
        <v>57</v>
      </c>
    </row>
    <row r="455" spans="1:16">
      <c r="A455">
        <v>454</v>
      </c>
      <c r="B455" s="2">
        <v>40563</v>
      </c>
      <c r="C455">
        <v>1</v>
      </c>
      <c r="D455" t="s">
        <v>17</v>
      </c>
      <c r="E455" s="6" t="s">
        <v>18</v>
      </c>
      <c r="F455" s="151">
        <v>18.875</v>
      </c>
      <c r="G455" s="7" t="s">
        <v>36</v>
      </c>
      <c r="H455" s="7" t="s">
        <v>195</v>
      </c>
      <c r="I455" s="7" t="s">
        <v>39</v>
      </c>
      <c r="J455">
        <v>0.24</v>
      </c>
      <c r="K455" s="148">
        <v>0.21210000000000001</v>
      </c>
      <c r="L455">
        <v>0.65</v>
      </c>
      <c r="M455" s="148">
        <v>0.28360000000000002</v>
      </c>
      <c r="N455">
        <v>0</v>
      </c>
      <c r="O455">
        <v>56</v>
      </c>
      <c r="P455">
        <v>56</v>
      </c>
    </row>
    <row r="456" spans="1:16">
      <c r="A456">
        <v>455</v>
      </c>
      <c r="B456" s="2">
        <v>40563</v>
      </c>
      <c r="C456">
        <v>1</v>
      </c>
      <c r="D456" t="s">
        <v>17</v>
      </c>
      <c r="E456" s="6" t="s">
        <v>18</v>
      </c>
      <c r="F456" s="151">
        <v>18.916666666666671</v>
      </c>
      <c r="G456" s="7" t="s">
        <v>36</v>
      </c>
      <c r="H456" s="7" t="s">
        <v>195</v>
      </c>
      <c r="I456" s="7" t="s">
        <v>39</v>
      </c>
      <c r="J456">
        <v>0.24</v>
      </c>
      <c r="K456" s="148">
        <v>0.21210000000000001</v>
      </c>
      <c r="L456">
        <v>0.65</v>
      </c>
      <c r="M456" s="148">
        <v>0.32840000000000003</v>
      </c>
      <c r="N456">
        <v>3</v>
      </c>
      <c r="O456">
        <v>28</v>
      </c>
      <c r="P456">
        <v>31</v>
      </c>
    </row>
    <row r="457" spans="1:16">
      <c r="A457">
        <v>456</v>
      </c>
      <c r="B457" s="2">
        <v>40564</v>
      </c>
      <c r="C457">
        <v>1</v>
      </c>
      <c r="D457" t="s">
        <v>17</v>
      </c>
      <c r="E457" s="6" t="s">
        <v>18</v>
      </c>
      <c r="F457" s="151">
        <v>18.958333333333329</v>
      </c>
      <c r="G457" s="7" t="s">
        <v>36</v>
      </c>
      <c r="H457" s="7" t="s">
        <v>44</v>
      </c>
      <c r="I457" s="7" t="s">
        <v>39</v>
      </c>
      <c r="J457">
        <v>0.24</v>
      </c>
      <c r="K457" s="148">
        <v>0.2273</v>
      </c>
      <c r="L457">
        <v>0.7</v>
      </c>
      <c r="M457" s="148">
        <v>0.25369999999999998</v>
      </c>
      <c r="N457">
        <v>1</v>
      </c>
      <c r="O457">
        <v>20</v>
      </c>
      <c r="P457">
        <v>21</v>
      </c>
    </row>
    <row r="458" spans="1:16">
      <c r="A458">
        <v>457</v>
      </c>
      <c r="B458" s="2">
        <v>40564</v>
      </c>
      <c r="C458">
        <v>1</v>
      </c>
      <c r="D458" t="s">
        <v>17</v>
      </c>
      <c r="E458" s="6" t="s">
        <v>18</v>
      </c>
      <c r="F458" s="151">
        <v>19</v>
      </c>
      <c r="G458" s="7" t="s">
        <v>36</v>
      </c>
      <c r="H458" s="7" t="s">
        <v>44</v>
      </c>
      <c r="I458" s="7" t="s">
        <v>39</v>
      </c>
      <c r="J458">
        <v>0.24</v>
      </c>
      <c r="K458" s="148">
        <v>0.2273</v>
      </c>
      <c r="L458">
        <v>0.7</v>
      </c>
      <c r="M458" s="148">
        <v>0.25369999999999998</v>
      </c>
      <c r="N458">
        <v>0</v>
      </c>
      <c r="O458">
        <v>6</v>
      </c>
      <c r="P458">
        <v>6</v>
      </c>
    </row>
    <row r="459" spans="1:16">
      <c r="A459">
        <v>458</v>
      </c>
      <c r="B459" s="2">
        <v>40564</v>
      </c>
      <c r="C459">
        <v>1</v>
      </c>
      <c r="D459" t="s">
        <v>17</v>
      </c>
      <c r="E459" s="6" t="s">
        <v>18</v>
      </c>
      <c r="F459" s="151">
        <v>19.041666666666671</v>
      </c>
      <c r="G459" s="7" t="s">
        <v>36</v>
      </c>
      <c r="H459" s="7" t="s">
        <v>44</v>
      </c>
      <c r="I459" s="7" t="s">
        <v>45</v>
      </c>
      <c r="J459">
        <v>0.24</v>
      </c>
      <c r="K459" s="148">
        <v>0.2424</v>
      </c>
      <c r="L459">
        <v>0.75</v>
      </c>
      <c r="M459" s="148">
        <v>0.16420000000000001</v>
      </c>
      <c r="N459">
        <v>0</v>
      </c>
      <c r="O459">
        <v>2</v>
      </c>
      <c r="P459">
        <v>2</v>
      </c>
    </row>
    <row r="460" spans="1:16">
      <c r="A460">
        <v>459</v>
      </c>
      <c r="B460" s="2">
        <v>40564</v>
      </c>
      <c r="C460">
        <v>1</v>
      </c>
      <c r="D460" t="s">
        <v>17</v>
      </c>
      <c r="E460" s="6" t="s">
        <v>18</v>
      </c>
      <c r="F460" s="151">
        <v>19.083333333333329</v>
      </c>
      <c r="G460" s="7" t="s">
        <v>36</v>
      </c>
      <c r="H460" s="7" t="s">
        <v>44</v>
      </c>
      <c r="I460" s="7" t="s">
        <v>45</v>
      </c>
      <c r="J460">
        <v>0.22</v>
      </c>
      <c r="K460" s="148">
        <v>0.21210000000000001</v>
      </c>
      <c r="L460">
        <v>0.8</v>
      </c>
      <c r="M460" s="148">
        <v>0.29849999999999999</v>
      </c>
      <c r="N460">
        <v>0</v>
      </c>
      <c r="O460">
        <v>1</v>
      </c>
      <c r="P460">
        <v>1</v>
      </c>
    </row>
    <row r="461" spans="1:16">
      <c r="A461">
        <v>460</v>
      </c>
      <c r="B461" s="2">
        <v>40564</v>
      </c>
      <c r="C461">
        <v>1</v>
      </c>
      <c r="D461" t="s">
        <v>17</v>
      </c>
      <c r="E461" s="6" t="s">
        <v>18</v>
      </c>
      <c r="F461" s="151">
        <v>19.125</v>
      </c>
      <c r="G461" s="7" t="s">
        <v>36</v>
      </c>
      <c r="H461" s="7" t="s">
        <v>44</v>
      </c>
      <c r="I461" s="7" t="s">
        <v>39</v>
      </c>
      <c r="J461">
        <v>0.22</v>
      </c>
      <c r="K461" s="148">
        <v>0.2576</v>
      </c>
      <c r="L461">
        <v>0.87</v>
      </c>
      <c r="M461" s="148">
        <v>8.9599999999999999E-2</v>
      </c>
      <c r="N461">
        <v>0</v>
      </c>
      <c r="O461">
        <v>1</v>
      </c>
      <c r="P461">
        <v>1</v>
      </c>
    </row>
    <row r="462" spans="1:16">
      <c r="A462">
        <v>461</v>
      </c>
      <c r="B462" s="2">
        <v>40564</v>
      </c>
      <c r="C462">
        <v>1</v>
      </c>
      <c r="D462" t="s">
        <v>17</v>
      </c>
      <c r="E462" s="6" t="s">
        <v>18</v>
      </c>
      <c r="F462" s="151">
        <v>19.166666666666671</v>
      </c>
      <c r="G462" s="7" t="s">
        <v>36</v>
      </c>
      <c r="H462" s="7" t="s">
        <v>44</v>
      </c>
      <c r="I462" s="7" t="s">
        <v>38</v>
      </c>
      <c r="J462">
        <v>0.24</v>
      </c>
      <c r="K462" s="148">
        <v>0.19700000000000001</v>
      </c>
      <c r="L462">
        <v>0.6</v>
      </c>
      <c r="M462" s="148">
        <v>0.41789999999999999</v>
      </c>
      <c r="N462">
        <v>1</v>
      </c>
      <c r="O462">
        <v>4</v>
      </c>
      <c r="P462">
        <v>5</v>
      </c>
    </row>
    <row r="463" spans="1:16">
      <c r="A463">
        <v>462</v>
      </c>
      <c r="B463" s="2">
        <v>40564</v>
      </c>
      <c r="C463">
        <v>1</v>
      </c>
      <c r="D463" t="s">
        <v>17</v>
      </c>
      <c r="E463" s="6" t="s">
        <v>18</v>
      </c>
      <c r="F463" s="151">
        <v>19.208333333333329</v>
      </c>
      <c r="G463" s="7" t="s">
        <v>36</v>
      </c>
      <c r="H463" s="7" t="s">
        <v>44</v>
      </c>
      <c r="I463" s="7" t="s">
        <v>38</v>
      </c>
      <c r="J463">
        <v>0.22</v>
      </c>
      <c r="K463" s="148">
        <v>0.21210000000000001</v>
      </c>
      <c r="L463">
        <v>0.55000000000000004</v>
      </c>
      <c r="M463" s="148">
        <v>0.25369999999999998</v>
      </c>
      <c r="N463">
        <v>0</v>
      </c>
      <c r="O463">
        <v>27</v>
      </c>
      <c r="P463">
        <v>27</v>
      </c>
    </row>
    <row r="464" spans="1:16">
      <c r="A464">
        <v>463</v>
      </c>
      <c r="B464" s="2">
        <v>40564</v>
      </c>
      <c r="C464">
        <v>1</v>
      </c>
      <c r="D464" t="s">
        <v>17</v>
      </c>
      <c r="E464" s="6" t="s">
        <v>18</v>
      </c>
      <c r="F464" s="151">
        <v>19.25</v>
      </c>
      <c r="G464" s="7" t="s">
        <v>36</v>
      </c>
      <c r="H464" s="7" t="s">
        <v>44</v>
      </c>
      <c r="I464" s="7" t="s">
        <v>38</v>
      </c>
      <c r="J464">
        <v>0.2</v>
      </c>
      <c r="K464" s="148">
        <v>0.18179999999999999</v>
      </c>
      <c r="L464">
        <v>0.51</v>
      </c>
      <c r="M464" s="148">
        <v>0.28360000000000002</v>
      </c>
      <c r="N464">
        <v>2</v>
      </c>
      <c r="O464">
        <v>66</v>
      </c>
      <c r="P464">
        <v>68</v>
      </c>
    </row>
    <row r="465" spans="1:16">
      <c r="A465">
        <v>464</v>
      </c>
      <c r="B465" s="2">
        <v>40564</v>
      </c>
      <c r="C465">
        <v>1</v>
      </c>
      <c r="D465" t="s">
        <v>17</v>
      </c>
      <c r="E465" s="6" t="s">
        <v>18</v>
      </c>
      <c r="F465" s="151">
        <v>19.291666666666671</v>
      </c>
      <c r="G465" s="7" t="s">
        <v>36</v>
      </c>
      <c r="H465" s="7" t="s">
        <v>44</v>
      </c>
      <c r="I465" s="7" t="s">
        <v>38</v>
      </c>
      <c r="J465">
        <v>0.2</v>
      </c>
      <c r="K465" s="148">
        <v>0.18179999999999999</v>
      </c>
      <c r="L465">
        <v>0.47</v>
      </c>
      <c r="M465" s="148">
        <v>0.32840000000000003</v>
      </c>
      <c r="N465">
        <v>7</v>
      </c>
      <c r="O465">
        <v>210</v>
      </c>
      <c r="P465">
        <v>217</v>
      </c>
    </row>
    <row r="466" spans="1:16">
      <c r="A466">
        <v>465</v>
      </c>
      <c r="B466" s="2">
        <v>40564</v>
      </c>
      <c r="C466">
        <v>1</v>
      </c>
      <c r="D466" t="s">
        <v>17</v>
      </c>
      <c r="E466" s="6" t="s">
        <v>18</v>
      </c>
      <c r="F466" s="151">
        <v>19.333333333333329</v>
      </c>
      <c r="G466" s="7" t="s">
        <v>36</v>
      </c>
      <c r="H466" s="7" t="s">
        <v>44</v>
      </c>
      <c r="I466" s="7" t="s">
        <v>38</v>
      </c>
      <c r="J466">
        <v>0.2</v>
      </c>
      <c r="K466" s="148">
        <v>0.18179999999999999</v>
      </c>
      <c r="L466">
        <v>0.51</v>
      </c>
      <c r="M466" s="148">
        <v>0.35820000000000002</v>
      </c>
      <c r="N466">
        <v>7</v>
      </c>
      <c r="O466">
        <v>159</v>
      </c>
      <c r="P466">
        <v>166</v>
      </c>
    </row>
    <row r="467" spans="1:16">
      <c r="A467">
        <v>466</v>
      </c>
      <c r="B467" s="2">
        <v>40564</v>
      </c>
      <c r="C467">
        <v>1</v>
      </c>
      <c r="D467" t="s">
        <v>17</v>
      </c>
      <c r="E467" s="6" t="s">
        <v>18</v>
      </c>
      <c r="F467" s="151">
        <v>19.375</v>
      </c>
      <c r="G467" s="7" t="s">
        <v>36</v>
      </c>
      <c r="H467" s="7" t="s">
        <v>44</v>
      </c>
      <c r="I467" s="7" t="s">
        <v>38</v>
      </c>
      <c r="J467">
        <v>0.2</v>
      </c>
      <c r="K467" s="148">
        <v>0.16669999999999999</v>
      </c>
      <c r="L467">
        <v>0.47</v>
      </c>
      <c r="M467" s="148">
        <v>0.4627</v>
      </c>
      <c r="N467">
        <v>6</v>
      </c>
      <c r="O467">
        <v>57</v>
      </c>
      <c r="P467">
        <v>63</v>
      </c>
    </row>
    <row r="468" spans="1:16">
      <c r="A468">
        <v>467</v>
      </c>
      <c r="B468" s="2">
        <v>40564</v>
      </c>
      <c r="C468">
        <v>1</v>
      </c>
      <c r="D468" t="s">
        <v>17</v>
      </c>
      <c r="E468" s="6" t="s">
        <v>18</v>
      </c>
      <c r="F468" s="151">
        <v>19.416666666666671</v>
      </c>
      <c r="G468" s="7" t="s">
        <v>36</v>
      </c>
      <c r="H468" s="7" t="s">
        <v>44</v>
      </c>
      <c r="I468" s="7" t="s">
        <v>38</v>
      </c>
      <c r="J468">
        <v>0.22</v>
      </c>
      <c r="K468" s="148">
        <v>0.18179999999999999</v>
      </c>
      <c r="L468">
        <v>0.41</v>
      </c>
      <c r="M468" s="148">
        <v>0.4627</v>
      </c>
      <c r="N468">
        <v>6</v>
      </c>
      <c r="O468">
        <v>53</v>
      </c>
      <c r="P468">
        <v>59</v>
      </c>
    </row>
    <row r="469" spans="1:16">
      <c r="A469">
        <v>468</v>
      </c>
      <c r="B469" s="2">
        <v>40564</v>
      </c>
      <c r="C469">
        <v>1</v>
      </c>
      <c r="D469" t="s">
        <v>17</v>
      </c>
      <c r="E469" s="6" t="s">
        <v>18</v>
      </c>
      <c r="F469" s="151">
        <v>19.458333333333329</v>
      </c>
      <c r="G469" s="7" t="s">
        <v>36</v>
      </c>
      <c r="H469" s="7" t="s">
        <v>44</v>
      </c>
      <c r="I469" s="7" t="s">
        <v>38</v>
      </c>
      <c r="J469">
        <v>0.22</v>
      </c>
      <c r="K469" s="148">
        <v>0.18179999999999999</v>
      </c>
      <c r="L469">
        <v>0.27</v>
      </c>
      <c r="M469" s="148">
        <v>0.58209999999999995</v>
      </c>
      <c r="N469">
        <v>11</v>
      </c>
      <c r="O469">
        <v>67</v>
      </c>
      <c r="P469">
        <v>78</v>
      </c>
    </row>
    <row r="470" spans="1:16">
      <c r="A470">
        <v>469</v>
      </c>
      <c r="B470" s="2">
        <v>40564</v>
      </c>
      <c r="C470">
        <v>1</v>
      </c>
      <c r="D470" t="s">
        <v>17</v>
      </c>
      <c r="E470" s="6" t="s">
        <v>18</v>
      </c>
      <c r="F470" s="151">
        <v>19.5</v>
      </c>
      <c r="G470" s="7" t="s">
        <v>36</v>
      </c>
      <c r="H470" s="7" t="s">
        <v>44</v>
      </c>
      <c r="I470" s="7" t="s">
        <v>38</v>
      </c>
      <c r="J470">
        <v>0.2</v>
      </c>
      <c r="K470" s="148">
        <v>0.1515</v>
      </c>
      <c r="L470">
        <v>0.21</v>
      </c>
      <c r="M470" s="148">
        <v>0.58209999999999995</v>
      </c>
      <c r="N470">
        <v>8</v>
      </c>
      <c r="O470">
        <v>65</v>
      </c>
      <c r="P470">
        <v>73</v>
      </c>
    </row>
    <row r="471" spans="1:16">
      <c r="A471">
        <v>470</v>
      </c>
      <c r="B471" s="2">
        <v>40564</v>
      </c>
      <c r="C471">
        <v>1</v>
      </c>
      <c r="D471" t="s">
        <v>17</v>
      </c>
      <c r="E471" s="6" t="s">
        <v>18</v>
      </c>
      <c r="F471" s="151">
        <v>19.541666666666671</v>
      </c>
      <c r="G471" s="7" t="s">
        <v>36</v>
      </c>
      <c r="H471" s="7" t="s">
        <v>44</v>
      </c>
      <c r="I471" s="7" t="s">
        <v>38</v>
      </c>
      <c r="J471">
        <v>0.2</v>
      </c>
      <c r="K471" s="148">
        <v>0.1515</v>
      </c>
      <c r="L471">
        <v>0.25</v>
      </c>
      <c r="M471" s="148">
        <v>0.52239999999999998</v>
      </c>
      <c r="N471">
        <v>6</v>
      </c>
      <c r="O471">
        <v>56</v>
      </c>
      <c r="P471">
        <v>62</v>
      </c>
    </row>
    <row r="472" spans="1:16">
      <c r="A472">
        <v>471</v>
      </c>
      <c r="B472" s="2">
        <v>40564</v>
      </c>
      <c r="C472">
        <v>1</v>
      </c>
      <c r="D472" t="s">
        <v>17</v>
      </c>
      <c r="E472" s="6" t="s">
        <v>18</v>
      </c>
      <c r="F472" s="151">
        <v>19.583333333333329</v>
      </c>
      <c r="G472" s="7" t="s">
        <v>36</v>
      </c>
      <c r="H472" s="7" t="s">
        <v>44</v>
      </c>
      <c r="I472" s="7" t="s">
        <v>38</v>
      </c>
      <c r="J472">
        <v>0.16</v>
      </c>
      <c r="K472" s="148">
        <v>0.1212</v>
      </c>
      <c r="L472">
        <v>0.26</v>
      </c>
      <c r="M472" s="148">
        <v>0.44779999999999998</v>
      </c>
      <c r="N472">
        <v>4</v>
      </c>
      <c r="O472">
        <v>61</v>
      </c>
      <c r="P472">
        <v>65</v>
      </c>
    </row>
    <row r="473" spans="1:16">
      <c r="A473">
        <v>472</v>
      </c>
      <c r="B473" s="2">
        <v>40564</v>
      </c>
      <c r="C473">
        <v>1</v>
      </c>
      <c r="D473" t="s">
        <v>17</v>
      </c>
      <c r="E473" s="6" t="s">
        <v>18</v>
      </c>
      <c r="F473" s="151">
        <v>19.625</v>
      </c>
      <c r="G473" s="7" t="s">
        <v>36</v>
      </c>
      <c r="H473" s="7" t="s">
        <v>44</v>
      </c>
      <c r="I473" s="7" t="s">
        <v>38</v>
      </c>
      <c r="J473">
        <v>0.16</v>
      </c>
      <c r="K473" s="148">
        <v>0.13639999999999999</v>
      </c>
      <c r="L473">
        <v>0.26</v>
      </c>
      <c r="M473" s="148">
        <v>0.35820000000000002</v>
      </c>
      <c r="N473">
        <v>0</v>
      </c>
      <c r="O473">
        <v>97</v>
      </c>
      <c r="P473">
        <v>97</v>
      </c>
    </row>
    <row r="474" spans="1:16">
      <c r="A474">
        <v>473</v>
      </c>
      <c r="B474" s="2">
        <v>40564</v>
      </c>
      <c r="C474">
        <v>1</v>
      </c>
      <c r="D474" t="s">
        <v>17</v>
      </c>
      <c r="E474" s="6" t="s">
        <v>18</v>
      </c>
      <c r="F474" s="151">
        <v>19.666666666666671</v>
      </c>
      <c r="G474" s="7" t="s">
        <v>36</v>
      </c>
      <c r="H474" s="7" t="s">
        <v>44</v>
      </c>
      <c r="I474" s="7" t="s">
        <v>38</v>
      </c>
      <c r="J474">
        <v>0.14000000000000001</v>
      </c>
      <c r="K474" s="148">
        <v>0.1212</v>
      </c>
      <c r="L474">
        <v>0.28000000000000003</v>
      </c>
      <c r="M474" s="148">
        <v>0.35820000000000002</v>
      </c>
      <c r="N474">
        <v>10</v>
      </c>
      <c r="O474">
        <v>151</v>
      </c>
      <c r="P474">
        <v>161</v>
      </c>
    </row>
    <row r="475" spans="1:16">
      <c r="A475">
        <v>474</v>
      </c>
      <c r="B475" s="2">
        <v>40564</v>
      </c>
      <c r="C475">
        <v>1</v>
      </c>
      <c r="D475" t="s">
        <v>17</v>
      </c>
      <c r="E475" s="6" t="s">
        <v>18</v>
      </c>
      <c r="F475" s="151">
        <v>19.708333333333329</v>
      </c>
      <c r="G475" s="7" t="s">
        <v>36</v>
      </c>
      <c r="H475" s="7" t="s">
        <v>44</v>
      </c>
      <c r="I475" s="7" t="s">
        <v>38</v>
      </c>
      <c r="J475">
        <v>0.12</v>
      </c>
      <c r="K475" s="148">
        <v>0.1212</v>
      </c>
      <c r="L475">
        <v>0.3</v>
      </c>
      <c r="M475" s="148">
        <v>0.25369999999999998</v>
      </c>
      <c r="N475">
        <v>1</v>
      </c>
      <c r="O475">
        <v>119</v>
      </c>
      <c r="P475">
        <v>120</v>
      </c>
    </row>
    <row r="476" spans="1:16">
      <c r="A476">
        <v>475</v>
      </c>
      <c r="B476" s="2">
        <v>40564</v>
      </c>
      <c r="C476">
        <v>1</v>
      </c>
      <c r="D476" t="s">
        <v>17</v>
      </c>
      <c r="E476" s="6" t="s">
        <v>18</v>
      </c>
      <c r="F476" s="151">
        <v>19.75</v>
      </c>
      <c r="G476" s="7" t="s">
        <v>36</v>
      </c>
      <c r="H476" s="7" t="s">
        <v>44</v>
      </c>
      <c r="I476" s="7" t="s">
        <v>38</v>
      </c>
      <c r="J476">
        <v>0.12</v>
      </c>
      <c r="K476" s="148">
        <v>0.1061</v>
      </c>
      <c r="L476">
        <v>0.3</v>
      </c>
      <c r="M476" s="148">
        <v>0.32840000000000003</v>
      </c>
      <c r="N476">
        <v>3</v>
      </c>
      <c r="O476">
        <v>93</v>
      </c>
      <c r="P476">
        <v>96</v>
      </c>
    </row>
    <row r="477" spans="1:16">
      <c r="A477">
        <v>476</v>
      </c>
      <c r="B477" s="2">
        <v>40564</v>
      </c>
      <c r="C477">
        <v>1</v>
      </c>
      <c r="D477" t="s">
        <v>17</v>
      </c>
      <c r="E477" s="6" t="s">
        <v>18</v>
      </c>
      <c r="F477" s="151">
        <v>19.791666666666671</v>
      </c>
      <c r="G477" s="7" t="s">
        <v>36</v>
      </c>
      <c r="H477" s="7" t="s">
        <v>44</v>
      </c>
      <c r="I477" s="7" t="s">
        <v>38</v>
      </c>
      <c r="J477">
        <v>0.1</v>
      </c>
      <c r="K477" s="148">
        <v>7.5800000000000006E-2</v>
      </c>
      <c r="L477">
        <v>0.33</v>
      </c>
      <c r="M477" s="148">
        <v>0.41789999999999999</v>
      </c>
      <c r="N477">
        <v>1</v>
      </c>
      <c r="O477">
        <v>52</v>
      </c>
      <c r="P477">
        <v>53</v>
      </c>
    </row>
    <row r="478" spans="1:16">
      <c r="A478">
        <v>477</v>
      </c>
      <c r="B478" s="2">
        <v>40564</v>
      </c>
      <c r="C478">
        <v>1</v>
      </c>
      <c r="D478" t="s">
        <v>17</v>
      </c>
      <c r="E478" s="6" t="s">
        <v>18</v>
      </c>
      <c r="F478" s="151">
        <v>19.833333333333329</v>
      </c>
      <c r="G478" s="7" t="s">
        <v>36</v>
      </c>
      <c r="H478" s="7" t="s">
        <v>44</v>
      </c>
      <c r="I478" s="7" t="s">
        <v>38</v>
      </c>
      <c r="J478">
        <v>0.08</v>
      </c>
      <c r="K478" s="148">
        <v>7.5800000000000006E-2</v>
      </c>
      <c r="L478">
        <v>0.38</v>
      </c>
      <c r="M478" s="148">
        <v>0.28360000000000002</v>
      </c>
      <c r="N478">
        <v>0</v>
      </c>
      <c r="O478">
        <v>41</v>
      </c>
      <c r="P478">
        <v>41</v>
      </c>
    </row>
    <row r="479" spans="1:16">
      <c r="A479">
        <v>478</v>
      </c>
      <c r="B479" s="2">
        <v>40564</v>
      </c>
      <c r="C479">
        <v>1</v>
      </c>
      <c r="D479" t="s">
        <v>17</v>
      </c>
      <c r="E479" s="6" t="s">
        <v>18</v>
      </c>
      <c r="F479" s="151">
        <v>19.875</v>
      </c>
      <c r="G479" s="7" t="s">
        <v>36</v>
      </c>
      <c r="H479" s="7" t="s">
        <v>44</v>
      </c>
      <c r="I479" s="7" t="s">
        <v>38</v>
      </c>
      <c r="J479">
        <v>0.06</v>
      </c>
      <c r="K479" s="148">
        <v>3.0300000000000001E-2</v>
      </c>
      <c r="L479">
        <v>0.41</v>
      </c>
      <c r="M479" s="148">
        <v>0.3881</v>
      </c>
      <c r="N479">
        <v>1</v>
      </c>
      <c r="O479">
        <v>33</v>
      </c>
      <c r="P479">
        <v>34</v>
      </c>
    </row>
    <row r="480" spans="1:16">
      <c r="A480">
        <v>479</v>
      </c>
      <c r="B480" s="2">
        <v>40564</v>
      </c>
      <c r="C480">
        <v>1</v>
      </c>
      <c r="D480" t="s">
        <v>17</v>
      </c>
      <c r="E480" s="6" t="s">
        <v>18</v>
      </c>
      <c r="F480" s="151">
        <v>19.916666666666671</v>
      </c>
      <c r="G480" s="7" t="s">
        <v>36</v>
      </c>
      <c r="H480" s="7" t="s">
        <v>44</v>
      </c>
      <c r="I480" s="7" t="s">
        <v>38</v>
      </c>
      <c r="J480">
        <v>0.06</v>
      </c>
      <c r="K480" s="148">
        <v>4.5499999999999999E-2</v>
      </c>
      <c r="L480">
        <v>0.38</v>
      </c>
      <c r="M480" s="148">
        <v>0.32840000000000003</v>
      </c>
      <c r="N480">
        <v>0</v>
      </c>
      <c r="O480">
        <v>27</v>
      </c>
      <c r="P480">
        <v>27</v>
      </c>
    </row>
    <row r="481" spans="1:16">
      <c r="A481">
        <v>480</v>
      </c>
      <c r="B481" s="2">
        <v>40565</v>
      </c>
      <c r="C481">
        <v>1</v>
      </c>
      <c r="D481" t="s">
        <v>17</v>
      </c>
      <c r="E481" s="6" t="s">
        <v>18</v>
      </c>
      <c r="F481" s="151">
        <v>19.958333333333329</v>
      </c>
      <c r="G481" s="7" t="s">
        <v>36</v>
      </c>
      <c r="H481" s="7" t="s">
        <v>37</v>
      </c>
      <c r="I481" s="7" t="s">
        <v>38</v>
      </c>
      <c r="J481">
        <v>0.04</v>
      </c>
      <c r="K481" s="148">
        <v>3.0300000000000001E-2</v>
      </c>
      <c r="L481">
        <v>0.45</v>
      </c>
      <c r="M481" s="148">
        <v>0.25369999999999998</v>
      </c>
      <c r="N481">
        <v>0</v>
      </c>
      <c r="O481">
        <v>13</v>
      </c>
      <c r="P481">
        <v>13</v>
      </c>
    </row>
    <row r="482" spans="1:16">
      <c r="A482">
        <v>481</v>
      </c>
      <c r="B482" s="2">
        <v>40565</v>
      </c>
      <c r="C482">
        <v>1</v>
      </c>
      <c r="D482" t="s">
        <v>17</v>
      </c>
      <c r="E482" s="6" t="s">
        <v>18</v>
      </c>
      <c r="F482" s="151">
        <v>20</v>
      </c>
      <c r="G482" s="7" t="s">
        <v>36</v>
      </c>
      <c r="H482" s="7" t="s">
        <v>37</v>
      </c>
      <c r="I482" s="7" t="s">
        <v>39</v>
      </c>
      <c r="J482">
        <v>0.04</v>
      </c>
      <c r="K482" s="148">
        <v>0</v>
      </c>
      <c r="L482">
        <v>0.41</v>
      </c>
      <c r="M482" s="148">
        <v>0.3881</v>
      </c>
      <c r="N482">
        <v>3</v>
      </c>
      <c r="O482">
        <v>9</v>
      </c>
      <c r="P482">
        <v>12</v>
      </c>
    </row>
    <row r="483" spans="1:16">
      <c r="A483">
        <v>482</v>
      </c>
      <c r="B483" s="2">
        <v>40565</v>
      </c>
      <c r="C483">
        <v>1</v>
      </c>
      <c r="D483" t="s">
        <v>17</v>
      </c>
      <c r="E483" s="6" t="s">
        <v>18</v>
      </c>
      <c r="F483" s="151">
        <v>20.041666666666671</v>
      </c>
      <c r="G483" s="7" t="s">
        <v>36</v>
      </c>
      <c r="H483" s="7" t="s">
        <v>37</v>
      </c>
      <c r="I483" s="7" t="s">
        <v>39</v>
      </c>
      <c r="J483">
        <v>0.04</v>
      </c>
      <c r="K483" s="148">
        <v>3.0300000000000001E-2</v>
      </c>
      <c r="L483">
        <v>0.41</v>
      </c>
      <c r="M483" s="148">
        <v>0.25369999999999998</v>
      </c>
      <c r="N483">
        <v>0</v>
      </c>
      <c r="O483">
        <v>11</v>
      </c>
      <c r="P483">
        <v>11</v>
      </c>
    </row>
    <row r="484" spans="1:16">
      <c r="A484">
        <v>483</v>
      </c>
      <c r="B484" s="2">
        <v>40565</v>
      </c>
      <c r="C484">
        <v>1</v>
      </c>
      <c r="D484" t="s">
        <v>17</v>
      </c>
      <c r="E484" s="6" t="s">
        <v>18</v>
      </c>
      <c r="F484" s="151">
        <v>20.083333333333329</v>
      </c>
      <c r="G484" s="7" t="s">
        <v>36</v>
      </c>
      <c r="H484" s="7" t="s">
        <v>37</v>
      </c>
      <c r="I484" s="7" t="s">
        <v>39</v>
      </c>
      <c r="J484">
        <v>0.04</v>
      </c>
      <c r="K484" s="148">
        <v>3.0300000000000001E-2</v>
      </c>
      <c r="L484">
        <v>0.41</v>
      </c>
      <c r="M484" s="148">
        <v>0.28360000000000002</v>
      </c>
      <c r="N484">
        <v>1</v>
      </c>
      <c r="O484">
        <v>6</v>
      </c>
      <c r="P484">
        <v>7</v>
      </c>
    </row>
    <row r="485" spans="1:16">
      <c r="A485">
        <v>484</v>
      </c>
      <c r="B485" s="2">
        <v>40565</v>
      </c>
      <c r="C485">
        <v>1</v>
      </c>
      <c r="D485" t="s">
        <v>17</v>
      </c>
      <c r="E485" s="6" t="s">
        <v>18</v>
      </c>
      <c r="F485" s="151">
        <v>20.125</v>
      </c>
      <c r="G485" s="7" t="s">
        <v>36</v>
      </c>
      <c r="H485" s="7" t="s">
        <v>37</v>
      </c>
      <c r="I485" s="7" t="s">
        <v>39</v>
      </c>
      <c r="J485">
        <v>0.02</v>
      </c>
      <c r="K485" s="148">
        <v>1.52E-2</v>
      </c>
      <c r="L485">
        <v>0.48</v>
      </c>
      <c r="M485" s="148">
        <v>0.29849999999999999</v>
      </c>
      <c r="N485">
        <v>0</v>
      </c>
      <c r="O485">
        <v>3</v>
      </c>
      <c r="P485">
        <v>3</v>
      </c>
    </row>
    <row r="486" spans="1:16">
      <c r="A486">
        <v>485</v>
      </c>
      <c r="B486" s="2">
        <v>40565</v>
      </c>
      <c r="C486">
        <v>1</v>
      </c>
      <c r="D486" t="s">
        <v>17</v>
      </c>
      <c r="E486" s="6" t="s">
        <v>18</v>
      </c>
      <c r="F486" s="151">
        <v>20.166666666666671</v>
      </c>
      <c r="G486" s="7" t="s">
        <v>36</v>
      </c>
      <c r="H486" s="7" t="s">
        <v>37</v>
      </c>
      <c r="I486" s="7" t="s">
        <v>39</v>
      </c>
      <c r="J486">
        <v>0.02</v>
      </c>
      <c r="K486" s="148">
        <v>3.0300000000000001E-2</v>
      </c>
      <c r="L486">
        <v>0.44</v>
      </c>
      <c r="M486" s="148">
        <v>0.22389999999999999</v>
      </c>
      <c r="N486">
        <v>0</v>
      </c>
      <c r="O486">
        <v>2</v>
      </c>
      <c r="P486">
        <v>2</v>
      </c>
    </row>
    <row r="487" spans="1:16">
      <c r="A487">
        <v>486</v>
      </c>
      <c r="B487" s="2">
        <v>40565</v>
      </c>
      <c r="C487">
        <v>1</v>
      </c>
      <c r="D487" t="s">
        <v>17</v>
      </c>
      <c r="E487" s="6" t="s">
        <v>18</v>
      </c>
      <c r="F487" s="151">
        <v>20.208333333333329</v>
      </c>
      <c r="G487" s="7" t="s">
        <v>36</v>
      </c>
      <c r="H487" s="7" t="s">
        <v>37</v>
      </c>
      <c r="I487" s="7" t="s">
        <v>38</v>
      </c>
      <c r="J487">
        <v>0.02</v>
      </c>
      <c r="K487" s="148">
        <v>1.52E-2</v>
      </c>
      <c r="L487">
        <v>0.44</v>
      </c>
      <c r="M487" s="148">
        <v>0.28360000000000002</v>
      </c>
      <c r="N487">
        <v>0</v>
      </c>
      <c r="O487">
        <v>8</v>
      </c>
      <c r="P487">
        <v>8</v>
      </c>
    </row>
    <row r="488" spans="1:16">
      <c r="A488">
        <v>487</v>
      </c>
      <c r="B488" s="2">
        <v>40565</v>
      </c>
      <c r="C488">
        <v>1</v>
      </c>
      <c r="D488" t="s">
        <v>17</v>
      </c>
      <c r="E488" s="6" t="s">
        <v>18</v>
      </c>
      <c r="F488" s="151">
        <v>20.25</v>
      </c>
      <c r="G488" s="7" t="s">
        <v>36</v>
      </c>
      <c r="H488" s="7" t="s">
        <v>37</v>
      </c>
      <c r="I488" s="7" t="s">
        <v>38</v>
      </c>
      <c r="J488">
        <v>0.02</v>
      </c>
      <c r="K488" s="148">
        <v>0</v>
      </c>
      <c r="L488">
        <v>0.44</v>
      </c>
      <c r="M488" s="148">
        <v>0.32840000000000003</v>
      </c>
      <c r="N488">
        <v>1</v>
      </c>
      <c r="O488">
        <v>26</v>
      </c>
      <c r="P488">
        <v>27</v>
      </c>
    </row>
    <row r="489" spans="1:16">
      <c r="A489">
        <v>488</v>
      </c>
      <c r="B489" s="2">
        <v>40565</v>
      </c>
      <c r="C489">
        <v>1</v>
      </c>
      <c r="D489" t="s">
        <v>17</v>
      </c>
      <c r="E489" s="6" t="s">
        <v>18</v>
      </c>
      <c r="F489" s="151">
        <v>20.291666666666671</v>
      </c>
      <c r="G489" s="7" t="s">
        <v>36</v>
      </c>
      <c r="H489" s="7" t="s">
        <v>37</v>
      </c>
      <c r="I489" s="7" t="s">
        <v>38</v>
      </c>
      <c r="J489">
        <v>0.04</v>
      </c>
      <c r="K489" s="148">
        <v>3.0300000000000001E-2</v>
      </c>
      <c r="L489">
        <v>0.41</v>
      </c>
      <c r="M489" s="148">
        <v>0.25369999999999998</v>
      </c>
      <c r="N489">
        <v>3</v>
      </c>
      <c r="O489">
        <v>37</v>
      </c>
      <c r="P489">
        <v>40</v>
      </c>
    </row>
    <row r="490" spans="1:16">
      <c r="A490">
        <v>489</v>
      </c>
      <c r="B490" s="2">
        <v>40565</v>
      </c>
      <c r="C490">
        <v>1</v>
      </c>
      <c r="D490" t="s">
        <v>17</v>
      </c>
      <c r="E490" s="6" t="s">
        <v>18</v>
      </c>
      <c r="F490" s="151">
        <v>20.333333333333329</v>
      </c>
      <c r="G490" s="7" t="s">
        <v>36</v>
      </c>
      <c r="H490" s="7" t="s">
        <v>37</v>
      </c>
      <c r="I490" s="7" t="s">
        <v>39</v>
      </c>
      <c r="J490">
        <v>0.04</v>
      </c>
      <c r="K490" s="148">
        <v>6.0600000000000001E-2</v>
      </c>
      <c r="L490">
        <v>0.41</v>
      </c>
      <c r="M490" s="148">
        <v>0.16420000000000001</v>
      </c>
      <c r="N490">
        <v>3</v>
      </c>
      <c r="O490">
        <v>50</v>
      </c>
      <c r="P490">
        <v>53</v>
      </c>
    </row>
    <row r="491" spans="1:16">
      <c r="A491">
        <v>490</v>
      </c>
      <c r="B491" s="2">
        <v>40565</v>
      </c>
      <c r="C491">
        <v>1</v>
      </c>
      <c r="D491" t="s">
        <v>17</v>
      </c>
      <c r="E491" s="6" t="s">
        <v>18</v>
      </c>
      <c r="F491" s="151">
        <v>20.375</v>
      </c>
      <c r="G491" s="7" t="s">
        <v>36</v>
      </c>
      <c r="H491" s="7" t="s">
        <v>37</v>
      </c>
      <c r="I491" s="7" t="s">
        <v>39</v>
      </c>
      <c r="J491">
        <v>0.06</v>
      </c>
      <c r="K491" s="148">
        <v>7.5800000000000006E-2</v>
      </c>
      <c r="L491">
        <v>0.38</v>
      </c>
      <c r="M491" s="148">
        <v>0.1343</v>
      </c>
      <c r="N491">
        <v>4</v>
      </c>
      <c r="O491">
        <v>59</v>
      </c>
      <c r="P491">
        <v>63</v>
      </c>
    </row>
    <row r="492" spans="1:16">
      <c r="A492">
        <v>491</v>
      </c>
      <c r="B492" s="2">
        <v>40565</v>
      </c>
      <c r="C492">
        <v>1</v>
      </c>
      <c r="D492" t="s">
        <v>17</v>
      </c>
      <c r="E492" s="6" t="s">
        <v>18</v>
      </c>
      <c r="F492" s="151">
        <v>20.416666666666671</v>
      </c>
      <c r="G492" s="7" t="s">
        <v>36</v>
      </c>
      <c r="H492" s="7" t="s">
        <v>37</v>
      </c>
      <c r="I492" s="7" t="s">
        <v>39</v>
      </c>
      <c r="J492">
        <v>0.06</v>
      </c>
      <c r="K492" s="148">
        <v>0.1061</v>
      </c>
      <c r="L492">
        <v>0.38</v>
      </c>
      <c r="M492" s="148">
        <v>0.1045</v>
      </c>
      <c r="N492">
        <v>10</v>
      </c>
      <c r="O492">
        <v>60</v>
      </c>
      <c r="P492">
        <v>70</v>
      </c>
    </row>
    <row r="493" spans="1:16">
      <c r="A493">
        <v>492</v>
      </c>
      <c r="B493" s="2">
        <v>40565</v>
      </c>
      <c r="C493">
        <v>1</v>
      </c>
      <c r="D493" t="s">
        <v>17</v>
      </c>
      <c r="E493" s="6" t="s">
        <v>18</v>
      </c>
      <c r="F493" s="151">
        <v>20.458333333333329</v>
      </c>
      <c r="G493" s="7" t="s">
        <v>36</v>
      </c>
      <c r="H493" s="7" t="s">
        <v>37</v>
      </c>
      <c r="I493" s="7" t="s">
        <v>38</v>
      </c>
      <c r="J493">
        <v>0.08</v>
      </c>
      <c r="K493" s="148">
        <v>0.16669999999999999</v>
      </c>
      <c r="L493">
        <v>0.35</v>
      </c>
      <c r="M493" s="148">
        <v>0</v>
      </c>
      <c r="N493">
        <v>12</v>
      </c>
      <c r="O493">
        <v>72</v>
      </c>
      <c r="P493">
        <v>84</v>
      </c>
    </row>
    <row r="494" spans="1:16">
      <c r="A494">
        <v>493</v>
      </c>
      <c r="B494" s="2">
        <v>40565</v>
      </c>
      <c r="C494">
        <v>1</v>
      </c>
      <c r="D494" t="s">
        <v>17</v>
      </c>
      <c r="E494" s="6" t="s">
        <v>18</v>
      </c>
      <c r="F494" s="151">
        <v>20.5</v>
      </c>
      <c r="G494" s="7" t="s">
        <v>36</v>
      </c>
      <c r="H494" s="7" t="s">
        <v>37</v>
      </c>
      <c r="I494" s="7" t="s">
        <v>38</v>
      </c>
      <c r="J494">
        <v>0.1</v>
      </c>
      <c r="K494" s="148">
        <v>0.13639999999999999</v>
      </c>
      <c r="L494">
        <v>0.33</v>
      </c>
      <c r="M494" s="148">
        <v>0.1045</v>
      </c>
      <c r="N494">
        <v>11</v>
      </c>
      <c r="O494">
        <v>64</v>
      </c>
      <c r="P494">
        <v>75</v>
      </c>
    </row>
    <row r="495" spans="1:16">
      <c r="A495">
        <v>494</v>
      </c>
      <c r="B495" s="2">
        <v>40565</v>
      </c>
      <c r="C495">
        <v>1</v>
      </c>
      <c r="D495" t="s">
        <v>17</v>
      </c>
      <c r="E495" s="6" t="s">
        <v>18</v>
      </c>
      <c r="F495" s="151">
        <v>20.541666666666671</v>
      </c>
      <c r="G495" s="7" t="s">
        <v>36</v>
      </c>
      <c r="H495" s="7" t="s">
        <v>37</v>
      </c>
      <c r="I495" s="7" t="s">
        <v>38</v>
      </c>
      <c r="J495">
        <v>0.12</v>
      </c>
      <c r="K495" s="148">
        <v>0.1515</v>
      </c>
      <c r="L495">
        <v>0.28000000000000003</v>
      </c>
      <c r="M495" s="148">
        <v>0</v>
      </c>
      <c r="N495">
        <v>10</v>
      </c>
      <c r="O495">
        <v>93</v>
      </c>
      <c r="P495">
        <v>103</v>
      </c>
    </row>
    <row r="496" spans="1:16">
      <c r="A496">
        <v>495</v>
      </c>
      <c r="B496" s="2">
        <v>40565</v>
      </c>
      <c r="C496">
        <v>1</v>
      </c>
      <c r="D496" t="s">
        <v>17</v>
      </c>
      <c r="E496" s="6" t="s">
        <v>18</v>
      </c>
      <c r="F496" s="151">
        <v>20.583333333333329</v>
      </c>
      <c r="G496" s="7" t="s">
        <v>36</v>
      </c>
      <c r="H496" s="7" t="s">
        <v>37</v>
      </c>
      <c r="I496" s="7" t="s">
        <v>38</v>
      </c>
      <c r="J496">
        <v>0.12</v>
      </c>
      <c r="K496" s="148">
        <v>0.13639999999999999</v>
      </c>
      <c r="L496">
        <v>0.28000000000000003</v>
      </c>
      <c r="M496" s="148">
        <v>0.19400000000000001</v>
      </c>
      <c r="N496">
        <v>11</v>
      </c>
      <c r="O496">
        <v>72</v>
      </c>
      <c r="P496">
        <v>83</v>
      </c>
    </row>
    <row r="497" spans="1:16">
      <c r="A497">
        <v>496</v>
      </c>
      <c r="B497" s="2">
        <v>40565</v>
      </c>
      <c r="C497">
        <v>1</v>
      </c>
      <c r="D497" t="s">
        <v>17</v>
      </c>
      <c r="E497" s="6" t="s">
        <v>18</v>
      </c>
      <c r="F497" s="151">
        <v>20.625</v>
      </c>
      <c r="G497" s="7" t="s">
        <v>36</v>
      </c>
      <c r="H497" s="7" t="s">
        <v>37</v>
      </c>
      <c r="I497" s="7" t="s">
        <v>38</v>
      </c>
      <c r="J497">
        <v>0.12</v>
      </c>
      <c r="K497" s="148">
        <v>0.19700000000000001</v>
      </c>
      <c r="L497">
        <v>0.28000000000000003</v>
      </c>
      <c r="M497" s="148">
        <v>0</v>
      </c>
      <c r="N497">
        <v>8</v>
      </c>
      <c r="O497">
        <v>59</v>
      </c>
      <c r="P497">
        <v>67</v>
      </c>
    </row>
    <row r="498" spans="1:16">
      <c r="A498">
        <v>497</v>
      </c>
      <c r="B498" s="2">
        <v>40565</v>
      </c>
      <c r="C498">
        <v>1</v>
      </c>
      <c r="D498" t="s">
        <v>17</v>
      </c>
      <c r="E498" s="6" t="s">
        <v>18</v>
      </c>
      <c r="F498" s="151">
        <v>20.666666666666671</v>
      </c>
      <c r="G498" s="7" t="s">
        <v>36</v>
      </c>
      <c r="H498" s="7" t="s">
        <v>37</v>
      </c>
      <c r="I498" s="7" t="s">
        <v>38</v>
      </c>
      <c r="J498">
        <v>0.08</v>
      </c>
      <c r="K498" s="148">
        <v>9.0899999999999995E-2</v>
      </c>
      <c r="L498">
        <v>0.35</v>
      </c>
      <c r="M498" s="148">
        <v>0.19400000000000001</v>
      </c>
      <c r="N498">
        <v>0</v>
      </c>
      <c r="O498">
        <v>54</v>
      </c>
      <c r="P498">
        <v>54</v>
      </c>
    </row>
    <row r="499" spans="1:16">
      <c r="A499">
        <v>498</v>
      </c>
      <c r="B499" s="2">
        <v>40565</v>
      </c>
      <c r="C499">
        <v>1</v>
      </c>
      <c r="D499" t="s">
        <v>17</v>
      </c>
      <c r="E499" s="6" t="s">
        <v>18</v>
      </c>
      <c r="F499" s="151">
        <v>20.708333333333329</v>
      </c>
      <c r="G499" s="7" t="s">
        <v>36</v>
      </c>
      <c r="H499" s="7" t="s">
        <v>37</v>
      </c>
      <c r="I499" s="7" t="s">
        <v>38</v>
      </c>
      <c r="J499">
        <v>0.08</v>
      </c>
      <c r="K499" s="148">
        <v>0.1061</v>
      </c>
      <c r="L499">
        <v>0.35</v>
      </c>
      <c r="M499" s="148">
        <v>0.1343</v>
      </c>
      <c r="N499">
        <v>6</v>
      </c>
      <c r="O499">
        <v>53</v>
      </c>
      <c r="P499">
        <v>59</v>
      </c>
    </row>
    <row r="500" spans="1:16">
      <c r="A500">
        <v>499</v>
      </c>
      <c r="B500" s="2">
        <v>40565</v>
      </c>
      <c r="C500">
        <v>1</v>
      </c>
      <c r="D500" t="s">
        <v>17</v>
      </c>
      <c r="E500" s="6" t="s">
        <v>18</v>
      </c>
      <c r="F500" s="151">
        <v>20.75</v>
      </c>
      <c r="G500" s="7" t="s">
        <v>36</v>
      </c>
      <c r="H500" s="7" t="s">
        <v>37</v>
      </c>
      <c r="I500" s="7" t="s">
        <v>38</v>
      </c>
      <c r="J500">
        <v>0.06</v>
      </c>
      <c r="K500" s="148">
        <v>7.5800000000000006E-2</v>
      </c>
      <c r="L500">
        <v>0.45</v>
      </c>
      <c r="M500" s="148">
        <v>0.16420000000000001</v>
      </c>
      <c r="N500">
        <v>1</v>
      </c>
      <c r="O500">
        <v>44</v>
      </c>
      <c r="P500">
        <v>45</v>
      </c>
    </row>
    <row r="501" spans="1:16">
      <c r="A501">
        <v>500</v>
      </c>
      <c r="B501" s="2">
        <v>40565</v>
      </c>
      <c r="C501">
        <v>1</v>
      </c>
      <c r="D501" t="s">
        <v>17</v>
      </c>
      <c r="E501" s="6" t="s">
        <v>18</v>
      </c>
      <c r="F501" s="151">
        <v>20.791666666666671</v>
      </c>
      <c r="G501" s="7" t="s">
        <v>36</v>
      </c>
      <c r="H501" s="7" t="s">
        <v>37</v>
      </c>
      <c r="I501" s="7" t="s">
        <v>38</v>
      </c>
      <c r="J501">
        <v>0.06</v>
      </c>
      <c r="K501" s="148">
        <v>0.1061</v>
      </c>
      <c r="L501">
        <v>0.41</v>
      </c>
      <c r="M501" s="148">
        <v>8.9599999999999999E-2</v>
      </c>
      <c r="N501">
        <v>0</v>
      </c>
      <c r="O501">
        <v>39</v>
      </c>
      <c r="P501">
        <v>39</v>
      </c>
    </row>
    <row r="502" spans="1:16">
      <c r="A502">
        <v>501</v>
      </c>
      <c r="B502" s="2">
        <v>40565</v>
      </c>
      <c r="C502">
        <v>1</v>
      </c>
      <c r="D502" t="s">
        <v>17</v>
      </c>
      <c r="E502" s="6" t="s">
        <v>18</v>
      </c>
      <c r="F502" s="151">
        <v>20.833333333333329</v>
      </c>
      <c r="G502" s="7" t="s">
        <v>36</v>
      </c>
      <c r="H502" s="7" t="s">
        <v>37</v>
      </c>
      <c r="I502" s="7" t="s">
        <v>38</v>
      </c>
      <c r="J502">
        <v>0.06</v>
      </c>
      <c r="K502" s="148">
        <v>0.1515</v>
      </c>
      <c r="L502">
        <v>0.49</v>
      </c>
      <c r="M502" s="148">
        <v>0</v>
      </c>
      <c r="N502">
        <v>7</v>
      </c>
      <c r="O502">
        <v>23</v>
      </c>
      <c r="P502">
        <v>30</v>
      </c>
    </row>
    <row r="503" spans="1:16">
      <c r="A503">
        <v>502</v>
      </c>
      <c r="B503" s="2">
        <v>40565</v>
      </c>
      <c r="C503">
        <v>1</v>
      </c>
      <c r="D503" t="s">
        <v>17</v>
      </c>
      <c r="E503" s="6" t="s">
        <v>18</v>
      </c>
      <c r="F503" s="151">
        <v>20.875</v>
      </c>
      <c r="G503" s="7" t="s">
        <v>36</v>
      </c>
      <c r="H503" s="7" t="s">
        <v>37</v>
      </c>
      <c r="I503" s="7" t="s">
        <v>38</v>
      </c>
      <c r="J503">
        <v>0.04</v>
      </c>
      <c r="K503" s="148">
        <v>7.5800000000000006E-2</v>
      </c>
      <c r="L503">
        <v>0.56999999999999995</v>
      </c>
      <c r="M503" s="148">
        <v>0.1045</v>
      </c>
      <c r="N503">
        <v>2</v>
      </c>
      <c r="O503">
        <v>31</v>
      </c>
      <c r="P503">
        <v>33</v>
      </c>
    </row>
    <row r="504" spans="1:16">
      <c r="A504">
        <v>503</v>
      </c>
      <c r="B504" s="2">
        <v>40566</v>
      </c>
      <c r="C504">
        <v>1</v>
      </c>
      <c r="D504" t="s">
        <v>17</v>
      </c>
      <c r="E504" s="6" t="s">
        <v>18</v>
      </c>
      <c r="F504" s="151">
        <v>20.916666666666671</v>
      </c>
      <c r="G504" s="7" t="s">
        <v>36</v>
      </c>
      <c r="H504" s="7" t="s">
        <v>40</v>
      </c>
      <c r="I504" s="7" t="s">
        <v>38</v>
      </c>
      <c r="J504">
        <v>0.04</v>
      </c>
      <c r="K504" s="148">
        <v>7.5800000000000006E-2</v>
      </c>
      <c r="L504">
        <v>0.56999999999999995</v>
      </c>
      <c r="M504" s="148">
        <v>0.1045</v>
      </c>
      <c r="N504">
        <v>2</v>
      </c>
      <c r="O504">
        <v>20</v>
      </c>
      <c r="P504">
        <v>22</v>
      </c>
    </row>
    <row r="505" spans="1:16">
      <c r="A505">
        <v>504</v>
      </c>
      <c r="B505" s="2">
        <v>40566</v>
      </c>
      <c r="C505">
        <v>1</v>
      </c>
      <c r="D505" t="s">
        <v>17</v>
      </c>
      <c r="E505" s="6" t="s">
        <v>18</v>
      </c>
      <c r="F505" s="151">
        <v>20.958333333333329</v>
      </c>
      <c r="G505" s="7" t="s">
        <v>36</v>
      </c>
      <c r="H505" s="7" t="s">
        <v>40</v>
      </c>
      <c r="I505" s="7" t="s">
        <v>38</v>
      </c>
      <c r="J505">
        <v>0.04</v>
      </c>
      <c r="K505" s="148">
        <v>7.5800000000000006E-2</v>
      </c>
      <c r="L505">
        <v>0.56999999999999995</v>
      </c>
      <c r="M505" s="148">
        <v>0.1045</v>
      </c>
      <c r="N505">
        <v>1</v>
      </c>
      <c r="O505">
        <v>12</v>
      </c>
      <c r="P505">
        <v>13</v>
      </c>
    </row>
    <row r="506" spans="1:16">
      <c r="A506">
        <v>505</v>
      </c>
      <c r="B506" s="2">
        <v>40566</v>
      </c>
      <c r="C506">
        <v>1</v>
      </c>
      <c r="D506" t="s">
        <v>17</v>
      </c>
      <c r="E506" s="6" t="s">
        <v>18</v>
      </c>
      <c r="F506" s="151">
        <v>21</v>
      </c>
      <c r="G506" s="7" t="s">
        <v>36</v>
      </c>
      <c r="H506" s="7" t="s">
        <v>40</v>
      </c>
      <c r="I506" s="7" t="s">
        <v>38</v>
      </c>
      <c r="J506">
        <v>0.02</v>
      </c>
      <c r="K506" s="148">
        <v>6.0600000000000001E-2</v>
      </c>
      <c r="L506">
        <v>0.62</v>
      </c>
      <c r="M506" s="148">
        <v>0.1343</v>
      </c>
      <c r="N506">
        <v>3</v>
      </c>
      <c r="O506">
        <v>15</v>
      </c>
      <c r="P506">
        <v>18</v>
      </c>
    </row>
    <row r="507" spans="1:16">
      <c r="A507">
        <v>506</v>
      </c>
      <c r="B507" s="2">
        <v>40566</v>
      </c>
      <c r="C507">
        <v>1</v>
      </c>
      <c r="D507" t="s">
        <v>17</v>
      </c>
      <c r="E507" s="6" t="s">
        <v>18</v>
      </c>
      <c r="F507" s="151">
        <v>21.041666666666671</v>
      </c>
      <c r="G507" s="7" t="s">
        <v>36</v>
      </c>
      <c r="H507" s="7" t="s">
        <v>40</v>
      </c>
      <c r="I507" s="7" t="s">
        <v>38</v>
      </c>
      <c r="J507">
        <v>0.02</v>
      </c>
      <c r="K507" s="148">
        <v>6.0600000000000001E-2</v>
      </c>
      <c r="L507">
        <v>0.62</v>
      </c>
      <c r="M507" s="148">
        <v>0.1343</v>
      </c>
      <c r="N507">
        <v>1</v>
      </c>
      <c r="O507">
        <v>4</v>
      </c>
      <c r="P507">
        <v>5</v>
      </c>
    </row>
    <row r="508" spans="1:16">
      <c r="A508">
        <v>507</v>
      </c>
      <c r="B508" s="2">
        <v>40566</v>
      </c>
      <c r="C508">
        <v>1</v>
      </c>
      <c r="D508" t="s">
        <v>17</v>
      </c>
      <c r="E508" s="6" t="s">
        <v>18</v>
      </c>
      <c r="F508" s="151">
        <v>21.083333333333329</v>
      </c>
      <c r="G508" s="7" t="s">
        <v>36</v>
      </c>
      <c r="H508" s="7" t="s">
        <v>40</v>
      </c>
      <c r="I508" s="7" t="s">
        <v>39</v>
      </c>
      <c r="J508">
        <v>0.04</v>
      </c>
      <c r="K508" s="148">
        <v>7.5800000000000006E-2</v>
      </c>
      <c r="L508">
        <v>0.56999999999999995</v>
      </c>
      <c r="M508" s="148">
        <v>0.1045</v>
      </c>
      <c r="N508">
        <v>0</v>
      </c>
      <c r="O508">
        <v>3</v>
      </c>
      <c r="P508">
        <v>3</v>
      </c>
    </row>
    <row r="509" spans="1:16">
      <c r="A509">
        <v>508</v>
      </c>
      <c r="B509" s="2">
        <v>40566</v>
      </c>
      <c r="C509">
        <v>1</v>
      </c>
      <c r="D509" t="s">
        <v>17</v>
      </c>
      <c r="E509" s="6" t="s">
        <v>18</v>
      </c>
      <c r="F509" s="151">
        <v>21.125</v>
      </c>
      <c r="G509" s="7" t="s">
        <v>36</v>
      </c>
      <c r="H509" s="7" t="s">
        <v>40</v>
      </c>
      <c r="I509" s="7" t="s">
        <v>39</v>
      </c>
      <c r="J509">
        <v>0.04</v>
      </c>
      <c r="K509" s="148">
        <v>7.5800000000000006E-2</v>
      </c>
      <c r="L509">
        <v>0.56999999999999995</v>
      </c>
      <c r="M509" s="148">
        <v>0.1045</v>
      </c>
      <c r="N509">
        <v>0</v>
      </c>
      <c r="O509">
        <v>1</v>
      </c>
      <c r="P509">
        <v>1</v>
      </c>
    </row>
    <row r="510" spans="1:16">
      <c r="A510">
        <v>509</v>
      </c>
      <c r="B510" s="2">
        <v>40566</v>
      </c>
      <c r="C510">
        <v>1</v>
      </c>
      <c r="D510" t="s">
        <v>17</v>
      </c>
      <c r="E510" s="6" t="s">
        <v>18</v>
      </c>
      <c r="F510" s="151">
        <v>21.166666666666671</v>
      </c>
      <c r="G510" s="7" t="s">
        <v>36</v>
      </c>
      <c r="H510" s="7" t="s">
        <v>40</v>
      </c>
      <c r="I510" s="7" t="s">
        <v>38</v>
      </c>
      <c r="J510">
        <v>0.08</v>
      </c>
      <c r="K510" s="148">
        <v>0.1061</v>
      </c>
      <c r="L510">
        <v>0.57999999999999996</v>
      </c>
      <c r="M510" s="148">
        <v>0.16420000000000001</v>
      </c>
      <c r="N510">
        <v>1</v>
      </c>
      <c r="O510">
        <v>1</v>
      </c>
      <c r="P510">
        <v>2</v>
      </c>
    </row>
    <row r="511" spans="1:16">
      <c r="A511">
        <v>510</v>
      </c>
      <c r="B511" s="2">
        <v>40566</v>
      </c>
      <c r="C511">
        <v>1</v>
      </c>
      <c r="D511" t="s">
        <v>17</v>
      </c>
      <c r="E511" s="6" t="s">
        <v>18</v>
      </c>
      <c r="F511" s="151">
        <v>21.208333333333329</v>
      </c>
      <c r="G511" s="7" t="s">
        <v>36</v>
      </c>
      <c r="H511" s="7" t="s">
        <v>40</v>
      </c>
      <c r="I511" s="7" t="s">
        <v>38</v>
      </c>
      <c r="J511">
        <v>0.06</v>
      </c>
      <c r="K511" s="148">
        <v>7.5800000000000006E-2</v>
      </c>
      <c r="L511">
        <v>0.62</v>
      </c>
      <c r="M511" s="148">
        <v>0.16420000000000001</v>
      </c>
      <c r="N511">
        <v>2</v>
      </c>
      <c r="O511">
        <v>17</v>
      </c>
      <c r="P511">
        <v>19</v>
      </c>
    </row>
    <row r="512" spans="1:16">
      <c r="A512">
        <v>511</v>
      </c>
      <c r="B512" s="2">
        <v>40566</v>
      </c>
      <c r="C512">
        <v>1</v>
      </c>
      <c r="D512" t="s">
        <v>17</v>
      </c>
      <c r="E512" s="6" t="s">
        <v>18</v>
      </c>
      <c r="F512" s="151">
        <v>21.25</v>
      </c>
      <c r="G512" s="7" t="s">
        <v>36</v>
      </c>
      <c r="H512" s="7" t="s">
        <v>40</v>
      </c>
      <c r="I512" s="7" t="s">
        <v>38</v>
      </c>
      <c r="J512">
        <v>0.1</v>
      </c>
      <c r="K512" s="148">
        <v>7.5800000000000006E-2</v>
      </c>
      <c r="L512">
        <v>0.54</v>
      </c>
      <c r="M512" s="148">
        <v>0.35820000000000002</v>
      </c>
      <c r="N512">
        <v>3</v>
      </c>
      <c r="O512">
        <v>25</v>
      </c>
      <c r="P512">
        <v>28</v>
      </c>
    </row>
    <row r="513" spans="1:16">
      <c r="A513">
        <v>512</v>
      </c>
      <c r="B513" s="2">
        <v>40566</v>
      </c>
      <c r="C513">
        <v>1</v>
      </c>
      <c r="D513" t="s">
        <v>17</v>
      </c>
      <c r="E513" s="6" t="s">
        <v>18</v>
      </c>
      <c r="F513" s="151">
        <v>21.291666666666671</v>
      </c>
      <c r="G513" s="7" t="s">
        <v>36</v>
      </c>
      <c r="H513" s="7" t="s">
        <v>40</v>
      </c>
      <c r="I513" s="7" t="s">
        <v>38</v>
      </c>
      <c r="J513">
        <v>0.14000000000000001</v>
      </c>
      <c r="K513" s="148">
        <v>0.1061</v>
      </c>
      <c r="L513">
        <v>0.46</v>
      </c>
      <c r="M513" s="148">
        <v>0.3881</v>
      </c>
      <c r="N513">
        <v>7</v>
      </c>
      <c r="O513">
        <v>51</v>
      </c>
      <c r="P513">
        <v>58</v>
      </c>
    </row>
    <row r="514" spans="1:16">
      <c r="A514">
        <v>513</v>
      </c>
      <c r="B514" s="2">
        <v>40566</v>
      </c>
      <c r="C514">
        <v>1</v>
      </c>
      <c r="D514" t="s">
        <v>17</v>
      </c>
      <c r="E514" s="6" t="s">
        <v>18</v>
      </c>
      <c r="F514" s="151">
        <v>21.333333333333329</v>
      </c>
      <c r="G514" s="7" t="s">
        <v>36</v>
      </c>
      <c r="H514" s="7" t="s">
        <v>40</v>
      </c>
      <c r="I514" s="7" t="s">
        <v>38</v>
      </c>
      <c r="J514">
        <v>0.14000000000000001</v>
      </c>
      <c r="K514" s="148">
        <v>0.13639999999999999</v>
      </c>
      <c r="L514">
        <v>0.43</v>
      </c>
      <c r="M514" s="148">
        <v>0.22389999999999999</v>
      </c>
      <c r="N514">
        <v>22</v>
      </c>
      <c r="O514">
        <v>77</v>
      </c>
      <c r="P514">
        <v>99</v>
      </c>
    </row>
    <row r="515" spans="1:16">
      <c r="A515">
        <v>514</v>
      </c>
      <c r="B515" s="2">
        <v>40566</v>
      </c>
      <c r="C515">
        <v>1</v>
      </c>
      <c r="D515" t="s">
        <v>17</v>
      </c>
      <c r="E515" s="6" t="s">
        <v>18</v>
      </c>
      <c r="F515" s="151">
        <v>21.375</v>
      </c>
      <c r="G515" s="7" t="s">
        <v>36</v>
      </c>
      <c r="H515" s="7" t="s">
        <v>40</v>
      </c>
      <c r="I515" s="7" t="s">
        <v>38</v>
      </c>
      <c r="J515">
        <v>0.16</v>
      </c>
      <c r="K515" s="148">
        <v>0.1212</v>
      </c>
      <c r="L515">
        <v>0.37</v>
      </c>
      <c r="M515" s="148">
        <v>0.4627</v>
      </c>
      <c r="N515">
        <v>24</v>
      </c>
      <c r="O515">
        <v>92</v>
      </c>
      <c r="P515">
        <v>116</v>
      </c>
    </row>
    <row r="516" spans="1:16">
      <c r="A516">
        <v>515</v>
      </c>
      <c r="B516" s="2">
        <v>40566</v>
      </c>
      <c r="C516">
        <v>1</v>
      </c>
      <c r="D516" t="s">
        <v>17</v>
      </c>
      <c r="E516" s="6" t="s">
        <v>18</v>
      </c>
      <c r="F516" s="151">
        <v>21.416666666666671</v>
      </c>
      <c r="G516" s="7" t="s">
        <v>36</v>
      </c>
      <c r="H516" s="7" t="s">
        <v>40</v>
      </c>
      <c r="I516" s="7" t="s">
        <v>38</v>
      </c>
      <c r="J516">
        <v>0.14000000000000001</v>
      </c>
      <c r="K516" s="148">
        <v>0.1061</v>
      </c>
      <c r="L516">
        <v>0.33</v>
      </c>
      <c r="M516" s="148">
        <v>0.3881</v>
      </c>
      <c r="N516">
        <v>12</v>
      </c>
      <c r="O516">
        <v>75</v>
      </c>
      <c r="P516">
        <v>87</v>
      </c>
    </row>
    <row r="517" spans="1:16">
      <c r="A517">
        <v>516</v>
      </c>
      <c r="B517" s="2">
        <v>40566</v>
      </c>
      <c r="C517">
        <v>1</v>
      </c>
      <c r="D517" t="s">
        <v>17</v>
      </c>
      <c r="E517" s="6" t="s">
        <v>18</v>
      </c>
      <c r="F517" s="151">
        <v>21.458333333333329</v>
      </c>
      <c r="G517" s="7" t="s">
        <v>36</v>
      </c>
      <c r="H517" s="7" t="s">
        <v>40</v>
      </c>
      <c r="I517" s="7" t="s">
        <v>38</v>
      </c>
      <c r="J517">
        <v>0.16</v>
      </c>
      <c r="K517" s="148">
        <v>0.13639999999999999</v>
      </c>
      <c r="L517">
        <v>0.28000000000000003</v>
      </c>
      <c r="M517" s="148">
        <v>0.35820000000000002</v>
      </c>
      <c r="N517">
        <v>17</v>
      </c>
      <c r="O517">
        <v>93</v>
      </c>
      <c r="P517">
        <v>110</v>
      </c>
    </row>
    <row r="518" spans="1:16">
      <c r="A518">
        <v>517</v>
      </c>
      <c r="B518" s="2">
        <v>40566</v>
      </c>
      <c r="C518">
        <v>1</v>
      </c>
      <c r="D518" t="s">
        <v>17</v>
      </c>
      <c r="E518" s="6" t="s">
        <v>18</v>
      </c>
      <c r="F518" s="151">
        <v>21.5</v>
      </c>
      <c r="G518" s="7" t="s">
        <v>36</v>
      </c>
      <c r="H518" s="7" t="s">
        <v>40</v>
      </c>
      <c r="I518" s="7" t="s">
        <v>38</v>
      </c>
      <c r="J518">
        <v>0.16</v>
      </c>
      <c r="K518" s="148">
        <v>0.13639999999999999</v>
      </c>
      <c r="L518">
        <v>0.28000000000000003</v>
      </c>
      <c r="M518" s="148">
        <v>0.35820000000000002</v>
      </c>
      <c r="N518">
        <v>13</v>
      </c>
      <c r="O518">
        <v>64</v>
      </c>
      <c r="P518">
        <v>77</v>
      </c>
    </row>
    <row r="519" spans="1:16">
      <c r="A519">
        <v>518</v>
      </c>
      <c r="B519" s="2">
        <v>40566</v>
      </c>
      <c r="C519">
        <v>1</v>
      </c>
      <c r="D519" t="s">
        <v>17</v>
      </c>
      <c r="E519" s="6" t="s">
        <v>18</v>
      </c>
      <c r="F519" s="151">
        <v>21.541666666666671</v>
      </c>
      <c r="G519" s="7" t="s">
        <v>36</v>
      </c>
      <c r="H519" s="7" t="s">
        <v>40</v>
      </c>
      <c r="I519" s="7" t="s">
        <v>38</v>
      </c>
      <c r="J519">
        <v>0.16</v>
      </c>
      <c r="K519" s="148">
        <v>0.13639999999999999</v>
      </c>
      <c r="L519">
        <v>0.26</v>
      </c>
      <c r="M519" s="148">
        <v>0.32840000000000003</v>
      </c>
      <c r="N519">
        <v>9</v>
      </c>
      <c r="O519">
        <v>56</v>
      </c>
      <c r="P519">
        <v>65</v>
      </c>
    </row>
    <row r="520" spans="1:16">
      <c r="A520">
        <v>519</v>
      </c>
      <c r="B520" s="2">
        <v>40566</v>
      </c>
      <c r="C520">
        <v>1</v>
      </c>
      <c r="D520" t="s">
        <v>17</v>
      </c>
      <c r="E520" s="6" t="s">
        <v>18</v>
      </c>
      <c r="F520" s="151">
        <v>21.583333333333329</v>
      </c>
      <c r="G520" s="7" t="s">
        <v>36</v>
      </c>
      <c r="H520" s="7" t="s">
        <v>40</v>
      </c>
      <c r="I520" s="7" t="s">
        <v>38</v>
      </c>
      <c r="J520">
        <v>0.14000000000000001</v>
      </c>
      <c r="K520" s="148">
        <v>0.1061</v>
      </c>
      <c r="L520">
        <v>0.26</v>
      </c>
      <c r="M520" s="148">
        <v>0.3881</v>
      </c>
      <c r="N520">
        <v>5</v>
      </c>
      <c r="O520">
        <v>50</v>
      </c>
      <c r="P520">
        <v>55</v>
      </c>
    </row>
    <row r="521" spans="1:16">
      <c r="A521">
        <v>520</v>
      </c>
      <c r="B521" s="2">
        <v>40566</v>
      </c>
      <c r="C521">
        <v>1</v>
      </c>
      <c r="D521" t="s">
        <v>17</v>
      </c>
      <c r="E521" s="6" t="s">
        <v>18</v>
      </c>
      <c r="F521" s="151">
        <v>21.625</v>
      </c>
      <c r="G521" s="7" t="s">
        <v>36</v>
      </c>
      <c r="H521" s="7" t="s">
        <v>40</v>
      </c>
      <c r="I521" s="7" t="s">
        <v>38</v>
      </c>
      <c r="J521">
        <v>0.12</v>
      </c>
      <c r="K521" s="148">
        <v>0.1212</v>
      </c>
      <c r="L521">
        <v>0.3</v>
      </c>
      <c r="M521" s="148">
        <v>0.25369999999999998</v>
      </c>
      <c r="N521">
        <v>5</v>
      </c>
      <c r="O521">
        <v>44</v>
      </c>
      <c r="P521">
        <v>49</v>
      </c>
    </row>
    <row r="522" spans="1:16">
      <c r="A522">
        <v>521</v>
      </c>
      <c r="B522" s="2">
        <v>40566</v>
      </c>
      <c r="C522">
        <v>1</v>
      </c>
      <c r="D522" t="s">
        <v>17</v>
      </c>
      <c r="E522" s="6" t="s">
        <v>18</v>
      </c>
      <c r="F522" s="151">
        <v>21.666666666666671</v>
      </c>
      <c r="G522" s="7" t="s">
        <v>36</v>
      </c>
      <c r="H522" s="7" t="s">
        <v>40</v>
      </c>
      <c r="I522" s="7" t="s">
        <v>38</v>
      </c>
      <c r="J522">
        <v>0.12</v>
      </c>
      <c r="K522" s="148">
        <v>0.1212</v>
      </c>
      <c r="L522">
        <v>0.3</v>
      </c>
      <c r="M522" s="148">
        <v>0.28360000000000002</v>
      </c>
      <c r="N522">
        <v>5</v>
      </c>
      <c r="O522">
        <v>45</v>
      </c>
      <c r="P522">
        <v>50</v>
      </c>
    </row>
    <row r="523" spans="1:16">
      <c r="A523">
        <v>522</v>
      </c>
      <c r="B523" s="2">
        <v>40566</v>
      </c>
      <c r="C523">
        <v>1</v>
      </c>
      <c r="D523" t="s">
        <v>17</v>
      </c>
      <c r="E523" s="6" t="s">
        <v>18</v>
      </c>
      <c r="F523" s="151">
        <v>21.708333333333329</v>
      </c>
      <c r="G523" s="7" t="s">
        <v>36</v>
      </c>
      <c r="H523" s="7" t="s">
        <v>40</v>
      </c>
      <c r="I523" s="7" t="s">
        <v>38</v>
      </c>
      <c r="J523">
        <v>0.1</v>
      </c>
      <c r="K523" s="148">
        <v>0.1061</v>
      </c>
      <c r="L523">
        <v>0.36</v>
      </c>
      <c r="M523" s="148">
        <v>0.25369999999999998</v>
      </c>
      <c r="N523">
        <v>4</v>
      </c>
      <c r="O523">
        <v>31</v>
      </c>
      <c r="P523">
        <v>35</v>
      </c>
    </row>
    <row r="524" spans="1:16">
      <c r="A524">
        <v>523</v>
      </c>
      <c r="B524" s="2">
        <v>40566</v>
      </c>
      <c r="C524">
        <v>1</v>
      </c>
      <c r="D524" t="s">
        <v>17</v>
      </c>
      <c r="E524" s="6" t="s">
        <v>18</v>
      </c>
      <c r="F524" s="151">
        <v>21.75</v>
      </c>
      <c r="G524" s="7" t="s">
        <v>36</v>
      </c>
      <c r="H524" s="7" t="s">
        <v>40</v>
      </c>
      <c r="I524" s="7" t="s">
        <v>38</v>
      </c>
      <c r="J524">
        <v>0.1</v>
      </c>
      <c r="K524" s="148">
        <v>0.1061</v>
      </c>
      <c r="L524">
        <v>0.36</v>
      </c>
      <c r="M524" s="148">
        <v>0.19400000000000001</v>
      </c>
      <c r="N524">
        <v>5</v>
      </c>
      <c r="O524">
        <v>20</v>
      </c>
      <c r="P524">
        <v>25</v>
      </c>
    </row>
    <row r="525" spans="1:16">
      <c r="A525">
        <v>524</v>
      </c>
      <c r="B525" s="2">
        <v>40566</v>
      </c>
      <c r="C525">
        <v>1</v>
      </c>
      <c r="D525" t="s">
        <v>17</v>
      </c>
      <c r="E525" s="6" t="s">
        <v>18</v>
      </c>
      <c r="F525" s="151">
        <v>21.791666666666671</v>
      </c>
      <c r="G525" s="7" t="s">
        <v>36</v>
      </c>
      <c r="H525" s="7" t="s">
        <v>40</v>
      </c>
      <c r="I525" s="7" t="s">
        <v>38</v>
      </c>
      <c r="J525">
        <v>0.08</v>
      </c>
      <c r="K525" s="148">
        <v>9.0899999999999995E-2</v>
      </c>
      <c r="L525">
        <v>0.38</v>
      </c>
      <c r="M525" s="148">
        <v>0.19400000000000001</v>
      </c>
      <c r="N525">
        <v>5</v>
      </c>
      <c r="O525">
        <v>23</v>
      </c>
      <c r="P525">
        <v>28</v>
      </c>
    </row>
    <row r="526" spans="1:16">
      <c r="A526">
        <v>525</v>
      </c>
      <c r="B526" s="2">
        <v>40566</v>
      </c>
      <c r="C526">
        <v>1</v>
      </c>
      <c r="D526" t="s">
        <v>17</v>
      </c>
      <c r="E526" s="6" t="s">
        <v>18</v>
      </c>
      <c r="F526" s="151">
        <v>21.833333333333329</v>
      </c>
      <c r="G526" s="7" t="s">
        <v>36</v>
      </c>
      <c r="H526" s="7" t="s">
        <v>40</v>
      </c>
      <c r="I526" s="7" t="s">
        <v>38</v>
      </c>
      <c r="J526">
        <v>0.06</v>
      </c>
      <c r="K526" s="148">
        <v>6.0600000000000001E-2</v>
      </c>
      <c r="L526">
        <v>0.41</v>
      </c>
      <c r="M526" s="148">
        <v>0.22389999999999999</v>
      </c>
      <c r="N526">
        <v>4</v>
      </c>
      <c r="O526">
        <v>17</v>
      </c>
      <c r="P526">
        <v>21</v>
      </c>
    </row>
    <row r="527" spans="1:16">
      <c r="A527">
        <v>526</v>
      </c>
      <c r="B527" s="2">
        <v>40567</v>
      </c>
      <c r="C527">
        <v>1</v>
      </c>
      <c r="D527" t="s">
        <v>17</v>
      </c>
      <c r="E527" s="6" t="s">
        <v>18</v>
      </c>
      <c r="F527" s="151">
        <v>21.875</v>
      </c>
      <c r="G527" s="7" t="s">
        <v>36</v>
      </c>
      <c r="H527" s="7" t="s">
        <v>41</v>
      </c>
      <c r="I527" s="7" t="s">
        <v>38</v>
      </c>
      <c r="J527">
        <v>0.06</v>
      </c>
      <c r="K527" s="148">
        <v>6.0600000000000001E-2</v>
      </c>
      <c r="L527">
        <v>0.41</v>
      </c>
      <c r="M527" s="148">
        <v>0.19400000000000001</v>
      </c>
      <c r="N527">
        <v>0</v>
      </c>
      <c r="O527">
        <v>7</v>
      </c>
      <c r="P527">
        <v>7</v>
      </c>
    </row>
    <row r="528" spans="1:16">
      <c r="A528">
        <v>527</v>
      </c>
      <c r="B528" s="2">
        <v>40567</v>
      </c>
      <c r="C528">
        <v>1</v>
      </c>
      <c r="D528" t="s">
        <v>17</v>
      </c>
      <c r="E528" s="6" t="s">
        <v>18</v>
      </c>
      <c r="F528" s="151">
        <v>21.916666666666671</v>
      </c>
      <c r="G528" s="7" t="s">
        <v>36</v>
      </c>
      <c r="H528" s="7" t="s">
        <v>41</v>
      </c>
      <c r="I528" s="7" t="s">
        <v>38</v>
      </c>
      <c r="J528">
        <v>0.04</v>
      </c>
      <c r="K528" s="148">
        <v>4.5499999999999999E-2</v>
      </c>
      <c r="L528">
        <v>0.45</v>
      </c>
      <c r="M528" s="148">
        <v>0.19400000000000001</v>
      </c>
      <c r="N528">
        <v>0</v>
      </c>
      <c r="O528">
        <v>1</v>
      </c>
      <c r="P528">
        <v>1</v>
      </c>
    </row>
    <row r="529" spans="1:16">
      <c r="A529">
        <v>528</v>
      </c>
      <c r="B529" s="2">
        <v>40567</v>
      </c>
      <c r="C529">
        <v>1</v>
      </c>
      <c r="D529" t="s">
        <v>17</v>
      </c>
      <c r="E529" s="6" t="s">
        <v>18</v>
      </c>
      <c r="F529" s="151">
        <v>21.958333333333329</v>
      </c>
      <c r="G529" s="7" t="s">
        <v>36</v>
      </c>
      <c r="H529" s="7" t="s">
        <v>41</v>
      </c>
      <c r="I529" s="7" t="s">
        <v>38</v>
      </c>
      <c r="J529">
        <v>0.04</v>
      </c>
      <c r="K529" s="148">
        <v>3.0300000000000001E-2</v>
      </c>
      <c r="L529">
        <v>0.45</v>
      </c>
      <c r="M529" s="148">
        <v>0.25369999999999998</v>
      </c>
      <c r="N529">
        <v>0</v>
      </c>
      <c r="O529">
        <v>1</v>
      </c>
      <c r="P529">
        <v>1</v>
      </c>
    </row>
    <row r="530" spans="1:16">
      <c r="A530">
        <v>529</v>
      </c>
      <c r="B530" s="2">
        <v>40567</v>
      </c>
      <c r="C530">
        <v>1</v>
      </c>
      <c r="D530" t="s">
        <v>17</v>
      </c>
      <c r="E530" s="6" t="s">
        <v>18</v>
      </c>
      <c r="F530" s="151">
        <v>22</v>
      </c>
      <c r="G530" s="7" t="s">
        <v>36</v>
      </c>
      <c r="H530" s="7" t="s">
        <v>41</v>
      </c>
      <c r="I530" s="7" t="s">
        <v>38</v>
      </c>
      <c r="J530">
        <v>0.02</v>
      </c>
      <c r="K530" s="148">
        <v>6.0600000000000001E-2</v>
      </c>
      <c r="L530">
        <v>0.48</v>
      </c>
      <c r="M530" s="148">
        <v>0.1343</v>
      </c>
      <c r="N530">
        <v>0</v>
      </c>
      <c r="O530">
        <v>1</v>
      </c>
      <c r="P530">
        <v>1</v>
      </c>
    </row>
    <row r="531" spans="1:16">
      <c r="A531">
        <v>530</v>
      </c>
      <c r="B531" s="2">
        <v>40567</v>
      </c>
      <c r="C531">
        <v>1</v>
      </c>
      <c r="D531" t="s">
        <v>17</v>
      </c>
      <c r="E531" s="6" t="s">
        <v>18</v>
      </c>
      <c r="F531" s="151">
        <v>22.041666666666671</v>
      </c>
      <c r="G531" s="7" t="s">
        <v>36</v>
      </c>
      <c r="H531" s="7" t="s">
        <v>41</v>
      </c>
      <c r="I531" s="7" t="s">
        <v>38</v>
      </c>
      <c r="J531">
        <v>0.02</v>
      </c>
      <c r="K531" s="148">
        <v>6.0600000000000001E-2</v>
      </c>
      <c r="L531">
        <v>0.48</v>
      </c>
      <c r="M531" s="148">
        <v>0.1343</v>
      </c>
      <c r="N531">
        <v>0</v>
      </c>
      <c r="O531">
        <v>5</v>
      </c>
      <c r="P531">
        <v>5</v>
      </c>
    </row>
    <row r="532" spans="1:16">
      <c r="A532">
        <v>531</v>
      </c>
      <c r="B532" s="2">
        <v>40567</v>
      </c>
      <c r="C532">
        <v>1</v>
      </c>
      <c r="D532" t="s">
        <v>17</v>
      </c>
      <c r="E532" s="6" t="s">
        <v>18</v>
      </c>
      <c r="F532" s="151">
        <v>22.083333333333329</v>
      </c>
      <c r="G532" s="7" t="s">
        <v>36</v>
      </c>
      <c r="H532" s="7" t="s">
        <v>41</v>
      </c>
      <c r="I532" s="7" t="s">
        <v>38</v>
      </c>
      <c r="J532">
        <v>0.02</v>
      </c>
      <c r="K532" s="148">
        <v>7.5800000000000006E-2</v>
      </c>
      <c r="L532">
        <v>0.48</v>
      </c>
      <c r="M532" s="148">
        <v>8.9599999999999999E-2</v>
      </c>
      <c r="N532">
        <v>0</v>
      </c>
      <c r="O532">
        <v>15</v>
      </c>
      <c r="P532">
        <v>15</v>
      </c>
    </row>
    <row r="533" spans="1:16">
      <c r="A533">
        <v>532</v>
      </c>
      <c r="B533" s="2">
        <v>40567</v>
      </c>
      <c r="C533">
        <v>1</v>
      </c>
      <c r="D533" t="s">
        <v>17</v>
      </c>
      <c r="E533" s="6" t="s">
        <v>18</v>
      </c>
      <c r="F533" s="151">
        <v>22.125</v>
      </c>
      <c r="G533" s="7" t="s">
        <v>36</v>
      </c>
      <c r="H533" s="7" t="s">
        <v>41</v>
      </c>
      <c r="I533" s="7" t="s">
        <v>38</v>
      </c>
      <c r="J533">
        <v>0.02</v>
      </c>
      <c r="K533" s="148">
        <v>0.1212</v>
      </c>
      <c r="L533">
        <v>0.48</v>
      </c>
      <c r="M533" s="148">
        <v>0</v>
      </c>
      <c r="N533">
        <v>5</v>
      </c>
      <c r="O533">
        <v>79</v>
      </c>
      <c r="P533">
        <v>84</v>
      </c>
    </row>
    <row r="534" spans="1:16">
      <c r="A534">
        <v>533</v>
      </c>
      <c r="B534" s="2">
        <v>40567</v>
      </c>
      <c r="C534">
        <v>1</v>
      </c>
      <c r="D534" t="s">
        <v>17</v>
      </c>
      <c r="E534" s="6" t="s">
        <v>18</v>
      </c>
      <c r="F534" s="151">
        <v>22.166666666666671</v>
      </c>
      <c r="G534" s="7" t="s">
        <v>36</v>
      </c>
      <c r="H534" s="7" t="s">
        <v>41</v>
      </c>
      <c r="I534" s="7" t="s">
        <v>38</v>
      </c>
      <c r="J534">
        <v>0.04</v>
      </c>
      <c r="K534" s="148">
        <v>0.13639999999999999</v>
      </c>
      <c r="L534">
        <v>0.49</v>
      </c>
      <c r="M534" s="148">
        <v>0</v>
      </c>
      <c r="N534">
        <v>6</v>
      </c>
      <c r="O534">
        <v>171</v>
      </c>
      <c r="P534">
        <v>177</v>
      </c>
    </row>
    <row r="535" spans="1:16">
      <c r="A535">
        <v>534</v>
      </c>
      <c r="B535" s="2">
        <v>40567</v>
      </c>
      <c r="C535">
        <v>1</v>
      </c>
      <c r="D535" t="s">
        <v>17</v>
      </c>
      <c r="E535" s="6" t="s">
        <v>18</v>
      </c>
      <c r="F535" s="151">
        <v>22.208333333333329</v>
      </c>
      <c r="G535" s="7" t="s">
        <v>36</v>
      </c>
      <c r="H535" s="7" t="s">
        <v>41</v>
      </c>
      <c r="I535" s="7" t="s">
        <v>38</v>
      </c>
      <c r="J535">
        <v>0.06</v>
      </c>
      <c r="K535" s="148">
        <v>0.1515</v>
      </c>
      <c r="L535">
        <v>0.41</v>
      </c>
      <c r="M535" s="148">
        <v>0</v>
      </c>
      <c r="N535">
        <v>4</v>
      </c>
      <c r="O535">
        <v>98</v>
      </c>
      <c r="P535">
        <v>102</v>
      </c>
    </row>
    <row r="536" spans="1:16">
      <c r="A536">
        <v>535</v>
      </c>
      <c r="B536" s="2">
        <v>40567</v>
      </c>
      <c r="C536">
        <v>1</v>
      </c>
      <c r="D536" t="s">
        <v>17</v>
      </c>
      <c r="E536" s="6" t="s">
        <v>18</v>
      </c>
      <c r="F536" s="151">
        <v>22.25</v>
      </c>
      <c r="G536" s="7" t="s">
        <v>36</v>
      </c>
      <c r="H536" s="7" t="s">
        <v>41</v>
      </c>
      <c r="I536" s="7" t="s">
        <v>38</v>
      </c>
      <c r="J536">
        <v>0.1</v>
      </c>
      <c r="K536" s="148">
        <v>0.13639999999999999</v>
      </c>
      <c r="L536">
        <v>0.42</v>
      </c>
      <c r="M536" s="148">
        <v>0</v>
      </c>
      <c r="N536">
        <v>6</v>
      </c>
      <c r="O536">
        <v>34</v>
      </c>
      <c r="P536">
        <v>40</v>
      </c>
    </row>
    <row r="537" spans="1:16">
      <c r="A537">
        <v>536</v>
      </c>
      <c r="B537" s="2">
        <v>40567</v>
      </c>
      <c r="C537">
        <v>1</v>
      </c>
      <c r="D537" t="s">
        <v>17</v>
      </c>
      <c r="E537" s="6" t="s">
        <v>18</v>
      </c>
      <c r="F537" s="151">
        <v>22.291666666666671</v>
      </c>
      <c r="G537" s="7" t="s">
        <v>36</v>
      </c>
      <c r="H537" s="7" t="s">
        <v>41</v>
      </c>
      <c r="I537" s="7" t="s">
        <v>38</v>
      </c>
      <c r="J537">
        <v>0.1</v>
      </c>
      <c r="K537" s="148">
        <v>0.1212</v>
      </c>
      <c r="L537">
        <v>0.46</v>
      </c>
      <c r="M537" s="148">
        <v>0.1343</v>
      </c>
      <c r="N537">
        <v>3</v>
      </c>
      <c r="O537">
        <v>43</v>
      </c>
      <c r="P537">
        <v>46</v>
      </c>
    </row>
    <row r="538" spans="1:16">
      <c r="A538">
        <v>537</v>
      </c>
      <c r="B538" s="2">
        <v>40567</v>
      </c>
      <c r="C538">
        <v>1</v>
      </c>
      <c r="D538" t="s">
        <v>17</v>
      </c>
      <c r="E538" s="6" t="s">
        <v>18</v>
      </c>
      <c r="F538" s="151">
        <v>22.333333333333329</v>
      </c>
      <c r="G538" s="7" t="s">
        <v>36</v>
      </c>
      <c r="H538" s="7" t="s">
        <v>41</v>
      </c>
      <c r="I538" s="7" t="s">
        <v>39</v>
      </c>
      <c r="J538">
        <v>0.12</v>
      </c>
      <c r="K538" s="148">
        <v>0.13639999999999999</v>
      </c>
      <c r="L538">
        <v>0.42</v>
      </c>
      <c r="M538" s="148">
        <v>0.19400000000000001</v>
      </c>
      <c r="N538">
        <v>11</v>
      </c>
      <c r="O538">
        <v>52</v>
      </c>
      <c r="P538">
        <v>63</v>
      </c>
    </row>
    <row r="539" spans="1:16">
      <c r="A539">
        <v>538</v>
      </c>
      <c r="B539" s="2">
        <v>40567</v>
      </c>
      <c r="C539">
        <v>1</v>
      </c>
      <c r="D539" t="s">
        <v>17</v>
      </c>
      <c r="E539" s="6" t="s">
        <v>18</v>
      </c>
      <c r="F539" s="151">
        <v>22.375</v>
      </c>
      <c r="G539" s="7" t="s">
        <v>36</v>
      </c>
      <c r="H539" s="7" t="s">
        <v>41</v>
      </c>
      <c r="I539" s="7" t="s">
        <v>39</v>
      </c>
      <c r="J539">
        <v>0.14000000000000001</v>
      </c>
      <c r="K539" s="148">
        <v>0.13639999999999999</v>
      </c>
      <c r="L539">
        <v>0.43</v>
      </c>
      <c r="M539" s="148">
        <v>0.22389999999999999</v>
      </c>
      <c r="N539">
        <v>6</v>
      </c>
      <c r="O539">
        <v>54</v>
      </c>
      <c r="P539">
        <v>60</v>
      </c>
    </row>
    <row r="540" spans="1:16">
      <c r="A540">
        <v>539</v>
      </c>
      <c r="B540" s="2">
        <v>40567</v>
      </c>
      <c r="C540">
        <v>1</v>
      </c>
      <c r="D540" t="s">
        <v>17</v>
      </c>
      <c r="E540" s="6" t="s">
        <v>18</v>
      </c>
      <c r="F540" s="151">
        <v>22.416666666666671</v>
      </c>
      <c r="G540" s="7" t="s">
        <v>36</v>
      </c>
      <c r="H540" s="7" t="s">
        <v>41</v>
      </c>
      <c r="I540" s="7" t="s">
        <v>39</v>
      </c>
      <c r="J540">
        <v>0.14000000000000001</v>
      </c>
      <c r="K540" s="148">
        <v>0.13639999999999999</v>
      </c>
      <c r="L540">
        <v>0.46</v>
      </c>
      <c r="M540" s="148">
        <v>0.22389999999999999</v>
      </c>
      <c r="N540">
        <v>2</v>
      </c>
      <c r="O540">
        <v>43</v>
      </c>
      <c r="P540">
        <v>45</v>
      </c>
    </row>
    <row r="541" spans="1:16">
      <c r="A541">
        <v>540</v>
      </c>
      <c r="B541" s="2">
        <v>40567</v>
      </c>
      <c r="C541">
        <v>1</v>
      </c>
      <c r="D541" t="s">
        <v>17</v>
      </c>
      <c r="E541" s="6" t="s">
        <v>18</v>
      </c>
      <c r="F541" s="151">
        <v>22.458333333333329</v>
      </c>
      <c r="G541" s="7" t="s">
        <v>36</v>
      </c>
      <c r="H541" s="7" t="s">
        <v>41</v>
      </c>
      <c r="I541" s="7" t="s">
        <v>38</v>
      </c>
      <c r="J541">
        <v>0.16</v>
      </c>
      <c r="K541" s="148">
        <v>0.16669999999999999</v>
      </c>
      <c r="L541">
        <v>0.4</v>
      </c>
      <c r="M541" s="148">
        <v>0.16420000000000001</v>
      </c>
      <c r="N541">
        <v>7</v>
      </c>
      <c r="O541">
        <v>50</v>
      </c>
      <c r="P541">
        <v>57</v>
      </c>
    </row>
    <row r="542" spans="1:16">
      <c r="A542">
        <v>541</v>
      </c>
      <c r="B542" s="2">
        <v>40567</v>
      </c>
      <c r="C542">
        <v>1</v>
      </c>
      <c r="D542" t="s">
        <v>17</v>
      </c>
      <c r="E542" s="6" t="s">
        <v>18</v>
      </c>
      <c r="F542" s="151">
        <v>22.5</v>
      </c>
      <c r="G542" s="7" t="s">
        <v>36</v>
      </c>
      <c r="H542" s="7" t="s">
        <v>41</v>
      </c>
      <c r="I542" s="7" t="s">
        <v>38</v>
      </c>
      <c r="J542">
        <v>0.16</v>
      </c>
      <c r="K542" s="148">
        <v>0.1515</v>
      </c>
      <c r="L542">
        <v>0.47</v>
      </c>
      <c r="M542" s="148">
        <v>0.25369999999999998</v>
      </c>
      <c r="N542">
        <v>4</v>
      </c>
      <c r="O542">
        <v>66</v>
      </c>
      <c r="P542">
        <v>70</v>
      </c>
    </row>
    <row r="543" spans="1:16">
      <c r="A543">
        <v>542</v>
      </c>
      <c r="B543" s="2">
        <v>40567</v>
      </c>
      <c r="C543">
        <v>1</v>
      </c>
      <c r="D543" t="s">
        <v>17</v>
      </c>
      <c r="E543" s="6" t="s">
        <v>18</v>
      </c>
      <c r="F543" s="151">
        <v>22.541666666666671</v>
      </c>
      <c r="G543" s="7" t="s">
        <v>36</v>
      </c>
      <c r="H543" s="7" t="s">
        <v>41</v>
      </c>
      <c r="I543" s="7" t="s">
        <v>38</v>
      </c>
      <c r="J543">
        <v>0.14000000000000001</v>
      </c>
      <c r="K543" s="148">
        <v>0.1212</v>
      </c>
      <c r="L543">
        <v>0.5</v>
      </c>
      <c r="M543" s="148">
        <v>0.25369999999999998</v>
      </c>
      <c r="N543">
        <v>6</v>
      </c>
      <c r="O543">
        <v>178</v>
      </c>
      <c r="P543">
        <v>184</v>
      </c>
    </row>
    <row r="544" spans="1:16">
      <c r="A544">
        <v>543</v>
      </c>
      <c r="B544" s="2">
        <v>40567</v>
      </c>
      <c r="C544">
        <v>1</v>
      </c>
      <c r="D544" t="s">
        <v>17</v>
      </c>
      <c r="E544" s="6" t="s">
        <v>18</v>
      </c>
      <c r="F544" s="151">
        <v>22.583333333333329</v>
      </c>
      <c r="G544" s="7" t="s">
        <v>36</v>
      </c>
      <c r="H544" s="7" t="s">
        <v>41</v>
      </c>
      <c r="I544" s="7" t="s">
        <v>38</v>
      </c>
      <c r="J544">
        <v>0.14000000000000001</v>
      </c>
      <c r="K544" s="148">
        <v>0.13639999999999999</v>
      </c>
      <c r="L544">
        <v>0.59</v>
      </c>
      <c r="M544" s="148">
        <v>0.19400000000000001</v>
      </c>
      <c r="N544">
        <v>8</v>
      </c>
      <c r="O544">
        <v>145</v>
      </c>
      <c r="P544">
        <v>153</v>
      </c>
    </row>
    <row r="545" spans="1:16">
      <c r="A545">
        <v>544</v>
      </c>
      <c r="B545" s="2">
        <v>40567</v>
      </c>
      <c r="C545">
        <v>1</v>
      </c>
      <c r="D545" t="s">
        <v>17</v>
      </c>
      <c r="E545" s="6" t="s">
        <v>18</v>
      </c>
      <c r="F545" s="151">
        <v>22.625</v>
      </c>
      <c r="G545" s="7" t="s">
        <v>36</v>
      </c>
      <c r="H545" s="7" t="s">
        <v>41</v>
      </c>
      <c r="I545" s="7" t="s">
        <v>38</v>
      </c>
      <c r="J545">
        <v>0.14000000000000001</v>
      </c>
      <c r="K545" s="148">
        <v>0.1515</v>
      </c>
      <c r="L545">
        <v>0.54</v>
      </c>
      <c r="M545" s="148">
        <v>0.16420000000000001</v>
      </c>
      <c r="N545">
        <v>5</v>
      </c>
      <c r="O545">
        <v>101</v>
      </c>
      <c r="P545">
        <v>106</v>
      </c>
    </row>
    <row r="546" spans="1:16">
      <c r="A546">
        <v>545</v>
      </c>
      <c r="B546" s="2">
        <v>40567</v>
      </c>
      <c r="C546">
        <v>1</v>
      </c>
      <c r="D546" t="s">
        <v>17</v>
      </c>
      <c r="E546" s="6" t="s">
        <v>18</v>
      </c>
      <c r="F546" s="151">
        <v>22.666666666666671</v>
      </c>
      <c r="G546" s="7" t="s">
        <v>36</v>
      </c>
      <c r="H546" s="7" t="s">
        <v>41</v>
      </c>
      <c r="I546" s="7" t="s">
        <v>38</v>
      </c>
      <c r="J546">
        <v>0.14000000000000001</v>
      </c>
      <c r="K546" s="148">
        <v>0.13639999999999999</v>
      </c>
      <c r="L546">
        <v>0.59</v>
      </c>
      <c r="M546" s="148">
        <v>0.19400000000000001</v>
      </c>
      <c r="N546">
        <v>1</v>
      </c>
      <c r="O546">
        <v>80</v>
      </c>
      <c r="P546">
        <v>81</v>
      </c>
    </row>
    <row r="547" spans="1:16">
      <c r="A547">
        <v>546</v>
      </c>
      <c r="B547" s="2">
        <v>40567</v>
      </c>
      <c r="C547">
        <v>1</v>
      </c>
      <c r="D547" t="s">
        <v>17</v>
      </c>
      <c r="E547" s="6" t="s">
        <v>18</v>
      </c>
      <c r="F547" s="151">
        <v>22.708333333333329</v>
      </c>
      <c r="G547" s="7" t="s">
        <v>36</v>
      </c>
      <c r="H547" s="7" t="s">
        <v>41</v>
      </c>
      <c r="I547" s="7" t="s">
        <v>38</v>
      </c>
      <c r="J547">
        <v>0.14000000000000001</v>
      </c>
      <c r="K547" s="148">
        <v>0.1515</v>
      </c>
      <c r="L547">
        <v>0.63</v>
      </c>
      <c r="M547" s="148">
        <v>0.16420000000000001</v>
      </c>
      <c r="N547">
        <v>6</v>
      </c>
      <c r="O547">
        <v>53</v>
      </c>
      <c r="P547">
        <v>59</v>
      </c>
    </row>
    <row r="548" spans="1:16">
      <c r="A548">
        <v>547</v>
      </c>
      <c r="B548" s="2">
        <v>40567</v>
      </c>
      <c r="C548">
        <v>1</v>
      </c>
      <c r="D548" t="s">
        <v>17</v>
      </c>
      <c r="E548" s="6" t="s">
        <v>18</v>
      </c>
      <c r="F548" s="151">
        <v>22.75</v>
      </c>
      <c r="G548" s="7" t="s">
        <v>36</v>
      </c>
      <c r="H548" s="7" t="s">
        <v>41</v>
      </c>
      <c r="I548" s="7" t="s">
        <v>39</v>
      </c>
      <c r="J548">
        <v>0.14000000000000001</v>
      </c>
      <c r="K548" s="148">
        <v>0.13639999999999999</v>
      </c>
      <c r="L548">
        <v>0.63</v>
      </c>
      <c r="M548" s="148">
        <v>0.22389999999999999</v>
      </c>
      <c r="N548">
        <v>3</v>
      </c>
      <c r="O548">
        <v>32</v>
      </c>
      <c r="P548">
        <v>35</v>
      </c>
    </row>
    <row r="549" spans="1:16">
      <c r="A549">
        <v>548</v>
      </c>
      <c r="B549" s="2">
        <v>40567</v>
      </c>
      <c r="C549">
        <v>1</v>
      </c>
      <c r="D549" t="s">
        <v>17</v>
      </c>
      <c r="E549" s="6" t="s">
        <v>18</v>
      </c>
      <c r="F549" s="151">
        <v>22.791666666666671</v>
      </c>
      <c r="G549" s="7" t="s">
        <v>36</v>
      </c>
      <c r="H549" s="7" t="s">
        <v>41</v>
      </c>
      <c r="I549" s="7" t="s">
        <v>39</v>
      </c>
      <c r="J549">
        <v>0.16</v>
      </c>
      <c r="K549" s="148">
        <v>0.1515</v>
      </c>
      <c r="L549">
        <v>0.64</v>
      </c>
      <c r="M549" s="148">
        <v>0.25369999999999998</v>
      </c>
      <c r="N549">
        <v>3</v>
      </c>
      <c r="O549">
        <v>21</v>
      </c>
      <c r="P549">
        <v>24</v>
      </c>
    </row>
    <row r="550" spans="1:16">
      <c r="A550">
        <v>549</v>
      </c>
      <c r="B550" s="2">
        <v>40568</v>
      </c>
      <c r="C550">
        <v>1</v>
      </c>
      <c r="D550" t="s">
        <v>17</v>
      </c>
      <c r="E550" s="6" t="s">
        <v>18</v>
      </c>
      <c r="F550" s="151">
        <v>22.833333333333329</v>
      </c>
      <c r="G550" s="7" t="s">
        <v>36</v>
      </c>
      <c r="H550" s="7" t="s">
        <v>42</v>
      </c>
      <c r="I550" s="7" t="s">
        <v>39</v>
      </c>
      <c r="J550">
        <v>0.16</v>
      </c>
      <c r="K550" s="148">
        <v>0.13639999999999999</v>
      </c>
      <c r="L550">
        <v>0.69</v>
      </c>
      <c r="M550" s="148">
        <v>0.28360000000000002</v>
      </c>
      <c r="N550">
        <v>3</v>
      </c>
      <c r="O550">
        <v>6</v>
      </c>
      <c r="P550">
        <v>9</v>
      </c>
    </row>
    <row r="551" spans="1:16">
      <c r="A551">
        <v>550</v>
      </c>
      <c r="B551" s="2">
        <v>40568</v>
      </c>
      <c r="C551">
        <v>1</v>
      </c>
      <c r="D551" t="s">
        <v>17</v>
      </c>
      <c r="E551" s="6" t="s">
        <v>18</v>
      </c>
      <c r="F551" s="151">
        <v>22.875</v>
      </c>
      <c r="G551" s="7" t="s">
        <v>36</v>
      </c>
      <c r="H551" s="7" t="s">
        <v>42</v>
      </c>
      <c r="I551" s="7" t="s">
        <v>39</v>
      </c>
      <c r="J551">
        <v>0.16</v>
      </c>
      <c r="K551" s="148">
        <v>0.16669999999999999</v>
      </c>
      <c r="L551">
        <v>0.69</v>
      </c>
      <c r="M551" s="148">
        <v>0.16420000000000001</v>
      </c>
      <c r="N551">
        <v>0</v>
      </c>
      <c r="O551">
        <v>5</v>
      </c>
      <c r="P551">
        <v>5</v>
      </c>
    </row>
    <row r="552" spans="1:16">
      <c r="A552">
        <v>551</v>
      </c>
      <c r="B552" s="2">
        <v>40568</v>
      </c>
      <c r="C552">
        <v>1</v>
      </c>
      <c r="D552" t="s">
        <v>17</v>
      </c>
      <c r="E552" s="6" t="s">
        <v>18</v>
      </c>
      <c r="F552" s="151">
        <v>22.916666666666671</v>
      </c>
      <c r="G552" s="7" t="s">
        <v>36</v>
      </c>
      <c r="H552" s="7" t="s">
        <v>42</v>
      </c>
      <c r="I552" s="7" t="s">
        <v>38</v>
      </c>
      <c r="J552">
        <v>0.16</v>
      </c>
      <c r="K552" s="148">
        <v>0.1515</v>
      </c>
      <c r="L552">
        <v>0.69</v>
      </c>
      <c r="M552" s="148">
        <v>0.22389999999999999</v>
      </c>
      <c r="N552">
        <v>0</v>
      </c>
      <c r="O552">
        <v>2</v>
      </c>
      <c r="P552">
        <v>2</v>
      </c>
    </row>
    <row r="553" spans="1:16">
      <c r="A553">
        <v>552</v>
      </c>
      <c r="B553" s="2">
        <v>40568</v>
      </c>
      <c r="C553">
        <v>1</v>
      </c>
      <c r="D553" t="s">
        <v>17</v>
      </c>
      <c r="E553" s="6" t="s">
        <v>18</v>
      </c>
      <c r="F553" s="151">
        <v>22.958333333333329</v>
      </c>
      <c r="G553" s="7" t="s">
        <v>36</v>
      </c>
      <c r="H553" s="7" t="s">
        <v>42</v>
      </c>
      <c r="I553" s="7" t="s">
        <v>38</v>
      </c>
      <c r="J553">
        <v>0.14000000000000001</v>
      </c>
      <c r="K553" s="148">
        <v>0.16669999999999999</v>
      </c>
      <c r="L553">
        <v>0.74</v>
      </c>
      <c r="M553" s="148">
        <v>0.1045</v>
      </c>
      <c r="N553">
        <v>0</v>
      </c>
      <c r="O553">
        <v>1</v>
      </c>
      <c r="P553">
        <v>1</v>
      </c>
    </row>
    <row r="554" spans="1:16">
      <c r="A554">
        <v>553</v>
      </c>
      <c r="B554" s="2">
        <v>40568</v>
      </c>
      <c r="C554">
        <v>1</v>
      </c>
      <c r="D554" t="s">
        <v>17</v>
      </c>
      <c r="E554" s="6" t="s">
        <v>18</v>
      </c>
      <c r="F554" s="151">
        <v>23</v>
      </c>
      <c r="G554" s="7" t="s">
        <v>36</v>
      </c>
      <c r="H554" s="7" t="s">
        <v>42</v>
      </c>
      <c r="I554" s="7" t="s">
        <v>38</v>
      </c>
      <c r="J554">
        <v>0.14000000000000001</v>
      </c>
      <c r="K554" s="148">
        <v>0.13639999999999999</v>
      </c>
      <c r="L554">
        <v>0.74</v>
      </c>
      <c r="M554" s="148">
        <v>0.22389999999999999</v>
      </c>
      <c r="N554">
        <v>0</v>
      </c>
      <c r="O554">
        <v>9</v>
      </c>
      <c r="P554">
        <v>9</v>
      </c>
    </row>
    <row r="555" spans="1:16">
      <c r="A555">
        <v>554</v>
      </c>
      <c r="B555" s="2">
        <v>40568</v>
      </c>
      <c r="C555">
        <v>1</v>
      </c>
      <c r="D555" t="s">
        <v>17</v>
      </c>
      <c r="E555" s="6" t="s">
        <v>18</v>
      </c>
      <c r="F555" s="151">
        <v>23.041666666666671</v>
      </c>
      <c r="G555" s="7" t="s">
        <v>36</v>
      </c>
      <c r="H555" s="7" t="s">
        <v>42</v>
      </c>
      <c r="I555" s="7" t="s">
        <v>38</v>
      </c>
      <c r="J555">
        <v>0.16</v>
      </c>
      <c r="K555" s="148">
        <v>0.18179999999999999</v>
      </c>
      <c r="L555">
        <v>0.74</v>
      </c>
      <c r="M555" s="148">
        <v>0.1045</v>
      </c>
      <c r="N555">
        <v>1</v>
      </c>
      <c r="O555">
        <v>35</v>
      </c>
      <c r="P555">
        <v>36</v>
      </c>
    </row>
    <row r="556" spans="1:16">
      <c r="A556">
        <v>555</v>
      </c>
      <c r="B556" s="2">
        <v>40568</v>
      </c>
      <c r="C556">
        <v>1</v>
      </c>
      <c r="D556" t="s">
        <v>17</v>
      </c>
      <c r="E556" s="6" t="s">
        <v>18</v>
      </c>
      <c r="F556" s="151">
        <v>23.083333333333329</v>
      </c>
      <c r="G556" s="7" t="s">
        <v>36</v>
      </c>
      <c r="H556" s="7" t="s">
        <v>42</v>
      </c>
      <c r="I556" s="7" t="s">
        <v>38</v>
      </c>
      <c r="J556">
        <v>0.16</v>
      </c>
      <c r="K556" s="148">
        <v>0.1515</v>
      </c>
      <c r="L556">
        <v>0.74</v>
      </c>
      <c r="M556" s="148">
        <v>0.22389999999999999</v>
      </c>
      <c r="N556">
        <v>5</v>
      </c>
      <c r="O556">
        <v>103</v>
      </c>
      <c r="P556">
        <v>108</v>
      </c>
    </row>
    <row r="557" spans="1:16">
      <c r="A557">
        <v>556</v>
      </c>
      <c r="B557" s="2">
        <v>40568</v>
      </c>
      <c r="C557">
        <v>1</v>
      </c>
      <c r="D557" t="s">
        <v>17</v>
      </c>
      <c r="E557" s="6" t="s">
        <v>18</v>
      </c>
      <c r="F557" s="151">
        <v>23.125</v>
      </c>
      <c r="G557" s="7" t="s">
        <v>36</v>
      </c>
      <c r="H557" s="7" t="s">
        <v>42</v>
      </c>
      <c r="I557" s="7" t="s">
        <v>39</v>
      </c>
      <c r="J557">
        <v>0.16</v>
      </c>
      <c r="K557" s="148">
        <v>0.18179999999999999</v>
      </c>
      <c r="L557">
        <v>0.74</v>
      </c>
      <c r="M557" s="148">
        <v>0.1343</v>
      </c>
      <c r="N557">
        <v>5</v>
      </c>
      <c r="O557">
        <v>233</v>
      </c>
      <c r="P557">
        <v>238</v>
      </c>
    </row>
    <row r="558" spans="1:16">
      <c r="A558">
        <v>557</v>
      </c>
      <c r="B558" s="2">
        <v>40568</v>
      </c>
      <c r="C558">
        <v>1</v>
      </c>
      <c r="D558" t="s">
        <v>17</v>
      </c>
      <c r="E558" s="6" t="s">
        <v>18</v>
      </c>
      <c r="F558" s="151">
        <v>23.166666666666671</v>
      </c>
      <c r="G558" s="7" t="s">
        <v>36</v>
      </c>
      <c r="H558" s="7" t="s">
        <v>42</v>
      </c>
      <c r="I558" s="7" t="s">
        <v>39</v>
      </c>
      <c r="J558">
        <v>0.2</v>
      </c>
      <c r="K558" s="148">
        <v>0.2273</v>
      </c>
      <c r="L558">
        <v>0.64</v>
      </c>
      <c r="M558" s="148">
        <v>8.9599999999999999E-2</v>
      </c>
      <c r="N558">
        <v>10</v>
      </c>
      <c r="O558">
        <v>134</v>
      </c>
      <c r="P558">
        <v>144</v>
      </c>
    </row>
    <row r="559" spans="1:16">
      <c r="A559">
        <v>558</v>
      </c>
      <c r="B559" s="2">
        <v>40568</v>
      </c>
      <c r="C559">
        <v>1</v>
      </c>
      <c r="D559" t="s">
        <v>17</v>
      </c>
      <c r="E559" s="6" t="s">
        <v>18</v>
      </c>
      <c r="F559" s="151">
        <v>23.208333333333329</v>
      </c>
      <c r="G559" s="7" t="s">
        <v>36</v>
      </c>
      <c r="H559" s="7" t="s">
        <v>42</v>
      </c>
      <c r="I559" s="7" t="s">
        <v>39</v>
      </c>
      <c r="J559">
        <v>0.22</v>
      </c>
      <c r="K559" s="148">
        <v>0.2424</v>
      </c>
      <c r="L559">
        <v>0.6</v>
      </c>
      <c r="M559" s="148">
        <v>0.1045</v>
      </c>
      <c r="N559">
        <v>6</v>
      </c>
      <c r="O559">
        <v>49</v>
      </c>
      <c r="P559">
        <v>55</v>
      </c>
    </row>
    <row r="560" spans="1:16">
      <c r="A560">
        <v>559</v>
      </c>
      <c r="B560" s="2">
        <v>40568</v>
      </c>
      <c r="C560">
        <v>1</v>
      </c>
      <c r="D560" t="s">
        <v>17</v>
      </c>
      <c r="E560" s="6" t="s">
        <v>18</v>
      </c>
      <c r="F560" s="151">
        <v>23.25</v>
      </c>
      <c r="G560" s="7" t="s">
        <v>36</v>
      </c>
      <c r="H560" s="7" t="s">
        <v>42</v>
      </c>
      <c r="I560" s="7" t="s">
        <v>39</v>
      </c>
      <c r="J560">
        <v>0.24</v>
      </c>
      <c r="K560" s="148">
        <v>0.2424</v>
      </c>
      <c r="L560">
        <v>0.6</v>
      </c>
      <c r="M560" s="148">
        <v>0.1343</v>
      </c>
      <c r="N560">
        <v>6</v>
      </c>
      <c r="O560">
        <v>55</v>
      </c>
      <c r="P560">
        <v>61</v>
      </c>
    </row>
    <row r="561" spans="1:16">
      <c r="A561">
        <v>560</v>
      </c>
      <c r="B561" s="2">
        <v>40568</v>
      </c>
      <c r="C561">
        <v>1</v>
      </c>
      <c r="D561" t="s">
        <v>17</v>
      </c>
      <c r="E561" s="6" t="s">
        <v>18</v>
      </c>
      <c r="F561" s="151">
        <v>23.291666666666671</v>
      </c>
      <c r="G561" s="7" t="s">
        <v>36</v>
      </c>
      <c r="H561" s="7" t="s">
        <v>42</v>
      </c>
      <c r="I561" s="7" t="s">
        <v>39</v>
      </c>
      <c r="J561">
        <v>0.26</v>
      </c>
      <c r="K561" s="148">
        <v>0.28789999999999999</v>
      </c>
      <c r="L561">
        <v>0.56000000000000005</v>
      </c>
      <c r="M561" s="148">
        <v>8.9599999999999999E-2</v>
      </c>
      <c r="N561">
        <v>21</v>
      </c>
      <c r="O561">
        <v>85</v>
      </c>
      <c r="P561">
        <v>106</v>
      </c>
    </row>
    <row r="562" spans="1:16">
      <c r="A562">
        <v>561</v>
      </c>
      <c r="B562" s="2">
        <v>40568</v>
      </c>
      <c r="C562">
        <v>1</v>
      </c>
      <c r="D562" t="s">
        <v>17</v>
      </c>
      <c r="E562" s="6" t="s">
        <v>18</v>
      </c>
      <c r="F562" s="151">
        <v>23.333333333333329</v>
      </c>
      <c r="G562" s="7" t="s">
        <v>36</v>
      </c>
      <c r="H562" s="7" t="s">
        <v>42</v>
      </c>
      <c r="I562" s="7" t="s">
        <v>39</v>
      </c>
      <c r="J562">
        <v>0.26</v>
      </c>
      <c r="K562" s="148">
        <v>0.2727</v>
      </c>
      <c r="L562">
        <v>0.56000000000000005</v>
      </c>
      <c r="M562" s="148">
        <v>0.1343</v>
      </c>
      <c r="N562">
        <v>21</v>
      </c>
      <c r="O562">
        <v>72</v>
      </c>
      <c r="P562">
        <v>93</v>
      </c>
    </row>
    <row r="563" spans="1:16">
      <c r="A563">
        <v>562</v>
      </c>
      <c r="B563" s="2">
        <v>40568</v>
      </c>
      <c r="C563">
        <v>1</v>
      </c>
      <c r="D563" t="s">
        <v>17</v>
      </c>
      <c r="E563" s="6" t="s">
        <v>18</v>
      </c>
      <c r="F563" s="151">
        <v>23.375</v>
      </c>
      <c r="G563" s="7" t="s">
        <v>36</v>
      </c>
      <c r="H563" s="7" t="s">
        <v>42</v>
      </c>
      <c r="I563" s="7" t="s">
        <v>39</v>
      </c>
      <c r="J563">
        <v>0.3</v>
      </c>
      <c r="K563" s="148">
        <v>0.33329999999999999</v>
      </c>
      <c r="L563">
        <v>0.45</v>
      </c>
      <c r="M563" s="148">
        <v>0</v>
      </c>
      <c r="N563">
        <v>11</v>
      </c>
      <c r="O563">
        <v>57</v>
      </c>
      <c r="P563">
        <v>68</v>
      </c>
    </row>
    <row r="564" spans="1:16">
      <c r="A564">
        <v>563</v>
      </c>
      <c r="B564" s="2">
        <v>40568</v>
      </c>
      <c r="C564">
        <v>1</v>
      </c>
      <c r="D564" t="s">
        <v>17</v>
      </c>
      <c r="E564" s="6" t="s">
        <v>18</v>
      </c>
      <c r="F564" s="151">
        <v>23.416666666666671</v>
      </c>
      <c r="G564" s="7" t="s">
        <v>36</v>
      </c>
      <c r="H564" s="7" t="s">
        <v>42</v>
      </c>
      <c r="I564" s="7" t="s">
        <v>39</v>
      </c>
      <c r="J564">
        <v>0.32</v>
      </c>
      <c r="K564" s="148">
        <v>0.34849999999999998</v>
      </c>
      <c r="L564">
        <v>0.42</v>
      </c>
      <c r="M564" s="148">
        <v>0</v>
      </c>
      <c r="N564">
        <v>21</v>
      </c>
      <c r="O564">
        <v>63</v>
      </c>
      <c r="P564">
        <v>84</v>
      </c>
    </row>
    <row r="565" spans="1:16">
      <c r="A565">
        <v>564</v>
      </c>
      <c r="B565" s="2">
        <v>40568</v>
      </c>
      <c r="C565">
        <v>1</v>
      </c>
      <c r="D565" t="s">
        <v>17</v>
      </c>
      <c r="E565" s="6" t="s">
        <v>18</v>
      </c>
      <c r="F565" s="151">
        <v>23.458333333333329</v>
      </c>
      <c r="G565" s="7" t="s">
        <v>36</v>
      </c>
      <c r="H565" s="7" t="s">
        <v>42</v>
      </c>
      <c r="I565" s="7" t="s">
        <v>39</v>
      </c>
      <c r="J565">
        <v>0.32</v>
      </c>
      <c r="K565" s="148">
        <v>0.34849999999999998</v>
      </c>
      <c r="L565">
        <v>0.42</v>
      </c>
      <c r="M565" s="148">
        <v>0</v>
      </c>
      <c r="N565">
        <v>14</v>
      </c>
      <c r="O565">
        <v>102</v>
      </c>
      <c r="P565">
        <v>116</v>
      </c>
    </row>
    <row r="566" spans="1:16">
      <c r="A566">
        <v>565</v>
      </c>
      <c r="B566" s="2">
        <v>40568</v>
      </c>
      <c r="C566">
        <v>1</v>
      </c>
      <c r="D566" t="s">
        <v>17</v>
      </c>
      <c r="E566" s="6" t="s">
        <v>18</v>
      </c>
      <c r="F566" s="151">
        <v>23.5</v>
      </c>
      <c r="G566" s="7" t="s">
        <v>36</v>
      </c>
      <c r="H566" s="7" t="s">
        <v>42</v>
      </c>
      <c r="I566" s="7" t="s">
        <v>38</v>
      </c>
      <c r="J566">
        <v>0.3</v>
      </c>
      <c r="K566" s="148">
        <v>0.33329999999999999</v>
      </c>
      <c r="L566">
        <v>0.45</v>
      </c>
      <c r="M566" s="148">
        <v>0</v>
      </c>
      <c r="N566">
        <v>14</v>
      </c>
      <c r="O566">
        <v>208</v>
      </c>
      <c r="P566">
        <v>222</v>
      </c>
    </row>
    <row r="567" spans="1:16">
      <c r="A567">
        <v>566</v>
      </c>
      <c r="B567" s="2">
        <v>40568</v>
      </c>
      <c r="C567">
        <v>1</v>
      </c>
      <c r="D567" t="s">
        <v>17</v>
      </c>
      <c r="E567" s="6" t="s">
        <v>18</v>
      </c>
      <c r="F567" s="151">
        <v>23.541666666666671</v>
      </c>
      <c r="G567" s="7" t="s">
        <v>36</v>
      </c>
      <c r="H567" s="7" t="s">
        <v>42</v>
      </c>
      <c r="I567" s="7" t="s">
        <v>39</v>
      </c>
      <c r="J567">
        <v>0.3</v>
      </c>
      <c r="K567" s="148">
        <v>0.31819999999999998</v>
      </c>
      <c r="L567">
        <v>0.49</v>
      </c>
      <c r="M567" s="148">
        <v>8.9599999999999999E-2</v>
      </c>
      <c r="N567">
        <v>7</v>
      </c>
      <c r="O567">
        <v>218</v>
      </c>
      <c r="P567">
        <v>225</v>
      </c>
    </row>
    <row r="568" spans="1:16">
      <c r="A568">
        <v>567</v>
      </c>
      <c r="B568" s="2">
        <v>40568</v>
      </c>
      <c r="C568">
        <v>1</v>
      </c>
      <c r="D568" t="s">
        <v>17</v>
      </c>
      <c r="E568" s="6" t="s">
        <v>18</v>
      </c>
      <c r="F568" s="151">
        <v>23.583333333333329</v>
      </c>
      <c r="G568" s="7" t="s">
        <v>36</v>
      </c>
      <c r="H568" s="7" t="s">
        <v>42</v>
      </c>
      <c r="I568" s="7" t="s">
        <v>39</v>
      </c>
      <c r="J568">
        <v>0.26</v>
      </c>
      <c r="K568" s="148">
        <v>0.2576</v>
      </c>
      <c r="L568">
        <v>0.65</v>
      </c>
      <c r="M568" s="148">
        <v>0.16420000000000001</v>
      </c>
      <c r="N568">
        <v>13</v>
      </c>
      <c r="O568">
        <v>133</v>
      </c>
      <c r="P568">
        <v>146</v>
      </c>
    </row>
    <row r="569" spans="1:16">
      <c r="A569">
        <v>568</v>
      </c>
      <c r="B569" s="2">
        <v>40568</v>
      </c>
      <c r="C569">
        <v>1</v>
      </c>
      <c r="D569" t="s">
        <v>17</v>
      </c>
      <c r="E569" s="6" t="s">
        <v>18</v>
      </c>
      <c r="F569" s="151">
        <v>23.625</v>
      </c>
      <c r="G569" s="7" t="s">
        <v>36</v>
      </c>
      <c r="H569" s="7" t="s">
        <v>42</v>
      </c>
      <c r="I569" s="7" t="s">
        <v>38</v>
      </c>
      <c r="J569">
        <v>0.24</v>
      </c>
      <c r="K569" s="148">
        <v>0.2273</v>
      </c>
      <c r="L569">
        <v>0.65</v>
      </c>
      <c r="M569" s="148">
        <v>0.19400000000000001</v>
      </c>
      <c r="N569">
        <v>16</v>
      </c>
      <c r="O569">
        <v>103</v>
      </c>
      <c r="P569">
        <v>119</v>
      </c>
    </row>
    <row r="570" spans="1:16">
      <c r="A570">
        <v>569</v>
      </c>
      <c r="B570" s="2">
        <v>40568</v>
      </c>
      <c r="C570">
        <v>1</v>
      </c>
      <c r="D570" t="s">
        <v>17</v>
      </c>
      <c r="E570" s="6" t="s">
        <v>18</v>
      </c>
      <c r="F570" s="151">
        <v>23.666666666666671</v>
      </c>
      <c r="G570" s="7" t="s">
        <v>36</v>
      </c>
      <c r="H570" s="7" t="s">
        <v>42</v>
      </c>
      <c r="I570" s="7" t="s">
        <v>38</v>
      </c>
      <c r="J570">
        <v>0.24</v>
      </c>
      <c r="K570" s="148">
        <v>0.2273</v>
      </c>
      <c r="L570">
        <v>0.65</v>
      </c>
      <c r="M570" s="148">
        <v>0.19400000000000001</v>
      </c>
      <c r="N570">
        <v>5</v>
      </c>
      <c r="O570">
        <v>40</v>
      </c>
      <c r="P570">
        <v>45</v>
      </c>
    </row>
    <row r="571" spans="1:16">
      <c r="A571">
        <v>570</v>
      </c>
      <c r="B571" s="2">
        <v>40568</v>
      </c>
      <c r="C571">
        <v>1</v>
      </c>
      <c r="D571" t="s">
        <v>17</v>
      </c>
      <c r="E571" s="6" t="s">
        <v>18</v>
      </c>
      <c r="F571" s="151">
        <v>23.708333333333329</v>
      </c>
      <c r="G571" s="7" t="s">
        <v>36</v>
      </c>
      <c r="H571" s="7" t="s">
        <v>42</v>
      </c>
      <c r="I571" s="7" t="s">
        <v>38</v>
      </c>
      <c r="J571">
        <v>0.22</v>
      </c>
      <c r="K571" s="148">
        <v>0.2273</v>
      </c>
      <c r="L571">
        <v>0.64</v>
      </c>
      <c r="M571" s="148">
        <v>0.16420000000000001</v>
      </c>
      <c r="N571">
        <v>4</v>
      </c>
      <c r="O571">
        <v>49</v>
      </c>
      <c r="P571">
        <v>53</v>
      </c>
    </row>
    <row r="572" spans="1:16">
      <c r="A572">
        <v>571</v>
      </c>
      <c r="B572" s="2">
        <v>40568</v>
      </c>
      <c r="C572">
        <v>1</v>
      </c>
      <c r="D572" t="s">
        <v>17</v>
      </c>
      <c r="E572" s="6" t="s">
        <v>18</v>
      </c>
      <c r="F572" s="151">
        <v>23.75</v>
      </c>
      <c r="G572" s="7" t="s">
        <v>36</v>
      </c>
      <c r="H572" s="7" t="s">
        <v>42</v>
      </c>
      <c r="I572" s="7" t="s">
        <v>39</v>
      </c>
      <c r="J572">
        <v>0.22</v>
      </c>
      <c r="K572" s="148">
        <v>0.2273</v>
      </c>
      <c r="L572">
        <v>0.64</v>
      </c>
      <c r="M572" s="148">
        <v>0.16420000000000001</v>
      </c>
      <c r="N572">
        <v>3</v>
      </c>
      <c r="O572">
        <v>37</v>
      </c>
      <c r="P572">
        <v>40</v>
      </c>
    </row>
    <row r="573" spans="1:16">
      <c r="A573">
        <v>572</v>
      </c>
      <c r="B573" s="2">
        <v>40569</v>
      </c>
      <c r="C573">
        <v>1</v>
      </c>
      <c r="D573" t="s">
        <v>17</v>
      </c>
      <c r="E573" s="6" t="s">
        <v>18</v>
      </c>
      <c r="F573" s="151">
        <v>23.791666666666671</v>
      </c>
      <c r="G573" s="7" t="s">
        <v>36</v>
      </c>
      <c r="H573" s="7" t="s">
        <v>46</v>
      </c>
      <c r="I573" s="7" t="s">
        <v>39</v>
      </c>
      <c r="J573">
        <v>0.22</v>
      </c>
      <c r="K573" s="148">
        <v>0.2273</v>
      </c>
      <c r="L573">
        <v>0.69</v>
      </c>
      <c r="M573" s="148">
        <v>0.1343</v>
      </c>
      <c r="N573">
        <v>3</v>
      </c>
      <c r="O573">
        <v>14</v>
      </c>
      <c r="P573">
        <v>17</v>
      </c>
    </row>
    <row r="574" spans="1:16">
      <c r="A574">
        <v>573</v>
      </c>
      <c r="B574" s="2">
        <v>40569</v>
      </c>
      <c r="C574">
        <v>1</v>
      </c>
      <c r="D574" t="s">
        <v>17</v>
      </c>
      <c r="E574" s="6" t="s">
        <v>18</v>
      </c>
      <c r="F574" s="151">
        <v>23.833333333333329</v>
      </c>
      <c r="G574" s="7" t="s">
        <v>36</v>
      </c>
      <c r="H574" s="7" t="s">
        <v>46</v>
      </c>
      <c r="I574" s="7" t="s">
        <v>39</v>
      </c>
      <c r="J574">
        <v>0.24</v>
      </c>
      <c r="K574" s="148">
        <v>0.2424</v>
      </c>
      <c r="L574">
        <v>0.65</v>
      </c>
      <c r="M574" s="148">
        <v>0.1343</v>
      </c>
      <c r="N574">
        <v>0</v>
      </c>
      <c r="O574">
        <v>5</v>
      </c>
      <c r="P574">
        <v>5</v>
      </c>
    </row>
    <row r="575" spans="1:16">
      <c r="A575">
        <v>574</v>
      </c>
      <c r="B575" s="2">
        <v>40569</v>
      </c>
      <c r="C575">
        <v>1</v>
      </c>
      <c r="D575" t="s">
        <v>17</v>
      </c>
      <c r="E575" s="6" t="s">
        <v>18</v>
      </c>
      <c r="F575" s="151">
        <v>23.875</v>
      </c>
      <c r="G575" s="7" t="s">
        <v>36</v>
      </c>
      <c r="H575" s="7" t="s">
        <v>46</v>
      </c>
      <c r="I575" s="7" t="s">
        <v>45</v>
      </c>
      <c r="J575">
        <v>0.22</v>
      </c>
      <c r="K575" s="148">
        <v>0.2273</v>
      </c>
      <c r="L575">
        <v>0.69</v>
      </c>
      <c r="M575" s="148">
        <v>0.19400000000000001</v>
      </c>
      <c r="N575">
        <v>3</v>
      </c>
      <c r="O575">
        <v>7</v>
      </c>
      <c r="P575">
        <v>10</v>
      </c>
    </row>
    <row r="576" spans="1:16">
      <c r="A576">
        <v>575</v>
      </c>
      <c r="B576" s="2">
        <v>40569</v>
      </c>
      <c r="C576">
        <v>1</v>
      </c>
      <c r="D576" t="s">
        <v>17</v>
      </c>
      <c r="E576" s="6" t="s">
        <v>18</v>
      </c>
      <c r="F576" s="151">
        <v>23.916666666666671</v>
      </c>
      <c r="G576" s="7" t="s">
        <v>36</v>
      </c>
      <c r="H576" s="7" t="s">
        <v>46</v>
      </c>
      <c r="I576" s="7" t="s">
        <v>45</v>
      </c>
      <c r="J576">
        <v>0.2</v>
      </c>
      <c r="K576" s="148">
        <v>0.18179999999999999</v>
      </c>
      <c r="L576">
        <v>0.86</v>
      </c>
      <c r="M576" s="148">
        <v>0.28360000000000002</v>
      </c>
      <c r="N576">
        <v>0</v>
      </c>
      <c r="O576">
        <v>1</v>
      </c>
      <c r="P576">
        <v>1</v>
      </c>
    </row>
    <row r="577" spans="1:16">
      <c r="A577">
        <v>576</v>
      </c>
      <c r="B577" s="2">
        <v>40569</v>
      </c>
      <c r="C577">
        <v>1</v>
      </c>
      <c r="D577" t="s">
        <v>17</v>
      </c>
      <c r="E577" s="6" t="s">
        <v>18</v>
      </c>
      <c r="F577" s="151">
        <v>23.958333333333329</v>
      </c>
      <c r="G577" s="7" t="s">
        <v>36</v>
      </c>
      <c r="H577" s="7" t="s">
        <v>46</v>
      </c>
      <c r="I577" s="7" t="s">
        <v>45</v>
      </c>
      <c r="J577">
        <v>0.2</v>
      </c>
      <c r="K577" s="148">
        <v>0.18179999999999999</v>
      </c>
      <c r="L577">
        <v>0.86</v>
      </c>
      <c r="M577" s="148">
        <v>0.28360000000000002</v>
      </c>
      <c r="N577">
        <v>0</v>
      </c>
      <c r="O577">
        <v>8</v>
      </c>
      <c r="P577">
        <v>8</v>
      </c>
    </row>
    <row r="578" spans="1:16">
      <c r="A578">
        <v>577</v>
      </c>
      <c r="B578" s="2">
        <v>40569</v>
      </c>
      <c r="C578">
        <v>1</v>
      </c>
      <c r="D578" t="s">
        <v>17</v>
      </c>
      <c r="E578" s="6" t="s">
        <v>18</v>
      </c>
      <c r="F578" s="151">
        <v>24</v>
      </c>
      <c r="G578" s="7" t="s">
        <v>36</v>
      </c>
      <c r="H578" s="7" t="s">
        <v>46</v>
      </c>
      <c r="I578" s="7" t="s">
        <v>45</v>
      </c>
      <c r="J578">
        <v>0.22</v>
      </c>
      <c r="K578" s="148">
        <v>0.21210000000000001</v>
      </c>
      <c r="L578">
        <v>0.87</v>
      </c>
      <c r="M578" s="148">
        <v>0.29849999999999999</v>
      </c>
      <c r="N578">
        <v>1</v>
      </c>
      <c r="O578">
        <v>29</v>
      </c>
      <c r="P578">
        <v>30</v>
      </c>
    </row>
    <row r="579" spans="1:16">
      <c r="A579">
        <v>578</v>
      </c>
      <c r="B579" s="2">
        <v>40569</v>
      </c>
      <c r="C579">
        <v>1</v>
      </c>
      <c r="D579" t="s">
        <v>17</v>
      </c>
      <c r="E579" s="6" t="s">
        <v>18</v>
      </c>
      <c r="F579" s="151">
        <v>24.041666666666671</v>
      </c>
      <c r="G579" s="7" t="s">
        <v>36</v>
      </c>
      <c r="H579" s="7" t="s">
        <v>46</v>
      </c>
      <c r="I579" s="7" t="s">
        <v>45</v>
      </c>
      <c r="J579">
        <v>0.22</v>
      </c>
      <c r="K579" s="148">
        <v>0.21210000000000001</v>
      </c>
      <c r="L579">
        <v>0.87</v>
      </c>
      <c r="M579" s="148">
        <v>0.29849999999999999</v>
      </c>
      <c r="N579">
        <v>3</v>
      </c>
      <c r="O579">
        <v>69</v>
      </c>
      <c r="P579">
        <v>72</v>
      </c>
    </row>
    <row r="580" spans="1:16">
      <c r="A580">
        <v>579</v>
      </c>
      <c r="B580" s="2">
        <v>40569</v>
      </c>
      <c r="C580">
        <v>1</v>
      </c>
      <c r="D580" t="s">
        <v>17</v>
      </c>
      <c r="E580" s="6" t="s">
        <v>18</v>
      </c>
      <c r="F580" s="151">
        <v>24.083333333333329</v>
      </c>
      <c r="G580" s="7" t="s">
        <v>36</v>
      </c>
      <c r="H580" s="7" t="s">
        <v>46</v>
      </c>
      <c r="I580" s="7" t="s">
        <v>45</v>
      </c>
      <c r="J580">
        <v>0.22</v>
      </c>
      <c r="K580" s="148">
        <v>0.21210000000000001</v>
      </c>
      <c r="L580">
        <v>0.87</v>
      </c>
      <c r="M580" s="148">
        <v>0.29849999999999999</v>
      </c>
      <c r="N580">
        <v>3</v>
      </c>
      <c r="O580">
        <v>55</v>
      </c>
      <c r="P580">
        <v>58</v>
      </c>
    </row>
    <row r="581" spans="1:16">
      <c r="A581">
        <v>580</v>
      </c>
      <c r="B581" s="2">
        <v>40569</v>
      </c>
      <c r="C581">
        <v>1</v>
      </c>
      <c r="D581" t="s">
        <v>17</v>
      </c>
      <c r="E581" s="6" t="s">
        <v>18</v>
      </c>
      <c r="F581" s="151">
        <v>24.125</v>
      </c>
      <c r="G581" s="7" t="s">
        <v>36</v>
      </c>
      <c r="H581" s="7" t="s">
        <v>46</v>
      </c>
      <c r="I581" s="7" t="s">
        <v>45</v>
      </c>
      <c r="J581">
        <v>0.22</v>
      </c>
      <c r="K581" s="148">
        <v>0.21210000000000001</v>
      </c>
      <c r="L581">
        <v>0.93</v>
      </c>
      <c r="M581" s="148">
        <v>0.28360000000000002</v>
      </c>
      <c r="N581">
        <v>2</v>
      </c>
      <c r="O581">
        <v>26</v>
      </c>
      <c r="P581">
        <v>28</v>
      </c>
    </row>
    <row r="582" spans="1:16">
      <c r="A582">
        <v>581</v>
      </c>
      <c r="B582" s="2">
        <v>40569</v>
      </c>
      <c r="C582">
        <v>1</v>
      </c>
      <c r="D582" t="s">
        <v>17</v>
      </c>
      <c r="E582" s="6" t="s">
        <v>18</v>
      </c>
      <c r="F582" s="151">
        <v>24.166666666666671</v>
      </c>
      <c r="G582" s="7" t="s">
        <v>36</v>
      </c>
      <c r="H582" s="7" t="s">
        <v>46</v>
      </c>
      <c r="I582" s="7" t="s">
        <v>45</v>
      </c>
      <c r="J582">
        <v>0.22</v>
      </c>
      <c r="K582" s="148">
        <v>0.19700000000000001</v>
      </c>
      <c r="L582">
        <v>0.93</v>
      </c>
      <c r="M582" s="148">
        <v>0.32840000000000003</v>
      </c>
      <c r="N582">
        <v>6</v>
      </c>
      <c r="O582">
        <v>35</v>
      </c>
      <c r="P582">
        <v>41</v>
      </c>
    </row>
    <row r="583" spans="1:16">
      <c r="A583">
        <v>582</v>
      </c>
      <c r="B583" s="2">
        <v>40569</v>
      </c>
      <c r="C583">
        <v>1</v>
      </c>
      <c r="D583" t="s">
        <v>17</v>
      </c>
      <c r="E583" s="6" t="s">
        <v>18</v>
      </c>
      <c r="F583" s="151">
        <v>24.208333333333329</v>
      </c>
      <c r="G583" s="7" t="s">
        <v>36</v>
      </c>
      <c r="H583" s="7" t="s">
        <v>46</v>
      </c>
      <c r="I583" s="7" t="s">
        <v>45</v>
      </c>
      <c r="J583">
        <v>0.22</v>
      </c>
      <c r="K583" s="148">
        <v>0.19700000000000001</v>
      </c>
      <c r="L583">
        <v>0.93</v>
      </c>
      <c r="M583" s="148">
        <v>0.32840000000000003</v>
      </c>
      <c r="N583">
        <v>7</v>
      </c>
      <c r="O583">
        <v>41</v>
      </c>
      <c r="P583">
        <v>48</v>
      </c>
    </row>
    <row r="584" spans="1:16">
      <c r="A584">
        <v>583</v>
      </c>
      <c r="B584" s="2">
        <v>40569</v>
      </c>
      <c r="C584">
        <v>1</v>
      </c>
      <c r="D584" t="s">
        <v>17</v>
      </c>
      <c r="E584" s="6" t="s">
        <v>18</v>
      </c>
      <c r="F584" s="151">
        <v>24.25</v>
      </c>
      <c r="G584" s="7" t="s">
        <v>36</v>
      </c>
      <c r="H584" s="7" t="s">
        <v>46</v>
      </c>
      <c r="I584" s="7" t="s">
        <v>45</v>
      </c>
      <c r="J584">
        <v>0.22</v>
      </c>
      <c r="K584" s="148">
        <v>0.19700000000000001</v>
      </c>
      <c r="L584">
        <v>0.93</v>
      </c>
      <c r="M584" s="148">
        <v>0.32840000000000003</v>
      </c>
      <c r="N584">
        <v>4</v>
      </c>
      <c r="O584">
        <v>43</v>
      </c>
      <c r="P584">
        <v>47</v>
      </c>
    </row>
    <row r="585" spans="1:16">
      <c r="A585">
        <v>584</v>
      </c>
      <c r="B585" s="2">
        <v>40569</v>
      </c>
      <c r="C585">
        <v>1</v>
      </c>
      <c r="D585" t="s">
        <v>17</v>
      </c>
      <c r="E585" s="6" t="s">
        <v>18</v>
      </c>
      <c r="F585" s="151">
        <v>24.291666666666671</v>
      </c>
      <c r="G585" s="7" t="s">
        <v>36</v>
      </c>
      <c r="H585" s="7" t="s">
        <v>46</v>
      </c>
      <c r="I585" s="7" t="s">
        <v>45</v>
      </c>
      <c r="J585">
        <v>0.22</v>
      </c>
      <c r="K585" s="148">
        <v>0.19700000000000001</v>
      </c>
      <c r="L585">
        <v>0.93</v>
      </c>
      <c r="M585" s="148">
        <v>0.35820000000000002</v>
      </c>
      <c r="N585">
        <v>0</v>
      </c>
      <c r="O585">
        <v>36</v>
      </c>
      <c r="P585">
        <v>36</v>
      </c>
    </row>
    <row r="586" spans="1:16">
      <c r="A586">
        <v>585</v>
      </c>
      <c r="B586" s="2">
        <v>40569</v>
      </c>
      <c r="C586">
        <v>1</v>
      </c>
      <c r="D586" t="s">
        <v>17</v>
      </c>
      <c r="E586" s="6" t="s">
        <v>18</v>
      </c>
      <c r="F586" s="151">
        <v>24.333333333333329</v>
      </c>
      <c r="G586" s="7" t="s">
        <v>36</v>
      </c>
      <c r="H586" s="7" t="s">
        <v>46</v>
      </c>
      <c r="I586" s="7" t="s">
        <v>45</v>
      </c>
      <c r="J586">
        <v>0.22</v>
      </c>
      <c r="K586" s="148">
        <v>0.18179999999999999</v>
      </c>
      <c r="L586">
        <v>0.93</v>
      </c>
      <c r="M586" s="148">
        <v>0.4627</v>
      </c>
      <c r="N586">
        <v>1</v>
      </c>
      <c r="O586">
        <v>42</v>
      </c>
      <c r="P586">
        <v>43</v>
      </c>
    </row>
    <row r="587" spans="1:16">
      <c r="A587">
        <v>586</v>
      </c>
      <c r="B587" s="2">
        <v>40569</v>
      </c>
      <c r="C587">
        <v>1</v>
      </c>
      <c r="D587" t="s">
        <v>17</v>
      </c>
      <c r="E587" s="6" t="s">
        <v>18</v>
      </c>
      <c r="F587" s="151">
        <v>24.375</v>
      </c>
      <c r="G587" s="7" t="s">
        <v>36</v>
      </c>
      <c r="H587" s="7" t="s">
        <v>46</v>
      </c>
      <c r="I587" s="7" t="s">
        <v>194</v>
      </c>
      <c r="J587">
        <v>0.22</v>
      </c>
      <c r="K587" s="148">
        <v>0.19700000000000001</v>
      </c>
      <c r="L587">
        <v>0.93</v>
      </c>
      <c r="M587" s="148">
        <v>0.32840000000000003</v>
      </c>
      <c r="N587">
        <v>1</v>
      </c>
      <c r="O587">
        <v>35</v>
      </c>
      <c r="P587">
        <v>36</v>
      </c>
    </row>
    <row r="588" spans="1:16">
      <c r="A588">
        <v>587</v>
      </c>
      <c r="B588" s="2">
        <v>40569</v>
      </c>
      <c r="C588">
        <v>1</v>
      </c>
      <c r="D588" t="s">
        <v>17</v>
      </c>
      <c r="E588" s="6" t="s">
        <v>18</v>
      </c>
      <c r="F588" s="151">
        <v>24.416666666666671</v>
      </c>
      <c r="G588" s="7" t="s">
        <v>36</v>
      </c>
      <c r="H588" s="7" t="s">
        <v>46</v>
      </c>
      <c r="I588" s="7" t="s">
        <v>45</v>
      </c>
      <c r="J588">
        <v>0.2</v>
      </c>
      <c r="K588" s="148">
        <v>0.18179999999999999</v>
      </c>
      <c r="L588">
        <v>0.93</v>
      </c>
      <c r="M588" s="148">
        <v>0.35820000000000002</v>
      </c>
      <c r="N588">
        <v>0</v>
      </c>
      <c r="O588">
        <v>26</v>
      </c>
      <c r="P588">
        <v>26</v>
      </c>
    </row>
    <row r="589" spans="1:16">
      <c r="A589">
        <v>588</v>
      </c>
      <c r="B589" s="2">
        <v>40570</v>
      </c>
      <c r="C589">
        <v>1</v>
      </c>
      <c r="D589" t="s">
        <v>17</v>
      </c>
      <c r="E589" s="6" t="s">
        <v>18</v>
      </c>
      <c r="F589" s="151">
        <v>24.458333333333329</v>
      </c>
      <c r="G589" s="7" t="s">
        <v>36</v>
      </c>
      <c r="H589" s="7" t="s">
        <v>195</v>
      </c>
      <c r="I589" s="7" t="s">
        <v>38</v>
      </c>
      <c r="J589">
        <v>0.22</v>
      </c>
      <c r="K589" s="148">
        <v>0.2273</v>
      </c>
      <c r="L589">
        <v>0.55000000000000004</v>
      </c>
      <c r="M589" s="148">
        <v>0.19400000000000001</v>
      </c>
      <c r="N589">
        <v>1</v>
      </c>
      <c r="O589">
        <v>23</v>
      </c>
      <c r="P589">
        <v>24</v>
      </c>
    </row>
    <row r="590" spans="1:16">
      <c r="A590">
        <v>589</v>
      </c>
      <c r="B590" s="2">
        <v>40570</v>
      </c>
      <c r="C590">
        <v>1</v>
      </c>
      <c r="D590" t="s">
        <v>17</v>
      </c>
      <c r="E590" s="6" t="s">
        <v>18</v>
      </c>
      <c r="F590" s="151">
        <v>24.5</v>
      </c>
      <c r="G590" s="7" t="s">
        <v>36</v>
      </c>
      <c r="H590" s="7" t="s">
        <v>195</v>
      </c>
      <c r="I590" s="7" t="s">
        <v>38</v>
      </c>
      <c r="J590">
        <v>0.22</v>
      </c>
      <c r="K590" s="148">
        <v>0.2424</v>
      </c>
      <c r="L590">
        <v>0.55000000000000004</v>
      </c>
      <c r="M590" s="148">
        <v>0.1045</v>
      </c>
      <c r="N590">
        <v>2</v>
      </c>
      <c r="O590">
        <v>82</v>
      </c>
      <c r="P590">
        <v>84</v>
      </c>
    </row>
    <row r="591" spans="1:16">
      <c r="A591">
        <v>590</v>
      </c>
      <c r="B591" s="2">
        <v>40570</v>
      </c>
      <c r="C591">
        <v>1</v>
      </c>
      <c r="D591" t="s">
        <v>17</v>
      </c>
      <c r="E591" s="6" t="s">
        <v>18</v>
      </c>
      <c r="F591" s="151">
        <v>24.541666666666671</v>
      </c>
      <c r="G591" s="7" t="s">
        <v>36</v>
      </c>
      <c r="H591" s="7" t="s">
        <v>195</v>
      </c>
      <c r="I591" s="7" t="s">
        <v>38</v>
      </c>
      <c r="J591">
        <v>0.2</v>
      </c>
      <c r="K591" s="148">
        <v>0.2273</v>
      </c>
      <c r="L591">
        <v>0.69</v>
      </c>
      <c r="M591" s="148">
        <v>8.9599999999999999E-2</v>
      </c>
      <c r="N591">
        <v>3</v>
      </c>
      <c r="O591">
        <v>101</v>
      </c>
      <c r="P591">
        <v>104</v>
      </c>
    </row>
    <row r="592" spans="1:16">
      <c r="A592">
        <v>591</v>
      </c>
      <c r="B592" s="2">
        <v>40570</v>
      </c>
      <c r="C592">
        <v>1</v>
      </c>
      <c r="D592" t="s">
        <v>17</v>
      </c>
      <c r="E592" s="6" t="s">
        <v>18</v>
      </c>
      <c r="F592" s="151">
        <v>24.583333333333329</v>
      </c>
      <c r="G592" s="7" t="s">
        <v>36</v>
      </c>
      <c r="H592" s="7" t="s">
        <v>195</v>
      </c>
      <c r="I592" s="7" t="s">
        <v>38</v>
      </c>
      <c r="J592">
        <v>0.2</v>
      </c>
      <c r="K592" s="148">
        <v>0.2273</v>
      </c>
      <c r="L592">
        <v>0.69</v>
      </c>
      <c r="M592" s="148">
        <v>8.9599999999999999E-2</v>
      </c>
      <c r="N592">
        <v>3</v>
      </c>
      <c r="O592">
        <v>76</v>
      </c>
      <c r="P592">
        <v>79</v>
      </c>
    </row>
    <row r="593" spans="1:16">
      <c r="A593">
        <v>592</v>
      </c>
      <c r="B593" s="2">
        <v>40570</v>
      </c>
      <c r="C593">
        <v>1</v>
      </c>
      <c r="D593" t="s">
        <v>17</v>
      </c>
      <c r="E593" s="6" t="s">
        <v>18</v>
      </c>
      <c r="F593" s="151">
        <v>24.625</v>
      </c>
      <c r="G593" s="7" t="s">
        <v>36</v>
      </c>
      <c r="H593" s="7" t="s">
        <v>195</v>
      </c>
      <c r="I593" s="7" t="s">
        <v>38</v>
      </c>
      <c r="J593">
        <v>0.18</v>
      </c>
      <c r="K593" s="148">
        <v>0.21210000000000001</v>
      </c>
      <c r="L593">
        <v>0.74</v>
      </c>
      <c r="M593" s="148">
        <v>8.9599999999999999E-2</v>
      </c>
      <c r="N593">
        <v>4</v>
      </c>
      <c r="O593">
        <v>55</v>
      </c>
      <c r="P593">
        <v>59</v>
      </c>
    </row>
    <row r="594" spans="1:16">
      <c r="A594">
        <v>593</v>
      </c>
      <c r="B594" s="2">
        <v>40570</v>
      </c>
      <c r="C594">
        <v>1</v>
      </c>
      <c r="D594" t="s">
        <v>17</v>
      </c>
      <c r="E594" s="6" t="s">
        <v>18</v>
      </c>
      <c r="F594" s="151">
        <v>24.666666666666671</v>
      </c>
      <c r="G594" s="7" t="s">
        <v>36</v>
      </c>
      <c r="H594" s="7" t="s">
        <v>195</v>
      </c>
      <c r="I594" s="7" t="s">
        <v>38</v>
      </c>
      <c r="J594">
        <v>0.18</v>
      </c>
      <c r="K594" s="148">
        <v>0.21210000000000001</v>
      </c>
      <c r="L594">
        <v>0.74</v>
      </c>
      <c r="M594" s="148">
        <v>8.9599999999999999E-2</v>
      </c>
      <c r="N594">
        <v>2</v>
      </c>
      <c r="O594">
        <v>36</v>
      </c>
      <c r="P594">
        <v>38</v>
      </c>
    </row>
    <row r="595" spans="1:16">
      <c r="A595">
        <v>594</v>
      </c>
      <c r="B595" s="2">
        <v>40570</v>
      </c>
      <c r="C595">
        <v>1</v>
      </c>
      <c r="D595" t="s">
        <v>17</v>
      </c>
      <c r="E595" s="6" t="s">
        <v>18</v>
      </c>
      <c r="F595" s="151">
        <v>24.708333333333329</v>
      </c>
      <c r="G595" s="7" t="s">
        <v>36</v>
      </c>
      <c r="H595" s="7" t="s">
        <v>195</v>
      </c>
      <c r="I595" s="7" t="s">
        <v>38</v>
      </c>
      <c r="J595">
        <v>0.18</v>
      </c>
      <c r="K595" s="148">
        <v>0.21210000000000001</v>
      </c>
      <c r="L595">
        <v>0.74</v>
      </c>
      <c r="M595" s="148">
        <v>8.9599999999999999E-2</v>
      </c>
      <c r="N595">
        <v>0</v>
      </c>
      <c r="O595">
        <v>27</v>
      </c>
      <c r="P595">
        <v>27</v>
      </c>
    </row>
    <row r="596" spans="1:16">
      <c r="A596">
        <v>595</v>
      </c>
      <c r="B596" s="2">
        <v>40570</v>
      </c>
      <c r="C596">
        <v>1</v>
      </c>
      <c r="D596" t="s">
        <v>17</v>
      </c>
      <c r="E596" s="6" t="s">
        <v>18</v>
      </c>
      <c r="F596" s="151">
        <v>24.75</v>
      </c>
      <c r="G596" s="7" t="s">
        <v>36</v>
      </c>
      <c r="H596" s="7" t="s">
        <v>195</v>
      </c>
      <c r="I596" s="7" t="s">
        <v>38</v>
      </c>
      <c r="J596">
        <v>0.18</v>
      </c>
      <c r="K596" s="148">
        <v>0.19700000000000001</v>
      </c>
      <c r="L596">
        <v>0.8</v>
      </c>
      <c r="M596" s="148">
        <v>0.16420000000000001</v>
      </c>
      <c r="N596">
        <v>0</v>
      </c>
      <c r="O596">
        <v>16</v>
      </c>
      <c r="P596">
        <v>16</v>
      </c>
    </row>
    <row r="597" spans="1:16">
      <c r="A597">
        <v>596</v>
      </c>
      <c r="B597" s="2">
        <v>40571</v>
      </c>
      <c r="C597">
        <v>1</v>
      </c>
      <c r="D597" t="s">
        <v>17</v>
      </c>
      <c r="E597" s="6" t="s">
        <v>18</v>
      </c>
      <c r="F597" s="151">
        <v>24.791666666666671</v>
      </c>
      <c r="G597" s="7" t="s">
        <v>36</v>
      </c>
      <c r="H597" s="7" t="s">
        <v>44</v>
      </c>
      <c r="I597" s="7" t="s">
        <v>39</v>
      </c>
      <c r="J597">
        <v>0.2</v>
      </c>
      <c r="K597" s="148">
        <v>0.21210000000000001</v>
      </c>
      <c r="L597">
        <v>0.75</v>
      </c>
      <c r="M597" s="148">
        <v>0.1343</v>
      </c>
      <c r="N597">
        <v>0</v>
      </c>
      <c r="O597">
        <v>9</v>
      </c>
      <c r="P597">
        <v>9</v>
      </c>
    </row>
    <row r="598" spans="1:16">
      <c r="A598">
        <v>597</v>
      </c>
      <c r="B598" s="2">
        <v>40571</v>
      </c>
      <c r="C598">
        <v>1</v>
      </c>
      <c r="D598" t="s">
        <v>17</v>
      </c>
      <c r="E598" s="6" t="s">
        <v>18</v>
      </c>
      <c r="F598" s="151">
        <v>24.833333333333329</v>
      </c>
      <c r="G598" s="7" t="s">
        <v>36</v>
      </c>
      <c r="H598" s="7" t="s">
        <v>44</v>
      </c>
      <c r="I598" s="7" t="s">
        <v>39</v>
      </c>
      <c r="J598">
        <v>0.2</v>
      </c>
      <c r="K598" s="148">
        <v>0.21210000000000001</v>
      </c>
      <c r="L598">
        <v>0.75</v>
      </c>
      <c r="M598" s="148">
        <v>0.1343</v>
      </c>
      <c r="N598">
        <v>1</v>
      </c>
      <c r="O598">
        <v>2</v>
      </c>
      <c r="P598">
        <v>3</v>
      </c>
    </row>
    <row r="599" spans="1:16">
      <c r="A599">
        <v>598</v>
      </c>
      <c r="B599" s="2">
        <v>40571</v>
      </c>
      <c r="C599">
        <v>1</v>
      </c>
      <c r="D599" t="s">
        <v>17</v>
      </c>
      <c r="E599" s="6" t="s">
        <v>18</v>
      </c>
      <c r="F599" s="151">
        <v>24.875</v>
      </c>
      <c r="G599" s="7" t="s">
        <v>36</v>
      </c>
      <c r="H599" s="7" t="s">
        <v>44</v>
      </c>
      <c r="I599" s="7" t="s">
        <v>39</v>
      </c>
      <c r="J599">
        <v>0.2</v>
      </c>
      <c r="K599" s="148">
        <v>0.21210000000000001</v>
      </c>
      <c r="L599">
        <v>0.75</v>
      </c>
      <c r="M599" s="148">
        <v>0.16420000000000001</v>
      </c>
      <c r="N599">
        <v>0</v>
      </c>
      <c r="O599">
        <v>2</v>
      </c>
      <c r="P599">
        <v>2</v>
      </c>
    </row>
    <row r="600" spans="1:16">
      <c r="A600">
        <v>599</v>
      </c>
      <c r="B600" s="2">
        <v>40571</v>
      </c>
      <c r="C600">
        <v>1</v>
      </c>
      <c r="D600" t="s">
        <v>17</v>
      </c>
      <c r="E600" s="6" t="s">
        <v>18</v>
      </c>
      <c r="F600" s="151">
        <v>24.916666666666671</v>
      </c>
      <c r="G600" s="7" t="s">
        <v>36</v>
      </c>
      <c r="H600" s="7" t="s">
        <v>44</v>
      </c>
      <c r="I600" s="7" t="s">
        <v>39</v>
      </c>
      <c r="J600">
        <v>0.2</v>
      </c>
      <c r="K600" s="148">
        <v>0.2273</v>
      </c>
      <c r="L600">
        <v>0.75</v>
      </c>
      <c r="M600" s="148">
        <v>0.1045</v>
      </c>
      <c r="N600">
        <v>1</v>
      </c>
      <c r="O600">
        <v>0</v>
      </c>
      <c r="P600">
        <v>1</v>
      </c>
    </row>
    <row r="601" spans="1:16">
      <c r="A601">
        <v>600</v>
      </c>
      <c r="B601" s="2">
        <v>40571</v>
      </c>
      <c r="C601">
        <v>1</v>
      </c>
      <c r="D601" t="s">
        <v>17</v>
      </c>
      <c r="E601" s="6" t="s">
        <v>18</v>
      </c>
      <c r="F601" s="151">
        <v>24.958333333333329</v>
      </c>
      <c r="G601" s="7" t="s">
        <v>36</v>
      </c>
      <c r="H601" s="7" t="s">
        <v>44</v>
      </c>
      <c r="I601" s="7" t="s">
        <v>39</v>
      </c>
      <c r="J601">
        <v>0.18</v>
      </c>
      <c r="K601" s="148">
        <v>0.21210000000000001</v>
      </c>
      <c r="L601">
        <v>0.8</v>
      </c>
      <c r="M601" s="148">
        <v>0.1045</v>
      </c>
      <c r="N601">
        <v>0</v>
      </c>
      <c r="O601">
        <v>4</v>
      </c>
      <c r="P601">
        <v>4</v>
      </c>
    </row>
    <row r="602" spans="1:16">
      <c r="A602">
        <v>601</v>
      </c>
      <c r="B602" s="2">
        <v>40571</v>
      </c>
      <c r="C602">
        <v>1</v>
      </c>
      <c r="D602" t="s">
        <v>17</v>
      </c>
      <c r="E602" s="6" t="s">
        <v>18</v>
      </c>
      <c r="F602" s="151">
        <v>25</v>
      </c>
      <c r="G602" s="7" t="s">
        <v>36</v>
      </c>
      <c r="H602" s="7" t="s">
        <v>44</v>
      </c>
      <c r="I602" s="7" t="s">
        <v>39</v>
      </c>
      <c r="J602">
        <v>0.18</v>
      </c>
      <c r="K602" s="148">
        <v>0.19700000000000001</v>
      </c>
      <c r="L602">
        <v>0.8</v>
      </c>
      <c r="M602" s="148">
        <v>0.1343</v>
      </c>
      <c r="N602">
        <v>0</v>
      </c>
      <c r="O602">
        <v>16</v>
      </c>
      <c r="P602">
        <v>16</v>
      </c>
    </row>
    <row r="603" spans="1:16">
      <c r="A603">
        <v>602</v>
      </c>
      <c r="B603" s="2">
        <v>40571</v>
      </c>
      <c r="C603">
        <v>1</v>
      </c>
      <c r="D603" t="s">
        <v>17</v>
      </c>
      <c r="E603" s="6" t="s">
        <v>18</v>
      </c>
      <c r="F603" s="151">
        <v>25.041666666666671</v>
      </c>
      <c r="G603" s="7" t="s">
        <v>36</v>
      </c>
      <c r="H603" s="7" t="s">
        <v>44</v>
      </c>
      <c r="I603" s="7" t="s">
        <v>39</v>
      </c>
      <c r="J603">
        <v>0.16</v>
      </c>
      <c r="K603" s="148">
        <v>0.19700000000000001</v>
      </c>
      <c r="L603">
        <v>0.86</v>
      </c>
      <c r="M603" s="148">
        <v>8.9599999999999999E-2</v>
      </c>
      <c r="N603">
        <v>2</v>
      </c>
      <c r="O603">
        <v>58</v>
      </c>
      <c r="P603">
        <v>60</v>
      </c>
    </row>
    <row r="604" spans="1:16">
      <c r="A604">
        <v>603</v>
      </c>
      <c r="B604" s="2">
        <v>40571</v>
      </c>
      <c r="C604">
        <v>1</v>
      </c>
      <c r="D604" t="s">
        <v>17</v>
      </c>
      <c r="E604" s="6" t="s">
        <v>18</v>
      </c>
      <c r="F604" s="151">
        <v>25.083333333333329</v>
      </c>
      <c r="G604" s="7" t="s">
        <v>36</v>
      </c>
      <c r="H604" s="7" t="s">
        <v>44</v>
      </c>
      <c r="I604" s="7" t="s">
        <v>39</v>
      </c>
      <c r="J604">
        <v>0.16</v>
      </c>
      <c r="K604" s="148">
        <v>0.19700000000000001</v>
      </c>
      <c r="L604">
        <v>0.86</v>
      </c>
      <c r="M604" s="148">
        <v>8.9599999999999999E-2</v>
      </c>
      <c r="N604">
        <v>2</v>
      </c>
      <c r="O604">
        <v>155</v>
      </c>
      <c r="P604">
        <v>157</v>
      </c>
    </row>
    <row r="605" spans="1:16">
      <c r="A605">
        <v>604</v>
      </c>
      <c r="B605" s="2">
        <v>40571</v>
      </c>
      <c r="C605">
        <v>1</v>
      </c>
      <c r="D605" t="s">
        <v>17</v>
      </c>
      <c r="E605" s="6" t="s">
        <v>18</v>
      </c>
      <c r="F605" s="151">
        <v>25.125</v>
      </c>
      <c r="G605" s="7" t="s">
        <v>36</v>
      </c>
      <c r="H605" s="7" t="s">
        <v>44</v>
      </c>
      <c r="I605" s="7" t="s">
        <v>45</v>
      </c>
      <c r="J605">
        <v>0.18</v>
      </c>
      <c r="K605" s="148">
        <v>0.21210000000000001</v>
      </c>
      <c r="L605">
        <v>0.86</v>
      </c>
      <c r="M605" s="148">
        <v>8.9599999999999999E-2</v>
      </c>
      <c r="N605">
        <v>6</v>
      </c>
      <c r="O605">
        <v>95</v>
      </c>
      <c r="P605">
        <v>101</v>
      </c>
    </row>
    <row r="606" spans="1:16">
      <c r="A606">
        <v>605</v>
      </c>
      <c r="B606" s="2">
        <v>40571</v>
      </c>
      <c r="C606">
        <v>1</v>
      </c>
      <c r="D606" t="s">
        <v>17</v>
      </c>
      <c r="E606" s="6" t="s">
        <v>18</v>
      </c>
      <c r="F606" s="151">
        <v>25.166666666666671</v>
      </c>
      <c r="G606" s="7" t="s">
        <v>36</v>
      </c>
      <c r="H606" s="7" t="s">
        <v>44</v>
      </c>
      <c r="I606" s="7" t="s">
        <v>45</v>
      </c>
      <c r="J606">
        <v>0.18</v>
      </c>
      <c r="K606" s="148">
        <v>0.21210000000000001</v>
      </c>
      <c r="L606">
        <v>0.86</v>
      </c>
      <c r="M606" s="148">
        <v>0.1045</v>
      </c>
      <c r="N606">
        <v>0</v>
      </c>
      <c r="O606">
        <v>49</v>
      </c>
      <c r="P606">
        <v>49</v>
      </c>
    </row>
    <row r="607" spans="1:16">
      <c r="A607">
        <v>606</v>
      </c>
      <c r="B607" s="2">
        <v>40571</v>
      </c>
      <c r="C607">
        <v>1</v>
      </c>
      <c r="D607" t="s">
        <v>17</v>
      </c>
      <c r="E607" s="6" t="s">
        <v>18</v>
      </c>
      <c r="F607" s="151">
        <v>25.208333333333329</v>
      </c>
      <c r="G607" s="7" t="s">
        <v>36</v>
      </c>
      <c r="H607" s="7" t="s">
        <v>44</v>
      </c>
      <c r="I607" s="7" t="s">
        <v>45</v>
      </c>
      <c r="J607">
        <v>0.18</v>
      </c>
      <c r="K607" s="148">
        <v>0.21210000000000001</v>
      </c>
      <c r="L607">
        <v>0.93</v>
      </c>
      <c r="M607" s="148">
        <v>0.1045</v>
      </c>
      <c r="N607">
        <v>0</v>
      </c>
      <c r="O607">
        <v>30</v>
      </c>
      <c r="P607">
        <v>30</v>
      </c>
    </row>
    <row r="608" spans="1:16">
      <c r="A608">
        <v>607</v>
      </c>
      <c r="B608" s="2">
        <v>40571</v>
      </c>
      <c r="C608">
        <v>1</v>
      </c>
      <c r="D608" t="s">
        <v>17</v>
      </c>
      <c r="E608" s="6" t="s">
        <v>18</v>
      </c>
      <c r="F608" s="151">
        <v>25.25</v>
      </c>
      <c r="G608" s="7" t="s">
        <v>36</v>
      </c>
      <c r="H608" s="7" t="s">
        <v>44</v>
      </c>
      <c r="I608" s="7" t="s">
        <v>45</v>
      </c>
      <c r="J608">
        <v>0.18</v>
      </c>
      <c r="K608" s="148">
        <v>0.21210000000000001</v>
      </c>
      <c r="L608">
        <v>0.93</v>
      </c>
      <c r="M608" s="148">
        <v>0.1045</v>
      </c>
      <c r="N608">
        <v>1</v>
      </c>
      <c r="O608">
        <v>28</v>
      </c>
      <c r="P608">
        <v>29</v>
      </c>
    </row>
    <row r="609" spans="1:16">
      <c r="A609">
        <v>608</v>
      </c>
      <c r="B609" s="2">
        <v>40571</v>
      </c>
      <c r="C609">
        <v>1</v>
      </c>
      <c r="D609" t="s">
        <v>17</v>
      </c>
      <c r="E609" s="6" t="s">
        <v>18</v>
      </c>
      <c r="F609" s="151">
        <v>25.291666666666671</v>
      </c>
      <c r="G609" s="7" t="s">
        <v>36</v>
      </c>
      <c r="H609" s="7" t="s">
        <v>44</v>
      </c>
      <c r="I609" s="7" t="s">
        <v>45</v>
      </c>
      <c r="J609">
        <v>0.18</v>
      </c>
      <c r="K609" s="148">
        <v>0.21210000000000001</v>
      </c>
      <c r="L609">
        <v>0.93</v>
      </c>
      <c r="M609" s="148">
        <v>0.1045</v>
      </c>
      <c r="N609">
        <v>0</v>
      </c>
      <c r="O609">
        <v>31</v>
      </c>
      <c r="P609">
        <v>31</v>
      </c>
    </row>
    <row r="610" spans="1:16">
      <c r="A610">
        <v>609</v>
      </c>
      <c r="B610" s="2">
        <v>40571</v>
      </c>
      <c r="C610">
        <v>1</v>
      </c>
      <c r="D610" t="s">
        <v>17</v>
      </c>
      <c r="E610" s="6" t="s">
        <v>18</v>
      </c>
      <c r="F610" s="151">
        <v>25.333333333333329</v>
      </c>
      <c r="G610" s="7" t="s">
        <v>36</v>
      </c>
      <c r="H610" s="7" t="s">
        <v>44</v>
      </c>
      <c r="I610" s="7" t="s">
        <v>45</v>
      </c>
      <c r="J610">
        <v>0.22</v>
      </c>
      <c r="K610" s="148">
        <v>0.2727</v>
      </c>
      <c r="L610">
        <v>0.8</v>
      </c>
      <c r="M610" s="148">
        <v>0</v>
      </c>
      <c r="N610">
        <v>2</v>
      </c>
      <c r="O610">
        <v>36</v>
      </c>
      <c r="P610">
        <v>38</v>
      </c>
    </row>
    <row r="611" spans="1:16">
      <c r="A611">
        <v>610</v>
      </c>
      <c r="B611" s="2">
        <v>40571</v>
      </c>
      <c r="C611">
        <v>1</v>
      </c>
      <c r="D611" t="s">
        <v>17</v>
      </c>
      <c r="E611" s="6" t="s">
        <v>18</v>
      </c>
      <c r="F611" s="151">
        <v>25.375</v>
      </c>
      <c r="G611" s="7" t="s">
        <v>36</v>
      </c>
      <c r="H611" s="7" t="s">
        <v>44</v>
      </c>
      <c r="I611" s="7" t="s">
        <v>39</v>
      </c>
      <c r="J611">
        <v>0.2</v>
      </c>
      <c r="K611" s="148">
        <v>0.2576</v>
      </c>
      <c r="L611">
        <v>0.86</v>
      </c>
      <c r="M611" s="148">
        <v>0</v>
      </c>
      <c r="N611">
        <v>1</v>
      </c>
      <c r="O611">
        <v>40</v>
      </c>
      <c r="P611">
        <v>41</v>
      </c>
    </row>
    <row r="612" spans="1:16">
      <c r="A612">
        <v>611</v>
      </c>
      <c r="B612" s="2">
        <v>40571</v>
      </c>
      <c r="C612">
        <v>1</v>
      </c>
      <c r="D612" t="s">
        <v>17</v>
      </c>
      <c r="E612" s="6" t="s">
        <v>18</v>
      </c>
      <c r="F612" s="151">
        <v>25.416666666666671</v>
      </c>
      <c r="G612" s="7" t="s">
        <v>36</v>
      </c>
      <c r="H612" s="7" t="s">
        <v>44</v>
      </c>
      <c r="I612" s="7" t="s">
        <v>38</v>
      </c>
      <c r="J612">
        <v>0.22</v>
      </c>
      <c r="K612" s="148">
        <v>0.2727</v>
      </c>
      <c r="L612">
        <v>0.8</v>
      </c>
      <c r="M612" s="148">
        <v>0</v>
      </c>
      <c r="N612">
        <v>10</v>
      </c>
      <c r="O612">
        <v>70</v>
      </c>
      <c r="P612">
        <v>80</v>
      </c>
    </row>
    <row r="613" spans="1:16">
      <c r="A613">
        <v>612</v>
      </c>
      <c r="B613" s="2">
        <v>40571</v>
      </c>
      <c r="C613">
        <v>1</v>
      </c>
      <c r="D613" t="s">
        <v>17</v>
      </c>
      <c r="E613" s="6" t="s">
        <v>18</v>
      </c>
      <c r="F613" s="151">
        <v>25.458333333333329</v>
      </c>
      <c r="G613" s="7" t="s">
        <v>36</v>
      </c>
      <c r="H613" s="7" t="s">
        <v>44</v>
      </c>
      <c r="I613" s="7" t="s">
        <v>38</v>
      </c>
      <c r="J613">
        <v>0.24</v>
      </c>
      <c r="K613" s="148">
        <v>0.2424</v>
      </c>
      <c r="L613">
        <v>0.75</v>
      </c>
      <c r="M613" s="148">
        <v>0.1343</v>
      </c>
      <c r="N613">
        <v>2</v>
      </c>
      <c r="O613">
        <v>147</v>
      </c>
      <c r="P613">
        <v>149</v>
      </c>
    </row>
    <row r="614" spans="1:16">
      <c r="A614">
        <v>613</v>
      </c>
      <c r="B614" s="2">
        <v>40571</v>
      </c>
      <c r="C614">
        <v>1</v>
      </c>
      <c r="D614" t="s">
        <v>17</v>
      </c>
      <c r="E614" s="6" t="s">
        <v>18</v>
      </c>
      <c r="F614" s="151">
        <v>25.5</v>
      </c>
      <c r="G614" s="7" t="s">
        <v>36</v>
      </c>
      <c r="H614" s="7" t="s">
        <v>44</v>
      </c>
      <c r="I614" s="7" t="s">
        <v>38</v>
      </c>
      <c r="J614">
        <v>0.24</v>
      </c>
      <c r="K614" s="148">
        <v>0.2273</v>
      </c>
      <c r="L614">
        <v>0.75</v>
      </c>
      <c r="M614" s="148">
        <v>0.19400000000000001</v>
      </c>
      <c r="N614">
        <v>2</v>
      </c>
      <c r="O614">
        <v>107</v>
      </c>
      <c r="P614">
        <v>109</v>
      </c>
    </row>
    <row r="615" spans="1:16">
      <c r="A615">
        <v>614</v>
      </c>
      <c r="B615" s="2">
        <v>40571</v>
      </c>
      <c r="C615">
        <v>1</v>
      </c>
      <c r="D615" t="s">
        <v>17</v>
      </c>
      <c r="E615" s="6" t="s">
        <v>18</v>
      </c>
      <c r="F615" s="151">
        <v>25.541666666666671</v>
      </c>
      <c r="G615" s="7" t="s">
        <v>36</v>
      </c>
      <c r="H615" s="7" t="s">
        <v>44</v>
      </c>
      <c r="I615" s="7" t="s">
        <v>39</v>
      </c>
      <c r="J615">
        <v>0.24</v>
      </c>
      <c r="K615" s="148">
        <v>0.2424</v>
      </c>
      <c r="L615">
        <v>0.75</v>
      </c>
      <c r="M615" s="148">
        <v>0.1343</v>
      </c>
      <c r="N615">
        <v>5</v>
      </c>
      <c r="O615">
        <v>84</v>
      </c>
      <c r="P615">
        <v>89</v>
      </c>
    </row>
    <row r="616" spans="1:16">
      <c r="A616">
        <v>615</v>
      </c>
      <c r="B616" s="2">
        <v>40571</v>
      </c>
      <c r="C616">
        <v>1</v>
      </c>
      <c r="D616" t="s">
        <v>17</v>
      </c>
      <c r="E616" s="6" t="s">
        <v>18</v>
      </c>
      <c r="F616" s="151">
        <v>25.583333333333329</v>
      </c>
      <c r="G616" s="7" t="s">
        <v>36</v>
      </c>
      <c r="H616" s="7" t="s">
        <v>44</v>
      </c>
      <c r="I616" s="7" t="s">
        <v>39</v>
      </c>
      <c r="J616">
        <v>0.24</v>
      </c>
      <c r="K616" s="148">
        <v>0.2273</v>
      </c>
      <c r="L616">
        <v>0.7</v>
      </c>
      <c r="M616" s="148">
        <v>0.19400000000000001</v>
      </c>
      <c r="N616">
        <v>1</v>
      </c>
      <c r="O616">
        <v>61</v>
      </c>
      <c r="P616">
        <v>62</v>
      </c>
    </row>
    <row r="617" spans="1:16">
      <c r="A617">
        <v>616</v>
      </c>
      <c r="B617" s="2">
        <v>40571</v>
      </c>
      <c r="C617">
        <v>1</v>
      </c>
      <c r="D617" t="s">
        <v>17</v>
      </c>
      <c r="E617" s="6" t="s">
        <v>18</v>
      </c>
      <c r="F617" s="151">
        <v>25.625</v>
      </c>
      <c r="G617" s="7" t="s">
        <v>36</v>
      </c>
      <c r="H617" s="7" t="s">
        <v>44</v>
      </c>
      <c r="I617" s="7" t="s">
        <v>39</v>
      </c>
      <c r="J617">
        <v>0.22</v>
      </c>
      <c r="K617" s="148">
        <v>0.2273</v>
      </c>
      <c r="L617">
        <v>0.75</v>
      </c>
      <c r="M617" s="148">
        <v>0.1343</v>
      </c>
      <c r="N617">
        <v>1</v>
      </c>
      <c r="O617">
        <v>57</v>
      </c>
      <c r="P617">
        <v>58</v>
      </c>
    </row>
    <row r="618" spans="1:16">
      <c r="A618">
        <v>617</v>
      </c>
      <c r="B618" s="2">
        <v>40571</v>
      </c>
      <c r="C618">
        <v>1</v>
      </c>
      <c r="D618" t="s">
        <v>17</v>
      </c>
      <c r="E618" s="6" t="s">
        <v>18</v>
      </c>
      <c r="F618" s="151">
        <v>25.666666666666671</v>
      </c>
      <c r="G618" s="7" t="s">
        <v>36</v>
      </c>
      <c r="H618" s="7" t="s">
        <v>44</v>
      </c>
      <c r="I618" s="7" t="s">
        <v>38</v>
      </c>
      <c r="J618">
        <v>0.24</v>
      </c>
      <c r="K618" s="148">
        <v>0.21210000000000001</v>
      </c>
      <c r="L618">
        <v>0.65</v>
      </c>
      <c r="M618" s="148">
        <v>0.35820000000000002</v>
      </c>
      <c r="N618">
        <v>0</v>
      </c>
      <c r="O618">
        <v>26</v>
      </c>
      <c r="P618">
        <v>26</v>
      </c>
    </row>
    <row r="619" spans="1:16">
      <c r="A619">
        <v>618</v>
      </c>
      <c r="B619" s="2">
        <v>40571</v>
      </c>
      <c r="C619">
        <v>1</v>
      </c>
      <c r="D619" t="s">
        <v>17</v>
      </c>
      <c r="E619" s="6" t="s">
        <v>18</v>
      </c>
      <c r="F619" s="151">
        <v>25.708333333333329</v>
      </c>
      <c r="G619" s="7" t="s">
        <v>36</v>
      </c>
      <c r="H619" s="7" t="s">
        <v>44</v>
      </c>
      <c r="I619" s="7" t="s">
        <v>38</v>
      </c>
      <c r="J619">
        <v>0.24</v>
      </c>
      <c r="K619" s="148">
        <v>0.2273</v>
      </c>
      <c r="L619">
        <v>0.6</v>
      </c>
      <c r="M619" s="148">
        <v>0.22389999999999999</v>
      </c>
      <c r="N619">
        <v>1</v>
      </c>
      <c r="O619">
        <v>22</v>
      </c>
      <c r="P619">
        <v>23</v>
      </c>
    </row>
    <row r="620" spans="1:16">
      <c r="A620">
        <v>619</v>
      </c>
      <c r="B620" s="2">
        <v>40572</v>
      </c>
      <c r="C620">
        <v>1</v>
      </c>
      <c r="D620" t="s">
        <v>17</v>
      </c>
      <c r="E620" s="6" t="s">
        <v>18</v>
      </c>
      <c r="F620" s="151">
        <v>25.75</v>
      </c>
      <c r="G620" s="7" t="s">
        <v>36</v>
      </c>
      <c r="H620" s="7" t="s">
        <v>37</v>
      </c>
      <c r="I620" s="7" t="s">
        <v>38</v>
      </c>
      <c r="J620">
        <v>0.22</v>
      </c>
      <c r="K620" s="148">
        <v>0.19700000000000001</v>
      </c>
      <c r="L620">
        <v>0.64</v>
      </c>
      <c r="M620" s="148">
        <v>0.35820000000000002</v>
      </c>
      <c r="N620">
        <v>2</v>
      </c>
      <c r="O620">
        <v>26</v>
      </c>
      <c r="P620">
        <v>28</v>
      </c>
    </row>
    <row r="621" spans="1:16">
      <c r="A621">
        <v>620</v>
      </c>
      <c r="B621" s="2">
        <v>40572</v>
      </c>
      <c r="C621">
        <v>1</v>
      </c>
      <c r="D621" t="s">
        <v>17</v>
      </c>
      <c r="E621" s="6" t="s">
        <v>18</v>
      </c>
      <c r="F621" s="151">
        <v>25.791666666666671</v>
      </c>
      <c r="G621" s="7" t="s">
        <v>36</v>
      </c>
      <c r="H621" s="7" t="s">
        <v>37</v>
      </c>
      <c r="I621" s="7" t="s">
        <v>38</v>
      </c>
      <c r="J621">
        <v>0.22</v>
      </c>
      <c r="K621" s="148">
        <v>0.2273</v>
      </c>
      <c r="L621">
        <v>0.64</v>
      </c>
      <c r="M621" s="148">
        <v>0.19400000000000001</v>
      </c>
      <c r="N621">
        <v>0</v>
      </c>
      <c r="O621">
        <v>20</v>
      </c>
      <c r="P621">
        <v>20</v>
      </c>
    </row>
    <row r="622" spans="1:16">
      <c r="A622">
        <v>621</v>
      </c>
      <c r="B622" s="2">
        <v>40572</v>
      </c>
      <c r="C622">
        <v>1</v>
      </c>
      <c r="D622" t="s">
        <v>17</v>
      </c>
      <c r="E622" s="6" t="s">
        <v>18</v>
      </c>
      <c r="F622" s="151">
        <v>25.833333333333329</v>
      </c>
      <c r="G622" s="7" t="s">
        <v>36</v>
      </c>
      <c r="H622" s="7" t="s">
        <v>37</v>
      </c>
      <c r="I622" s="7" t="s">
        <v>38</v>
      </c>
      <c r="J622">
        <v>0.22</v>
      </c>
      <c r="K622" s="148">
        <v>0.2273</v>
      </c>
      <c r="L622">
        <v>0.64</v>
      </c>
      <c r="M622" s="148">
        <v>0.16420000000000001</v>
      </c>
      <c r="N622">
        <v>0</v>
      </c>
      <c r="O622">
        <v>15</v>
      </c>
      <c r="P622">
        <v>15</v>
      </c>
    </row>
    <row r="623" spans="1:16">
      <c r="A623">
        <v>622</v>
      </c>
      <c r="B623" s="2">
        <v>40572</v>
      </c>
      <c r="C623">
        <v>1</v>
      </c>
      <c r="D623" t="s">
        <v>17</v>
      </c>
      <c r="E623" s="6" t="s">
        <v>18</v>
      </c>
      <c r="F623" s="151">
        <v>25.875</v>
      </c>
      <c r="G623" s="7" t="s">
        <v>36</v>
      </c>
      <c r="H623" s="7" t="s">
        <v>37</v>
      </c>
      <c r="I623" s="7" t="s">
        <v>38</v>
      </c>
      <c r="J623">
        <v>0.2</v>
      </c>
      <c r="K623" s="148">
        <v>0.21210000000000001</v>
      </c>
      <c r="L623">
        <v>0.64</v>
      </c>
      <c r="M623" s="148">
        <v>0.1343</v>
      </c>
      <c r="N623">
        <v>3</v>
      </c>
      <c r="O623">
        <v>5</v>
      </c>
      <c r="P623">
        <v>8</v>
      </c>
    </row>
    <row r="624" spans="1:16">
      <c r="A624">
        <v>623</v>
      </c>
      <c r="B624" s="2">
        <v>40572</v>
      </c>
      <c r="C624">
        <v>1</v>
      </c>
      <c r="D624" t="s">
        <v>17</v>
      </c>
      <c r="E624" s="6" t="s">
        <v>18</v>
      </c>
      <c r="F624" s="151">
        <v>25.916666666666671</v>
      </c>
      <c r="G624" s="7" t="s">
        <v>36</v>
      </c>
      <c r="H624" s="7" t="s">
        <v>37</v>
      </c>
      <c r="I624" s="7" t="s">
        <v>38</v>
      </c>
      <c r="J624">
        <v>0.16</v>
      </c>
      <c r="K624" s="148">
        <v>0.18179999999999999</v>
      </c>
      <c r="L624">
        <v>0.69</v>
      </c>
      <c r="M624" s="148">
        <v>0.1045</v>
      </c>
      <c r="N624">
        <v>1</v>
      </c>
      <c r="O624">
        <v>2</v>
      </c>
      <c r="P624">
        <v>3</v>
      </c>
    </row>
    <row r="625" spans="1:16">
      <c r="A625">
        <v>624</v>
      </c>
      <c r="B625" s="2">
        <v>40572</v>
      </c>
      <c r="C625">
        <v>1</v>
      </c>
      <c r="D625" t="s">
        <v>17</v>
      </c>
      <c r="E625" s="6" t="s">
        <v>18</v>
      </c>
      <c r="F625" s="151">
        <v>25.958333333333329</v>
      </c>
      <c r="G625" s="7" t="s">
        <v>36</v>
      </c>
      <c r="H625" s="7" t="s">
        <v>37</v>
      </c>
      <c r="I625" s="7" t="s">
        <v>38</v>
      </c>
      <c r="J625">
        <v>0.16</v>
      </c>
      <c r="K625" s="148">
        <v>0.18179999999999999</v>
      </c>
      <c r="L625">
        <v>0.64</v>
      </c>
      <c r="M625" s="148">
        <v>0.1343</v>
      </c>
      <c r="N625">
        <v>0</v>
      </c>
      <c r="O625">
        <v>2</v>
      </c>
      <c r="P625">
        <v>2</v>
      </c>
    </row>
    <row r="626" spans="1:16">
      <c r="A626">
        <v>625</v>
      </c>
      <c r="B626" s="2">
        <v>40572</v>
      </c>
      <c r="C626">
        <v>1</v>
      </c>
      <c r="D626" t="s">
        <v>17</v>
      </c>
      <c r="E626" s="6" t="s">
        <v>18</v>
      </c>
      <c r="F626" s="151">
        <v>26</v>
      </c>
      <c r="G626" s="7" t="s">
        <v>36</v>
      </c>
      <c r="H626" s="7" t="s">
        <v>37</v>
      </c>
      <c r="I626" s="7" t="s">
        <v>38</v>
      </c>
      <c r="J626">
        <v>0.16</v>
      </c>
      <c r="K626" s="148">
        <v>0.18179999999999999</v>
      </c>
      <c r="L626">
        <v>0.59</v>
      </c>
      <c r="M626" s="148">
        <v>0.1045</v>
      </c>
      <c r="N626">
        <v>1</v>
      </c>
      <c r="O626">
        <v>4</v>
      </c>
      <c r="P626">
        <v>5</v>
      </c>
    </row>
    <row r="627" spans="1:16">
      <c r="A627">
        <v>626</v>
      </c>
      <c r="B627" s="2">
        <v>40572</v>
      </c>
      <c r="C627">
        <v>1</v>
      </c>
      <c r="D627" t="s">
        <v>17</v>
      </c>
      <c r="E627" s="6" t="s">
        <v>18</v>
      </c>
      <c r="F627" s="151">
        <v>26.041666666666671</v>
      </c>
      <c r="G627" s="7" t="s">
        <v>36</v>
      </c>
      <c r="H627" s="7" t="s">
        <v>37</v>
      </c>
      <c r="I627" s="7" t="s">
        <v>38</v>
      </c>
      <c r="J627">
        <v>0.18</v>
      </c>
      <c r="K627" s="148">
        <v>0.19700000000000001</v>
      </c>
      <c r="L627">
        <v>0.55000000000000004</v>
      </c>
      <c r="M627" s="148">
        <v>0.16420000000000001</v>
      </c>
      <c r="N627">
        <v>3</v>
      </c>
      <c r="O627">
        <v>31</v>
      </c>
      <c r="P627">
        <v>34</v>
      </c>
    </row>
    <row r="628" spans="1:16">
      <c r="A628">
        <v>627</v>
      </c>
      <c r="B628" s="2">
        <v>40572</v>
      </c>
      <c r="C628">
        <v>1</v>
      </c>
      <c r="D628" t="s">
        <v>17</v>
      </c>
      <c r="E628" s="6" t="s">
        <v>18</v>
      </c>
      <c r="F628" s="151">
        <v>26.083333333333329</v>
      </c>
      <c r="G628" s="7" t="s">
        <v>36</v>
      </c>
      <c r="H628" s="7" t="s">
        <v>37</v>
      </c>
      <c r="I628" s="7" t="s">
        <v>38</v>
      </c>
      <c r="J628">
        <v>0.18</v>
      </c>
      <c r="K628" s="148">
        <v>0.21210000000000001</v>
      </c>
      <c r="L628">
        <v>0.59</v>
      </c>
      <c r="M628" s="148">
        <v>8.9599999999999999E-2</v>
      </c>
      <c r="N628">
        <v>0</v>
      </c>
      <c r="O628">
        <v>34</v>
      </c>
      <c r="P628">
        <v>34</v>
      </c>
    </row>
    <row r="629" spans="1:16">
      <c r="A629">
        <v>628</v>
      </c>
      <c r="B629" s="2">
        <v>40572</v>
      </c>
      <c r="C629">
        <v>1</v>
      </c>
      <c r="D629" t="s">
        <v>17</v>
      </c>
      <c r="E629" s="6" t="s">
        <v>18</v>
      </c>
      <c r="F629" s="151">
        <v>26.125</v>
      </c>
      <c r="G629" s="7" t="s">
        <v>36</v>
      </c>
      <c r="H629" s="7" t="s">
        <v>37</v>
      </c>
      <c r="I629" s="7" t="s">
        <v>39</v>
      </c>
      <c r="J629">
        <v>0.18</v>
      </c>
      <c r="K629" s="148">
        <v>0.21210000000000001</v>
      </c>
      <c r="L629">
        <v>0.64</v>
      </c>
      <c r="M629" s="148">
        <v>0.1045</v>
      </c>
      <c r="N629">
        <v>4</v>
      </c>
      <c r="O629">
        <v>51</v>
      </c>
      <c r="P629">
        <v>55</v>
      </c>
    </row>
    <row r="630" spans="1:16">
      <c r="A630">
        <v>629</v>
      </c>
      <c r="B630" s="2">
        <v>40572</v>
      </c>
      <c r="C630">
        <v>1</v>
      </c>
      <c r="D630" t="s">
        <v>17</v>
      </c>
      <c r="E630" s="6" t="s">
        <v>18</v>
      </c>
      <c r="F630" s="151">
        <v>26.166666666666671</v>
      </c>
      <c r="G630" s="7" t="s">
        <v>36</v>
      </c>
      <c r="H630" s="7" t="s">
        <v>37</v>
      </c>
      <c r="I630" s="7" t="s">
        <v>39</v>
      </c>
      <c r="J630">
        <v>0.18</v>
      </c>
      <c r="K630" s="148">
        <v>0.19700000000000001</v>
      </c>
      <c r="L630">
        <v>0.64</v>
      </c>
      <c r="M630" s="148">
        <v>0.1343</v>
      </c>
      <c r="N630">
        <v>4</v>
      </c>
      <c r="O630">
        <v>60</v>
      </c>
      <c r="P630">
        <v>64</v>
      </c>
    </row>
    <row r="631" spans="1:16">
      <c r="A631">
        <v>630</v>
      </c>
      <c r="B631" s="2">
        <v>40572</v>
      </c>
      <c r="C631">
        <v>1</v>
      </c>
      <c r="D631" t="s">
        <v>17</v>
      </c>
      <c r="E631" s="6" t="s">
        <v>18</v>
      </c>
      <c r="F631" s="151">
        <v>26.208333333333329</v>
      </c>
      <c r="G631" s="7" t="s">
        <v>36</v>
      </c>
      <c r="H631" s="7" t="s">
        <v>37</v>
      </c>
      <c r="I631" s="7" t="s">
        <v>39</v>
      </c>
      <c r="J631">
        <v>0.2</v>
      </c>
      <c r="K631" s="148">
        <v>0.19700000000000001</v>
      </c>
      <c r="L631">
        <v>0.59</v>
      </c>
      <c r="M631" s="148">
        <v>0.19400000000000001</v>
      </c>
      <c r="N631">
        <v>12</v>
      </c>
      <c r="O631">
        <v>66</v>
      </c>
      <c r="P631">
        <v>78</v>
      </c>
    </row>
    <row r="632" spans="1:16">
      <c r="A632">
        <v>631</v>
      </c>
      <c r="B632" s="2">
        <v>40572</v>
      </c>
      <c r="C632">
        <v>1</v>
      </c>
      <c r="D632" t="s">
        <v>17</v>
      </c>
      <c r="E632" s="6" t="s">
        <v>18</v>
      </c>
      <c r="F632" s="151">
        <v>26.25</v>
      </c>
      <c r="G632" s="7" t="s">
        <v>36</v>
      </c>
      <c r="H632" s="7" t="s">
        <v>37</v>
      </c>
      <c r="I632" s="7" t="s">
        <v>39</v>
      </c>
      <c r="J632">
        <v>0.22</v>
      </c>
      <c r="K632" s="148">
        <v>0.2273</v>
      </c>
      <c r="L632">
        <v>0.55000000000000004</v>
      </c>
      <c r="M632" s="148">
        <v>0.16420000000000001</v>
      </c>
      <c r="N632">
        <v>9</v>
      </c>
      <c r="O632">
        <v>56</v>
      </c>
      <c r="P632">
        <v>65</v>
      </c>
    </row>
    <row r="633" spans="1:16">
      <c r="A633">
        <v>632</v>
      </c>
      <c r="B633" s="2">
        <v>40572</v>
      </c>
      <c r="C633">
        <v>1</v>
      </c>
      <c r="D633" t="s">
        <v>17</v>
      </c>
      <c r="E633" s="6" t="s">
        <v>18</v>
      </c>
      <c r="F633" s="151">
        <v>26.291666666666671</v>
      </c>
      <c r="G633" s="7" t="s">
        <v>36</v>
      </c>
      <c r="H633" s="7" t="s">
        <v>37</v>
      </c>
      <c r="I633" s="7" t="s">
        <v>39</v>
      </c>
      <c r="J633">
        <v>0.22</v>
      </c>
      <c r="K633" s="148">
        <v>0.2273</v>
      </c>
      <c r="L633">
        <v>0.6</v>
      </c>
      <c r="M633" s="148">
        <v>0.1343</v>
      </c>
      <c r="N633">
        <v>10</v>
      </c>
      <c r="O633">
        <v>89</v>
      </c>
      <c r="P633">
        <v>99</v>
      </c>
    </row>
    <row r="634" spans="1:16">
      <c r="A634">
        <v>633</v>
      </c>
      <c r="B634" s="2">
        <v>40572</v>
      </c>
      <c r="C634">
        <v>1</v>
      </c>
      <c r="D634" t="s">
        <v>17</v>
      </c>
      <c r="E634" s="6" t="s">
        <v>18</v>
      </c>
      <c r="F634" s="151">
        <v>26.333333333333329</v>
      </c>
      <c r="G634" s="7" t="s">
        <v>36</v>
      </c>
      <c r="H634" s="7" t="s">
        <v>37</v>
      </c>
      <c r="I634" s="7" t="s">
        <v>38</v>
      </c>
      <c r="J634">
        <v>0.22</v>
      </c>
      <c r="K634" s="148">
        <v>0.21210000000000001</v>
      </c>
      <c r="L634">
        <v>0.69</v>
      </c>
      <c r="M634" s="148">
        <v>0.25369999999999998</v>
      </c>
      <c r="N634">
        <v>22</v>
      </c>
      <c r="O634">
        <v>98</v>
      </c>
      <c r="P634">
        <v>120</v>
      </c>
    </row>
    <row r="635" spans="1:16">
      <c r="A635">
        <v>634</v>
      </c>
      <c r="B635" s="2">
        <v>40572</v>
      </c>
      <c r="C635">
        <v>1</v>
      </c>
      <c r="D635" t="s">
        <v>17</v>
      </c>
      <c r="E635" s="6" t="s">
        <v>18</v>
      </c>
      <c r="F635" s="151">
        <v>26.375</v>
      </c>
      <c r="G635" s="7" t="s">
        <v>36</v>
      </c>
      <c r="H635" s="7" t="s">
        <v>37</v>
      </c>
      <c r="I635" s="7" t="s">
        <v>38</v>
      </c>
      <c r="J635">
        <v>0.24</v>
      </c>
      <c r="K635" s="148">
        <v>0.2424</v>
      </c>
      <c r="L635">
        <v>0.6</v>
      </c>
      <c r="M635" s="148">
        <v>0.16420000000000001</v>
      </c>
      <c r="N635">
        <v>19</v>
      </c>
      <c r="O635">
        <v>88</v>
      </c>
      <c r="P635">
        <v>107</v>
      </c>
    </row>
    <row r="636" spans="1:16">
      <c r="A636">
        <v>635</v>
      </c>
      <c r="B636" s="2">
        <v>40572</v>
      </c>
      <c r="C636">
        <v>1</v>
      </c>
      <c r="D636" t="s">
        <v>17</v>
      </c>
      <c r="E636" s="6" t="s">
        <v>18</v>
      </c>
      <c r="F636" s="151">
        <v>26.416666666666671</v>
      </c>
      <c r="G636" s="7" t="s">
        <v>36</v>
      </c>
      <c r="H636" s="7" t="s">
        <v>37</v>
      </c>
      <c r="I636" s="7" t="s">
        <v>38</v>
      </c>
      <c r="J636">
        <v>0.24</v>
      </c>
      <c r="K636" s="148">
        <v>0.28789999999999999</v>
      </c>
      <c r="L636">
        <v>0.6</v>
      </c>
      <c r="M636" s="148">
        <v>0</v>
      </c>
      <c r="N636">
        <v>9</v>
      </c>
      <c r="O636">
        <v>82</v>
      </c>
      <c r="P636">
        <v>91</v>
      </c>
    </row>
    <row r="637" spans="1:16">
      <c r="A637">
        <v>636</v>
      </c>
      <c r="B637" s="2">
        <v>40572</v>
      </c>
      <c r="C637">
        <v>1</v>
      </c>
      <c r="D637" t="s">
        <v>17</v>
      </c>
      <c r="E637" s="6" t="s">
        <v>18</v>
      </c>
      <c r="F637" s="151">
        <v>26.458333333333329</v>
      </c>
      <c r="G637" s="7" t="s">
        <v>36</v>
      </c>
      <c r="H637" s="7" t="s">
        <v>37</v>
      </c>
      <c r="I637" s="7" t="s">
        <v>38</v>
      </c>
      <c r="J637">
        <v>0.22</v>
      </c>
      <c r="K637" s="148">
        <v>0.2273</v>
      </c>
      <c r="L637">
        <v>0.69</v>
      </c>
      <c r="M637" s="148">
        <v>0.1343</v>
      </c>
      <c r="N637">
        <v>9</v>
      </c>
      <c r="O637">
        <v>59</v>
      </c>
      <c r="P637">
        <v>68</v>
      </c>
    </row>
    <row r="638" spans="1:16">
      <c r="A638">
        <v>637</v>
      </c>
      <c r="B638" s="2">
        <v>40572</v>
      </c>
      <c r="C638">
        <v>1</v>
      </c>
      <c r="D638" t="s">
        <v>17</v>
      </c>
      <c r="E638" s="6" t="s">
        <v>18</v>
      </c>
      <c r="F638" s="151">
        <v>26.5</v>
      </c>
      <c r="G638" s="7" t="s">
        <v>36</v>
      </c>
      <c r="H638" s="7" t="s">
        <v>37</v>
      </c>
      <c r="I638" s="7" t="s">
        <v>39</v>
      </c>
      <c r="J638">
        <v>0.22</v>
      </c>
      <c r="K638" s="148">
        <v>0.21210000000000001</v>
      </c>
      <c r="L638">
        <v>0.69</v>
      </c>
      <c r="M638" s="148">
        <v>0.25369999999999998</v>
      </c>
      <c r="N638">
        <v>6</v>
      </c>
      <c r="O638">
        <v>52</v>
      </c>
      <c r="P638">
        <v>58</v>
      </c>
    </row>
    <row r="639" spans="1:16">
      <c r="A639">
        <v>638</v>
      </c>
      <c r="B639" s="2">
        <v>40572</v>
      </c>
      <c r="C639">
        <v>1</v>
      </c>
      <c r="D639" t="s">
        <v>17</v>
      </c>
      <c r="E639" s="6" t="s">
        <v>18</v>
      </c>
      <c r="F639" s="151">
        <v>26.541666666666671</v>
      </c>
      <c r="G639" s="7" t="s">
        <v>36</v>
      </c>
      <c r="H639" s="7" t="s">
        <v>37</v>
      </c>
      <c r="I639" s="7" t="s">
        <v>38</v>
      </c>
      <c r="J639">
        <v>0.18</v>
      </c>
      <c r="K639" s="148">
        <v>0.21210000000000001</v>
      </c>
      <c r="L639">
        <v>0.74</v>
      </c>
      <c r="M639" s="148">
        <v>8.9599999999999999E-2</v>
      </c>
      <c r="N639">
        <v>1</v>
      </c>
      <c r="O639">
        <v>42</v>
      </c>
      <c r="P639">
        <v>43</v>
      </c>
    </row>
    <row r="640" spans="1:16">
      <c r="A640">
        <v>639</v>
      </c>
      <c r="B640" s="2">
        <v>40572</v>
      </c>
      <c r="C640">
        <v>1</v>
      </c>
      <c r="D640" t="s">
        <v>17</v>
      </c>
      <c r="E640" s="6" t="s">
        <v>18</v>
      </c>
      <c r="F640" s="151">
        <v>26.583333333333329</v>
      </c>
      <c r="G640" s="7" t="s">
        <v>36</v>
      </c>
      <c r="H640" s="7" t="s">
        <v>37</v>
      </c>
      <c r="I640" s="7" t="s">
        <v>38</v>
      </c>
      <c r="J640">
        <v>0.18</v>
      </c>
      <c r="K640" s="148">
        <v>0.21210000000000001</v>
      </c>
      <c r="L640">
        <v>0.74</v>
      </c>
      <c r="M640" s="148">
        <v>8.9599999999999999E-2</v>
      </c>
      <c r="N640">
        <v>1</v>
      </c>
      <c r="O640">
        <v>35</v>
      </c>
      <c r="P640">
        <v>36</v>
      </c>
    </row>
    <row r="641" spans="1:16">
      <c r="A641">
        <v>640</v>
      </c>
      <c r="B641" s="2">
        <v>40572</v>
      </c>
      <c r="C641">
        <v>1</v>
      </c>
      <c r="D641" t="s">
        <v>17</v>
      </c>
      <c r="E641" s="6" t="s">
        <v>18</v>
      </c>
      <c r="F641" s="151">
        <v>26.625</v>
      </c>
      <c r="G641" s="7" t="s">
        <v>36</v>
      </c>
      <c r="H641" s="7" t="s">
        <v>37</v>
      </c>
      <c r="I641" s="7" t="s">
        <v>38</v>
      </c>
      <c r="J641">
        <v>0.16</v>
      </c>
      <c r="K641" s="148">
        <v>0.19700000000000001</v>
      </c>
      <c r="L641">
        <v>0.8</v>
      </c>
      <c r="M641" s="148">
        <v>8.9599999999999999E-2</v>
      </c>
      <c r="N641">
        <v>4</v>
      </c>
      <c r="O641">
        <v>28</v>
      </c>
      <c r="P641">
        <v>32</v>
      </c>
    </row>
    <row r="642" spans="1:16">
      <c r="A642">
        <v>641</v>
      </c>
      <c r="B642" s="2">
        <v>40572</v>
      </c>
      <c r="C642">
        <v>1</v>
      </c>
      <c r="D642" t="s">
        <v>17</v>
      </c>
      <c r="E642" s="6" t="s">
        <v>18</v>
      </c>
      <c r="F642" s="151">
        <v>26.666666666666671</v>
      </c>
      <c r="G642" s="7" t="s">
        <v>36</v>
      </c>
      <c r="H642" s="7" t="s">
        <v>37</v>
      </c>
      <c r="I642" s="7" t="s">
        <v>38</v>
      </c>
      <c r="J642">
        <v>0.16</v>
      </c>
      <c r="K642" s="148">
        <v>0.19700000000000001</v>
      </c>
      <c r="L642">
        <v>0.8</v>
      </c>
      <c r="M642" s="148">
        <v>8.9599999999999999E-2</v>
      </c>
      <c r="N642">
        <v>3</v>
      </c>
      <c r="O642">
        <v>30</v>
      </c>
      <c r="P642">
        <v>33</v>
      </c>
    </row>
    <row r="643" spans="1:16">
      <c r="A643">
        <v>642</v>
      </c>
      <c r="B643" s="2">
        <v>40573</v>
      </c>
      <c r="C643">
        <v>1</v>
      </c>
      <c r="D643" t="s">
        <v>17</v>
      </c>
      <c r="E643" s="6" t="s">
        <v>18</v>
      </c>
      <c r="F643" s="151">
        <v>26.708333333333329</v>
      </c>
      <c r="G643" s="7" t="s">
        <v>36</v>
      </c>
      <c r="H643" s="7" t="s">
        <v>40</v>
      </c>
      <c r="I643" s="7" t="s">
        <v>38</v>
      </c>
      <c r="J643">
        <v>0.16</v>
      </c>
      <c r="K643" s="148">
        <v>0.18179999999999999</v>
      </c>
      <c r="L643">
        <v>0.8</v>
      </c>
      <c r="M643" s="148">
        <v>0.1045</v>
      </c>
      <c r="N643">
        <v>0</v>
      </c>
      <c r="O643">
        <v>33</v>
      </c>
      <c r="P643">
        <v>33</v>
      </c>
    </row>
    <row r="644" spans="1:16">
      <c r="A644">
        <v>643</v>
      </c>
      <c r="B644" s="2">
        <v>40573</v>
      </c>
      <c r="C644">
        <v>1</v>
      </c>
      <c r="D644" t="s">
        <v>17</v>
      </c>
      <c r="E644" s="6" t="s">
        <v>18</v>
      </c>
      <c r="F644" s="151">
        <v>26.75</v>
      </c>
      <c r="G644" s="7" t="s">
        <v>36</v>
      </c>
      <c r="H644" s="7" t="s">
        <v>40</v>
      </c>
      <c r="I644" s="7" t="s">
        <v>38</v>
      </c>
      <c r="J644">
        <v>0.14000000000000001</v>
      </c>
      <c r="K644" s="148">
        <v>0.21210000000000001</v>
      </c>
      <c r="L644">
        <v>0.8</v>
      </c>
      <c r="M644" s="148">
        <v>0</v>
      </c>
      <c r="N644">
        <v>7</v>
      </c>
      <c r="O644">
        <v>22</v>
      </c>
      <c r="P644">
        <v>29</v>
      </c>
    </row>
    <row r="645" spans="1:16">
      <c r="A645">
        <v>644</v>
      </c>
      <c r="B645" s="2">
        <v>40573</v>
      </c>
      <c r="C645">
        <v>1</v>
      </c>
      <c r="D645" t="s">
        <v>17</v>
      </c>
      <c r="E645" s="6" t="s">
        <v>18</v>
      </c>
      <c r="F645" s="151">
        <v>26.791666666666671</v>
      </c>
      <c r="G645" s="7" t="s">
        <v>36</v>
      </c>
      <c r="H645" s="7" t="s">
        <v>40</v>
      </c>
      <c r="I645" s="7" t="s">
        <v>38</v>
      </c>
      <c r="J645">
        <v>0.16</v>
      </c>
      <c r="K645" s="148">
        <v>0.2273</v>
      </c>
      <c r="L645">
        <v>0.8</v>
      </c>
      <c r="M645" s="148">
        <v>0</v>
      </c>
      <c r="N645">
        <v>1</v>
      </c>
      <c r="O645">
        <v>10</v>
      </c>
      <c r="P645">
        <v>11</v>
      </c>
    </row>
    <row r="646" spans="1:16">
      <c r="A646">
        <v>645</v>
      </c>
      <c r="B646" s="2">
        <v>40573</v>
      </c>
      <c r="C646">
        <v>1</v>
      </c>
      <c r="D646" t="s">
        <v>17</v>
      </c>
      <c r="E646" s="6" t="s">
        <v>18</v>
      </c>
      <c r="F646" s="151">
        <v>26.833333333333329</v>
      </c>
      <c r="G646" s="7" t="s">
        <v>36</v>
      </c>
      <c r="H646" s="7" t="s">
        <v>40</v>
      </c>
      <c r="I646" s="7" t="s">
        <v>38</v>
      </c>
      <c r="J646">
        <v>0.14000000000000001</v>
      </c>
      <c r="K646" s="148">
        <v>0.21210000000000001</v>
      </c>
      <c r="L646">
        <v>0.93</v>
      </c>
      <c r="M646" s="148">
        <v>0</v>
      </c>
      <c r="N646">
        <v>1</v>
      </c>
      <c r="O646">
        <v>7</v>
      </c>
      <c r="P646">
        <v>8</v>
      </c>
    </row>
    <row r="647" spans="1:16">
      <c r="A647">
        <v>646</v>
      </c>
      <c r="B647" s="2">
        <v>40573</v>
      </c>
      <c r="C647">
        <v>1</v>
      </c>
      <c r="D647" t="s">
        <v>17</v>
      </c>
      <c r="E647" s="6" t="s">
        <v>18</v>
      </c>
      <c r="F647" s="151">
        <v>26.875</v>
      </c>
      <c r="G647" s="7" t="s">
        <v>36</v>
      </c>
      <c r="H647" s="7" t="s">
        <v>40</v>
      </c>
      <c r="I647" s="7" t="s">
        <v>38</v>
      </c>
      <c r="J647">
        <v>0.14000000000000001</v>
      </c>
      <c r="K647" s="148">
        <v>0.21210000000000001</v>
      </c>
      <c r="L647">
        <v>0.93</v>
      </c>
      <c r="M647" s="148">
        <v>0</v>
      </c>
      <c r="N647">
        <v>0</v>
      </c>
      <c r="O647">
        <v>1</v>
      </c>
      <c r="P647">
        <v>1</v>
      </c>
    </row>
    <row r="648" spans="1:16">
      <c r="A648">
        <v>647</v>
      </c>
      <c r="B648" s="2">
        <v>40573</v>
      </c>
      <c r="C648">
        <v>1</v>
      </c>
      <c r="D648" t="s">
        <v>17</v>
      </c>
      <c r="E648" s="6" t="s">
        <v>18</v>
      </c>
      <c r="F648" s="151">
        <v>26.916666666666671</v>
      </c>
      <c r="G648" s="7" t="s">
        <v>36</v>
      </c>
      <c r="H648" s="7" t="s">
        <v>40</v>
      </c>
      <c r="I648" s="7" t="s">
        <v>38</v>
      </c>
      <c r="J648">
        <v>0.14000000000000001</v>
      </c>
      <c r="K648" s="148">
        <v>0.21210000000000001</v>
      </c>
      <c r="L648">
        <v>0.86</v>
      </c>
      <c r="M648" s="148">
        <v>0</v>
      </c>
      <c r="N648">
        <v>0</v>
      </c>
      <c r="O648">
        <v>3</v>
      </c>
      <c r="P648">
        <v>3</v>
      </c>
    </row>
    <row r="649" spans="1:16">
      <c r="A649">
        <v>648</v>
      </c>
      <c r="B649" s="2">
        <v>40573</v>
      </c>
      <c r="C649">
        <v>1</v>
      </c>
      <c r="D649" t="s">
        <v>17</v>
      </c>
      <c r="E649" s="6" t="s">
        <v>18</v>
      </c>
      <c r="F649" s="151">
        <v>26.958333333333329</v>
      </c>
      <c r="G649" s="7" t="s">
        <v>36</v>
      </c>
      <c r="H649" s="7" t="s">
        <v>40</v>
      </c>
      <c r="I649" s="7" t="s">
        <v>38</v>
      </c>
      <c r="J649">
        <v>0.14000000000000001</v>
      </c>
      <c r="K649" s="148">
        <v>0.21210000000000001</v>
      </c>
      <c r="L649">
        <v>0.86</v>
      </c>
      <c r="M649" s="148">
        <v>0</v>
      </c>
      <c r="N649">
        <v>0</v>
      </c>
      <c r="O649">
        <v>3</v>
      </c>
      <c r="P649">
        <v>3</v>
      </c>
    </row>
    <row r="650" spans="1:16">
      <c r="A650">
        <v>649</v>
      </c>
      <c r="B650" s="2">
        <v>40573</v>
      </c>
      <c r="C650">
        <v>1</v>
      </c>
      <c r="D650" t="s">
        <v>17</v>
      </c>
      <c r="E650" s="6" t="s">
        <v>18</v>
      </c>
      <c r="F650" s="151">
        <v>27</v>
      </c>
      <c r="G650" s="7" t="s">
        <v>36</v>
      </c>
      <c r="H650" s="7" t="s">
        <v>40</v>
      </c>
      <c r="I650" s="7" t="s">
        <v>39</v>
      </c>
      <c r="J650">
        <v>0.14000000000000001</v>
      </c>
      <c r="K650" s="148">
        <v>0.21210000000000001</v>
      </c>
      <c r="L650">
        <v>0.86</v>
      </c>
      <c r="M650" s="148">
        <v>0</v>
      </c>
      <c r="N650">
        <v>1</v>
      </c>
      <c r="O650">
        <v>11</v>
      </c>
      <c r="P650">
        <v>12</v>
      </c>
    </row>
    <row r="651" spans="1:16">
      <c r="A651">
        <v>650</v>
      </c>
      <c r="B651" s="2">
        <v>40573</v>
      </c>
      <c r="C651">
        <v>1</v>
      </c>
      <c r="D651" t="s">
        <v>17</v>
      </c>
      <c r="E651" s="6" t="s">
        <v>18</v>
      </c>
      <c r="F651" s="151">
        <v>27.041666666666671</v>
      </c>
      <c r="G651" s="7" t="s">
        <v>36</v>
      </c>
      <c r="H651" s="7" t="s">
        <v>40</v>
      </c>
      <c r="I651" s="7" t="s">
        <v>39</v>
      </c>
      <c r="J651">
        <v>0.16</v>
      </c>
      <c r="K651" s="148">
        <v>0.2273</v>
      </c>
      <c r="L651">
        <v>0.8</v>
      </c>
      <c r="M651" s="148">
        <v>0</v>
      </c>
      <c r="N651">
        <v>4</v>
      </c>
      <c r="O651">
        <v>34</v>
      </c>
      <c r="P651">
        <v>38</v>
      </c>
    </row>
    <row r="652" spans="1:16">
      <c r="A652">
        <v>651</v>
      </c>
      <c r="B652" s="2">
        <v>40573</v>
      </c>
      <c r="C652">
        <v>1</v>
      </c>
      <c r="D652" t="s">
        <v>17</v>
      </c>
      <c r="E652" s="6" t="s">
        <v>18</v>
      </c>
      <c r="F652" s="151">
        <v>27.083333333333329</v>
      </c>
      <c r="G652" s="7" t="s">
        <v>36</v>
      </c>
      <c r="H652" s="7" t="s">
        <v>40</v>
      </c>
      <c r="I652" s="7" t="s">
        <v>39</v>
      </c>
      <c r="J652">
        <v>0.18</v>
      </c>
      <c r="K652" s="148">
        <v>0.2424</v>
      </c>
      <c r="L652">
        <v>0.8</v>
      </c>
      <c r="M652" s="148">
        <v>0</v>
      </c>
      <c r="N652">
        <v>7</v>
      </c>
      <c r="O652">
        <v>57</v>
      </c>
      <c r="P652">
        <v>64</v>
      </c>
    </row>
    <row r="653" spans="1:16">
      <c r="A653">
        <v>652</v>
      </c>
      <c r="B653" s="2">
        <v>40573</v>
      </c>
      <c r="C653">
        <v>1</v>
      </c>
      <c r="D653" t="s">
        <v>17</v>
      </c>
      <c r="E653" s="6" t="s">
        <v>18</v>
      </c>
      <c r="F653" s="151">
        <v>27.125</v>
      </c>
      <c r="G653" s="7" t="s">
        <v>36</v>
      </c>
      <c r="H653" s="7" t="s">
        <v>40</v>
      </c>
      <c r="I653" s="7" t="s">
        <v>38</v>
      </c>
      <c r="J653">
        <v>0.22</v>
      </c>
      <c r="K653" s="148">
        <v>0.2727</v>
      </c>
      <c r="L653">
        <v>0.75</v>
      </c>
      <c r="M653" s="148">
        <v>0</v>
      </c>
      <c r="N653">
        <v>9</v>
      </c>
      <c r="O653">
        <v>50</v>
      </c>
      <c r="P653">
        <v>59</v>
      </c>
    </row>
    <row r="654" spans="1:16">
      <c r="A654">
        <v>653</v>
      </c>
      <c r="B654" s="2">
        <v>40573</v>
      </c>
      <c r="C654">
        <v>1</v>
      </c>
      <c r="D654" t="s">
        <v>17</v>
      </c>
      <c r="E654" s="6" t="s">
        <v>18</v>
      </c>
      <c r="F654" s="151">
        <v>27.166666666666671</v>
      </c>
      <c r="G654" s="7" t="s">
        <v>36</v>
      </c>
      <c r="H654" s="7" t="s">
        <v>40</v>
      </c>
      <c r="I654" s="7" t="s">
        <v>38</v>
      </c>
      <c r="J654">
        <v>0.3</v>
      </c>
      <c r="K654" s="148">
        <v>0.31819999999999998</v>
      </c>
      <c r="L654">
        <v>0.52</v>
      </c>
      <c r="M654" s="148">
        <v>0.1045</v>
      </c>
      <c r="N654">
        <v>10</v>
      </c>
      <c r="O654">
        <v>87</v>
      </c>
      <c r="P654">
        <v>97</v>
      </c>
    </row>
    <row r="655" spans="1:16">
      <c r="A655">
        <v>654</v>
      </c>
      <c r="B655" s="2">
        <v>40573</v>
      </c>
      <c r="C655">
        <v>1</v>
      </c>
      <c r="D655" t="s">
        <v>17</v>
      </c>
      <c r="E655" s="6" t="s">
        <v>18</v>
      </c>
      <c r="F655" s="151">
        <v>27.208333333333329</v>
      </c>
      <c r="G655" s="7" t="s">
        <v>36</v>
      </c>
      <c r="H655" s="7" t="s">
        <v>40</v>
      </c>
      <c r="I655" s="7" t="s">
        <v>38</v>
      </c>
      <c r="J655">
        <v>0.28000000000000003</v>
      </c>
      <c r="K655" s="148">
        <v>0.28789999999999999</v>
      </c>
      <c r="L655">
        <v>0.61</v>
      </c>
      <c r="M655" s="148">
        <v>0.1045</v>
      </c>
      <c r="N655">
        <v>13</v>
      </c>
      <c r="O655">
        <v>71</v>
      </c>
      <c r="P655">
        <v>84</v>
      </c>
    </row>
    <row r="656" spans="1:16">
      <c r="A656">
        <v>655</v>
      </c>
      <c r="B656" s="2">
        <v>40573</v>
      </c>
      <c r="C656">
        <v>1</v>
      </c>
      <c r="D656" t="s">
        <v>17</v>
      </c>
      <c r="E656" s="6" t="s">
        <v>18</v>
      </c>
      <c r="F656" s="151">
        <v>27.25</v>
      </c>
      <c r="G656" s="7" t="s">
        <v>36</v>
      </c>
      <c r="H656" s="7" t="s">
        <v>40</v>
      </c>
      <c r="I656" s="7" t="s">
        <v>38</v>
      </c>
      <c r="J656">
        <v>0.28000000000000003</v>
      </c>
      <c r="K656" s="148">
        <v>0.30299999999999999</v>
      </c>
      <c r="L656">
        <v>0.61</v>
      </c>
      <c r="M656" s="148">
        <v>8.9599999999999999E-2</v>
      </c>
      <c r="N656">
        <v>18</v>
      </c>
      <c r="O656">
        <v>104</v>
      </c>
      <c r="P656">
        <v>122</v>
      </c>
    </row>
    <row r="657" spans="1:16">
      <c r="A657">
        <v>656</v>
      </c>
      <c r="B657" s="2">
        <v>40573</v>
      </c>
      <c r="C657">
        <v>1</v>
      </c>
      <c r="D657" t="s">
        <v>17</v>
      </c>
      <c r="E657" s="6" t="s">
        <v>18</v>
      </c>
      <c r="F657" s="151">
        <v>27.291666666666671</v>
      </c>
      <c r="G657" s="7" t="s">
        <v>36</v>
      </c>
      <c r="H657" s="7" t="s">
        <v>40</v>
      </c>
      <c r="I657" s="7" t="s">
        <v>38</v>
      </c>
      <c r="J657">
        <v>0.3</v>
      </c>
      <c r="K657" s="148">
        <v>0.33329999999999999</v>
      </c>
      <c r="L657">
        <v>0.56000000000000005</v>
      </c>
      <c r="M657" s="148">
        <v>0</v>
      </c>
      <c r="N657">
        <v>14</v>
      </c>
      <c r="O657">
        <v>95</v>
      </c>
      <c r="P657">
        <v>109</v>
      </c>
    </row>
    <row r="658" spans="1:16">
      <c r="A658">
        <v>657</v>
      </c>
      <c r="B658" s="2">
        <v>40573</v>
      </c>
      <c r="C658">
        <v>1</v>
      </c>
      <c r="D658" t="s">
        <v>17</v>
      </c>
      <c r="E658" s="6" t="s">
        <v>18</v>
      </c>
      <c r="F658" s="151">
        <v>27.333333333333329</v>
      </c>
      <c r="G658" s="7" t="s">
        <v>36</v>
      </c>
      <c r="H658" s="7" t="s">
        <v>40</v>
      </c>
      <c r="I658" s="7" t="s">
        <v>38</v>
      </c>
      <c r="J658">
        <v>0.3</v>
      </c>
      <c r="K658" s="148">
        <v>0.33329999999999999</v>
      </c>
      <c r="L658">
        <v>0.56000000000000005</v>
      </c>
      <c r="M658" s="148">
        <v>0</v>
      </c>
      <c r="N658">
        <v>19</v>
      </c>
      <c r="O658">
        <v>104</v>
      </c>
      <c r="P658">
        <v>123</v>
      </c>
    </row>
    <row r="659" spans="1:16">
      <c r="A659">
        <v>658</v>
      </c>
      <c r="B659" s="2">
        <v>40573</v>
      </c>
      <c r="C659">
        <v>1</v>
      </c>
      <c r="D659" t="s">
        <v>17</v>
      </c>
      <c r="E659" s="6" t="s">
        <v>18</v>
      </c>
      <c r="F659" s="151">
        <v>27.375</v>
      </c>
      <c r="G659" s="7" t="s">
        <v>36</v>
      </c>
      <c r="H659" s="7" t="s">
        <v>40</v>
      </c>
      <c r="I659" s="7" t="s">
        <v>38</v>
      </c>
      <c r="J659">
        <v>0.3</v>
      </c>
      <c r="K659" s="148">
        <v>0.28789999999999999</v>
      </c>
      <c r="L659">
        <v>0.56000000000000005</v>
      </c>
      <c r="M659" s="148">
        <v>0.19400000000000001</v>
      </c>
      <c r="N659">
        <v>6</v>
      </c>
      <c r="O659">
        <v>71</v>
      </c>
      <c r="P659">
        <v>77</v>
      </c>
    </row>
    <row r="660" spans="1:16">
      <c r="A660">
        <v>659</v>
      </c>
      <c r="B660" s="2">
        <v>40573</v>
      </c>
      <c r="C660">
        <v>1</v>
      </c>
      <c r="D660" t="s">
        <v>17</v>
      </c>
      <c r="E660" s="6" t="s">
        <v>18</v>
      </c>
      <c r="F660" s="151">
        <v>27.416666666666671</v>
      </c>
      <c r="G660" s="7" t="s">
        <v>36</v>
      </c>
      <c r="H660" s="7" t="s">
        <v>40</v>
      </c>
      <c r="I660" s="7" t="s">
        <v>38</v>
      </c>
      <c r="J660">
        <v>0.26</v>
      </c>
      <c r="K660" s="148">
        <v>0.2576</v>
      </c>
      <c r="L660">
        <v>0.65</v>
      </c>
      <c r="M660" s="148">
        <v>0.16420000000000001</v>
      </c>
      <c r="N660">
        <v>8</v>
      </c>
      <c r="O660">
        <v>57</v>
      </c>
      <c r="P660">
        <v>65</v>
      </c>
    </row>
    <row r="661" spans="1:16">
      <c r="A661">
        <v>660</v>
      </c>
      <c r="B661" s="2">
        <v>40573</v>
      </c>
      <c r="C661">
        <v>1</v>
      </c>
      <c r="D661" t="s">
        <v>17</v>
      </c>
      <c r="E661" s="6" t="s">
        <v>18</v>
      </c>
      <c r="F661" s="151">
        <v>27.458333333333329</v>
      </c>
      <c r="G661" s="7" t="s">
        <v>36</v>
      </c>
      <c r="H661" s="7" t="s">
        <v>40</v>
      </c>
      <c r="I661" s="7" t="s">
        <v>38</v>
      </c>
      <c r="J661">
        <v>0.26</v>
      </c>
      <c r="K661" s="148">
        <v>0.2576</v>
      </c>
      <c r="L661">
        <v>0.65</v>
      </c>
      <c r="M661" s="148">
        <v>0.19400000000000001</v>
      </c>
      <c r="N661">
        <v>9</v>
      </c>
      <c r="O661">
        <v>46</v>
      </c>
      <c r="P661">
        <v>55</v>
      </c>
    </row>
    <row r="662" spans="1:16">
      <c r="A662">
        <v>661</v>
      </c>
      <c r="B662" s="2">
        <v>40573</v>
      </c>
      <c r="C662">
        <v>1</v>
      </c>
      <c r="D662" t="s">
        <v>17</v>
      </c>
      <c r="E662" s="6" t="s">
        <v>18</v>
      </c>
      <c r="F662" s="151">
        <v>27.5</v>
      </c>
      <c r="G662" s="7" t="s">
        <v>36</v>
      </c>
      <c r="H662" s="7" t="s">
        <v>40</v>
      </c>
      <c r="I662" s="7" t="s">
        <v>39</v>
      </c>
      <c r="J662">
        <v>0.26</v>
      </c>
      <c r="K662" s="148">
        <v>0.2727</v>
      </c>
      <c r="L662">
        <v>0.65</v>
      </c>
      <c r="M662" s="148">
        <v>0.1045</v>
      </c>
      <c r="N662">
        <v>3</v>
      </c>
      <c r="O662">
        <v>30</v>
      </c>
      <c r="P662">
        <v>33</v>
      </c>
    </row>
    <row r="663" spans="1:16">
      <c r="A663">
        <v>662</v>
      </c>
      <c r="B663" s="2">
        <v>40573</v>
      </c>
      <c r="C663">
        <v>1</v>
      </c>
      <c r="D663" t="s">
        <v>17</v>
      </c>
      <c r="E663" s="6" t="s">
        <v>18</v>
      </c>
      <c r="F663" s="151">
        <v>27.541666666666671</v>
      </c>
      <c r="G663" s="7" t="s">
        <v>36</v>
      </c>
      <c r="H663" s="7" t="s">
        <v>40</v>
      </c>
      <c r="I663" s="7" t="s">
        <v>39</v>
      </c>
      <c r="J663">
        <v>0.24</v>
      </c>
      <c r="K663" s="148">
        <v>0.2424</v>
      </c>
      <c r="L663">
        <v>0.7</v>
      </c>
      <c r="M663" s="148">
        <v>0.16420000000000001</v>
      </c>
      <c r="N663">
        <v>3</v>
      </c>
      <c r="O663">
        <v>25</v>
      </c>
      <c r="P663">
        <v>28</v>
      </c>
    </row>
    <row r="664" spans="1:16">
      <c r="A664">
        <v>663</v>
      </c>
      <c r="B664" s="2">
        <v>40573</v>
      </c>
      <c r="C664">
        <v>1</v>
      </c>
      <c r="D664" t="s">
        <v>17</v>
      </c>
      <c r="E664" s="6" t="s">
        <v>18</v>
      </c>
      <c r="F664" s="151">
        <v>27.583333333333329</v>
      </c>
      <c r="G664" s="7" t="s">
        <v>36</v>
      </c>
      <c r="H664" s="7" t="s">
        <v>40</v>
      </c>
      <c r="I664" s="7" t="s">
        <v>39</v>
      </c>
      <c r="J664">
        <v>0.24</v>
      </c>
      <c r="K664" s="148">
        <v>0.2273</v>
      </c>
      <c r="L664">
        <v>0.7</v>
      </c>
      <c r="M664" s="148">
        <v>0.19400000000000001</v>
      </c>
      <c r="N664">
        <v>2</v>
      </c>
      <c r="O664">
        <v>19</v>
      </c>
      <c r="P664">
        <v>21</v>
      </c>
    </row>
    <row r="665" spans="1:16">
      <c r="A665">
        <v>664</v>
      </c>
      <c r="B665" s="2">
        <v>40573</v>
      </c>
      <c r="C665">
        <v>1</v>
      </c>
      <c r="D665" t="s">
        <v>17</v>
      </c>
      <c r="E665" s="6" t="s">
        <v>18</v>
      </c>
      <c r="F665" s="151">
        <v>27.625</v>
      </c>
      <c r="G665" s="7" t="s">
        <v>36</v>
      </c>
      <c r="H665" s="7" t="s">
        <v>40</v>
      </c>
      <c r="I665" s="7" t="s">
        <v>39</v>
      </c>
      <c r="J665">
        <v>0.24</v>
      </c>
      <c r="K665" s="148">
        <v>0.21210000000000001</v>
      </c>
      <c r="L665">
        <v>0.65</v>
      </c>
      <c r="M665" s="148">
        <v>0.28360000000000002</v>
      </c>
      <c r="N665">
        <v>5</v>
      </c>
      <c r="O665">
        <v>16</v>
      </c>
      <c r="P665">
        <v>21</v>
      </c>
    </row>
    <row r="666" spans="1:16">
      <c r="A666">
        <v>665</v>
      </c>
      <c r="B666" s="2">
        <v>40574</v>
      </c>
      <c r="C666">
        <v>1</v>
      </c>
      <c r="D666" t="s">
        <v>17</v>
      </c>
      <c r="E666" s="6" t="s">
        <v>18</v>
      </c>
      <c r="F666" s="151">
        <v>27.666666666666671</v>
      </c>
      <c r="G666" s="7" t="s">
        <v>36</v>
      </c>
      <c r="H666" s="7" t="s">
        <v>41</v>
      </c>
      <c r="I666" s="7" t="s">
        <v>39</v>
      </c>
      <c r="J666">
        <v>0.24</v>
      </c>
      <c r="K666" s="148">
        <v>0.2273</v>
      </c>
      <c r="L666">
        <v>0.65</v>
      </c>
      <c r="M666" s="148">
        <v>0.22389999999999999</v>
      </c>
      <c r="N666">
        <v>1</v>
      </c>
      <c r="O666">
        <v>6</v>
      </c>
      <c r="P666">
        <v>7</v>
      </c>
    </row>
    <row r="667" spans="1:16">
      <c r="A667">
        <v>666</v>
      </c>
      <c r="B667" s="2">
        <v>40574</v>
      </c>
      <c r="C667">
        <v>1</v>
      </c>
      <c r="D667" t="s">
        <v>17</v>
      </c>
      <c r="E667" s="6" t="s">
        <v>18</v>
      </c>
      <c r="F667" s="151">
        <v>27.708333333333329</v>
      </c>
      <c r="G667" s="7" t="s">
        <v>36</v>
      </c>
      <c r="H667" s="7" t="s">
        <v>41</v>
      </c>
      <c r="I667" s="7" t="s">
        <v>38</v>
      </c>
      <c r="J667">
        <v>0.22</v>
      </c>
      <c r="K667" s="148">
        <v>0.21210000000000001</v>
      </c>
      <c r="L667">
        <v>0.64</v>
      </c>
      <c r="M667" s="148">
        <v>0.25369999999999998</v>
      </c>
      <c r="N667">
        <v>2</v>
      </c>
      <c r="O667">
        <v>5</v>
      </c>
      <c r="P667">
        <v>7</v>
      </c>
    </row>
    <row r="668" spans="1:16">
      <c r="A668">
        <v>667</v>
      </c>
      <c r="B668" s="2">
        <v>40574</v>
      </c>
      <c r="C668">
        <v>1</v>
      </c>
      <c r="D668" t="s">
        <v>17</v>
      </c>
      <c r="E668" s="6" t="s">
        <v>18</v>
      </c>
      <c r="F668" s="151">
        <v>27.75</v>
      </c>
      <c r="G668" s="7" t="s">
        <v>36</v>
      </c>
      <c r="H668" s="7" t="s">
        <v>41</v>
      </c>
      <c r="I668" s="7" t="s">
        <v>38</v>
      </c>
      <c r="J668">
        <v>0.22</v>
      </c>
      <c r="K668" s="148">
        <v>0.2273</v>
      </c>
      <c r="L668">
        <v>0.64</v>
      </c>
      <c r="M668" s="148">
        <v>0.19400000000000001</v>
      </c>
      <c r="N668">
        <v>0</v>
      </c>
      <c r="O668">
        <v>1</v>
      </c>
      <c r="P668">
        <v>1</v>
      </c>
    </row>
    <row r="669" spans="1:16">
      <c r="A669">
        <v>668</v>
      </c>
      <c r="B669" s="2">
        <v>40574</v>
      </c>
      <c r="C669">
        <v>1</v>
      </c>
      <c r="D669" t="s">
        <v>17</v>
      </c>
      <c r="E669" s="6" t="s">
        <v>18</v>
      </c>
      <c r="F669" s="151">
        <v>27.791666666666671</v>
      </c>
      <c r="G669" s="7" t="s">
        <v>36</v>
      </c>
      <c r="H669" s="7" t="s">
        <v>41</v>
      </c>
      <c r="I669" s="7" t="s">
        <v>38</v>
      </c>
      <c r="J669">
        <v>0.22</v>
      </c>
      <c r="K669" s="148">
        <v>0.2273</v>
      </c>
      <c r="L669">
        <v>0.64</v>
      </c>
      <c r="M669" s="148">
        <v>0.19400000000000001</v>
      </c>
      <c r="N669">
        <v>0</v>
      </c>
      <c r="O669">
        <v>2</v>
      </c>
      <c r="P669">
        <v>2</v>
      </c>
    </row>
    <row r="670" spans="1:16">
      <c r="A670">
        <v>669</v>
      </c>
      <c r="B670" s="2">
        <v>40574</v>
      </c>
      <c r="C670">
        <v>1</v>
      </c>
      <c r="D670" t="s">
        <v>17</v>
      </c>
      <c r="E670" s="6" t="s">
        <v>18</v>
      </c>
      <c r="F670" s="151">
        <v>27.833333333333329</v>
      </c>
      <c r="G670" s="7" t="s">
        <v>36</v>
      </c>
      <c r="H670" s="7" t="s">
        <v>41</v>
      </c>
      <c r="I670" s="7" t="s">
        <v>38</v>
      </c>
      <c r="J670">
        <v>0.2</v>
      </c>
      <c r="K670" s="148">
        <v>0.19700000000000001</v>
      </c>
      <c r="L670">
        <v>0.59</v>
      </c>
      <c r="M670" s="148">
        <v>0.22389999999999999</v>
      </c>
      <c r="N670">
        <v>0</v>
      </c>
      <c r="O670">
        <v>2</v>
      </c>
      <c r="P670">
        <v>2</v>
      </c>
    </row>
    <row r="671" spans="1:16">
      <c r="A671">
        <v>670</v>
      </c>
      <c r="B671" s="2">
        <v>40574</v>
      </c>
      <c r="C671">
        <v>1</v>
      </c>
      <c r="D671" t="s">
        <v>17</v>
      </c>
      <c r="E671" s="6" t="s">
        <v>18</v>
      </c>
      <c r="F671" s="151">
        <v>27.875</v>
      </c>
      <c r="G671" s="7" t="s">
        <v>36</v>
      </c>
      <c r="H671" s="7" t="s">
        <v>41</v>
      </c>
      <c r="I671" s="7" t="s">
        <v>38</v>
      </c>
      <c r="J671">
        <v>0.18</v>
      </c>
      <c r="K671" s="148">
        <v>0.16669999999999999</v>
      </c>
      <c r="L671">
        <v>0.64</v>
      </c>
      <c r="M671" s="148">
        <v>0.28360000000000002</v>
      </c>
      <c r="N671">
        <v>0</v>
      </c>
      <c r="O671">
        <v>8</v>
      </c>
      <c r="P671">
        <v>8</v>
      </c>
    </row>
    <row r="672" spans="1:16">
      <c r="A672">
        <v>671</v>
      </c>
      <c r="B672" s="2">
        <v>40574</v>
      </c>
      <c r="C672">
        <v>1</v>
      </c>
      <c r="D672" t="s">
        <v>17</v>
      </c>
      <c r="E672" s="6" t="s">
        <v>18</v>
      </c>
      <c r="F672" s="151">
        <v>27.916666666666671</v>
      </c>
      <c r="G672" s="7" t="s">
        <v>36</v>
      </c>
      <c r="H672" s="7" t="s">
        <v>41</v>
      </c>
      <c r="I672" s="7" t="s">
        <v>38</v>
      </c>
      <c r="J672">
        <v>0.16</v>
      </c>
      <c r="K672" s="148">
        <v>0.13639999999999999</v>
      </c>
      <c r="L672">
        <v>0.69</v>
      </c>
      <c r="M672" s="148">
        <v>0.32840000000000003</v>
      </c>
      <c r="N672">
        <v>0</v>
      </c>
      <c r="O672">
        <v>37</v>
      </c>
      <c r="P672">
        <v>37</v>
      </c>
    </row>
    <row r="673" spans="1:16">
      <c r="A673">
        <v>672</v>
      </c>
      <c r="B673" s="2">
        <v>40574</v>
      </c>
      <c r="C673">
        <v>1</v>
      </c>
      <c r="D673" t="s">
        <v>17</v>
      </c>
      <c r="E673" s="6" t="s">
        <v>18</v>
      </c>
      <c r="F673" s="151">
        <v>27.958333333333329</v>
      </c>
      <c r="G673" s="7" t="s">
        <v>36</v>
      </c>
      <c r="H673" s="7" t="s">
        <v>41</v>
      </c>
      <c r="I673" s="7" t="s">
        <v>39</v>
      </c>
      <c r="J673">
        <v>0.16</v>
      </c>
      <c r="K673" s="148">
        <v>0.13639999999999999</v>
      </c>
      <c r="L673">
        <v>0.64</v>
      </c>
      <c r="M673" s="148">
        <v>0.28360000000000002</v>
      </c>
      <c r="N673">
        <v>1</v>
      </c>
      <c r="O673">
        <v>71</v>
      </c>
      <c r="P673">
        <v>72</v>
      </c>
    </row>
    <row r="674" spans="1:16">
      <c r="A674">
        <v>673</v>
      </c>
      <c r="B674" s="2">
        <v>40574</v>
      </c>
      <c r="C674">
        <v>1</v>
      </c>
      <c r="D674" t="s">
        <v>17</v>
      </c>
      <c r="E674" s="6" t="s">
        <v>18</v>
      </c>
      <c r="F674" s="151">
        <v>28</v>
      </c>
      <c r="G674" s="7" t="s">
        <v>36</v>
      </c>
      <c r="H674" s="7" t="s">
        <v>41</v>
      </c>
      <c r="I674" s="7" t="s">
        <v>39</v>
      </c>
      <c r="J674">
        <v>0.16</v>
      </c>
      <c r="K674" s="148">
        <v>0.13639999999999999</v>
      </c>
      <c r="L674">
        <v>0.59</v>
      </c>
      <c r="M674" s="148">
        <v>0.28360000000000002</v>
      </c>
      <c r="N674">
        <v>3</v>
      </c>
      <c r="O674">
        <v>182</v>
      </c>
      <c r="P674">
        <v>185</v>
      </c>
    </row>
    <row r="675" spans="1:16">
      <c r="A675">
        <v>674</v>
      </c>
      <c r="B675" s="2">
        <v>40574</v>
      </c>
      <c r="C675">
        <v>1</v>
      </c>
      <c r="D675" t="s">
        <v>17</v>
      </c>
      <c r="E675" s="6" t="s">
        <v>18</v>
      </c>
      <c r="F675" s="151">
        <v>28.041666666666671</v>
      </c>
      <c r="G675" s="7" t="s">
        <v>36</v>
      </c>
      <c r="H675" s="7" t="s">
        <v>41</v>
      </c>
      <c r="I675" s="7" t="s">
        <v>39</v>
      </c>
      <c r="J675">
        <v>0.16</v>
      </c>
      <c r="K675" s="148">
        <v>0.13639999999999999</v>
      </c>
      <c r="L675">
        <v>0.59</v>
      </c>
      <c r="M675" s="148">
        <v>0.29849999999999999</v>
      </c>
      <c r="N675">
        <v>0</v>
      </c>
      <c r="O675">
        <v>112</v>
      </c>
      <c r="P675">
        <v>112</v>
      </c>
    </row>
    <row r="676" spans="1:16">
      <c r="A676">
        <v>675</v>
      </c>
      <c r="B676" s="2">
        <v>40574</v>
      </c>
      <c r="C676">
        <v>1</v>
      </c>
      <c r="D676" t="s">
        <v>17</v>
      </c>
      <c r="E676" s="6" t="s">
        <v>18</v>
      </c>
      <c r="F676" s="151">
        <v>28.083333333333329</v>
      </c>
      <c r="G676" s="7" t="s">
        <v>36</v>
      </c>
      <c r="H676" s="7" t="s">
        <v>41</v>
      </c>
      <c r="I676" s="7" t="s">
        <v>39</v>
      </c>
      <c r="J676">
        <v>0.16</v>
      </c>
      <c r="K676" s="148">
        <v>0.1515</v>
      </c>
      <c r="L676">
        <v>0.59</v>
      </c>
      <c r="M676" s="148">
        <v>0.19400000000000001</v>
      </c>
      <c r="N676">
        <v>1</v>
      </c>
      <c r="O676">
        <v>68</v>
      </c>
      <c r="P676">
        <v>69</v>
      </c>
    </row>
    <row r="677" spans="1:16">
      <c r="A677">
        <v>676</v>
      </c>
      <c r="B677" s="2">
        <v>40574</v>
      </c>
      <c r="C677">
        <v>1</v>
      </c>
      <c r="D677" t="s">
        <v>17</v>
      </c>
      <c r="E677" s="6" t="s">
        <v>18</v>
      </c>
      <c r="F677" s="151">
        <v>28.125</v>
      </c>
      <c r="G677" s="7" t="s">
        <v>36</v>
      </c>
      <c r="H677" s="7" t="s">
        <v>41</v>
      </c>
      <c r="I677" s="7" t="s">
        <v>39</v>
      </c>
      <c r="J677">
        <v>0.16</v>
      </c>
      <c r="K677" s="148">
        <v>0.1515</v>
      </c>
      <c r="L677">
        <v>0.59</v>
      </c>
      <c r="M677" s="148">
        <v>0.19400000000000001</v>
      </c>
      <c r="N677">
        <v>2</v>
      </c>
      <c r="O677">
        <v>46</v>
      </c>
      <c r="P677">
        <v>48</v>
      </c>
    </row>
    <row r="678" spans="1:16">
      <c r="A678">
        <v>677</v>
      </c>
      <c r="B678" s="2">
        <v>40574</v>
      </c>
      <c r="C678">
        <v>1</v>
      </c>
      <c r="D678" t="s">
        <v>17</v>
      </c>
      <c r="E678" s="6" t="s">
        <v>18</v>
      </c>
      <c r="F678" s="151">
        <v>28.166666666666671</v>
      </c>
      <c r="G678" s="7" t="s">
        <v>36</v>
      </c>
      <c r="H678" s="7" t="s">
        <v>41</v>
      </c>
      <c r="I678" s="7" t="s">
        <v>39</v>
      </c>
      <c r="J678">
        <v>0.18</v>
      </c>
      <c r="K678" s="148">
        <v>0.21210000000000001</v>
      </c>
      <c r="L678">
        <v>0.55000000000000004</v>
      </c>
      <c r="M678" s="148">
        <v>0.1045</v>
      </c>
      <c r="N678">
        <v>6</v>
      </c>
      <c r="O678">
        <v>62</v>
      </c>
      <c r="P678">
        <v>68</v>
      </c>
    </row>
    <row r="679" spans="1:16">
      <c r="A679">
        <v>678</v>
      </c>
      <c r="B679" s="2">
        <v>40574</v>
      </c>
      <c r="C679">
        <v>1</v>
      </c>
      <c r="D679" t="s">
        <v>17</v>
      </c>
      <c r="E679" s="6" t="s">
        <v>18</v>
      </c>
      <c r="F679" s="151">
        <v>28.208333333333329</v>
      </c>
      <c r="G679" s="7" t="s">
        <v>36</v>
      </c>
      <c r="H679" s="7" t="s">
        <v>41</v>
      </c>
      <c r="I679" s="7" t="s">
        <v>39</v>
      </c>
      <c r="J679">
        <v>0.16</v>
      </c>
      <c r="K679" s="148">
        <v>0.2273</v>
      </c>
      <c r="L679">
        <v>0.59</v>
      </c>
      <c r="M679" s="148">
        <v>0</v>
      </c>
      <c r="N679">
        <v>2</v>
      </c>
      <c r="O679">
        <v>52</v>
      </c>
      <c r="P679">
        <v>54</v>
      </c>
    </row>
    <row r="680" spans="1:16">
      <c r="A680">
        <v>679</v>
      </c>
      <c r="B680" s="2">
        <v>40574</v>
      </c>
      <c r="C680">
        <v>1</v>
      </c>
      <c r="D680" t="s">
        <v>17</v>
      </c>
      <c r="E680" s="6" t="s">
        <v>18</v>
      </c>
      <c r="F680" s="151">
        <v>28.25</v>
      </c>
      <c r="G680" s="7" t="s">
        <v>36</v>
      </c>
      <c r="H680" s="7" t="s">
        <v>41</v>
      </c>
      <c r="I680" s="7" t="s">
        <v>39</v>
      </c>
      <c r="J680">
        <v>0.18</v>
      </c>
      <c r="K680" s="148">
        <v>0.19700000000000001</v>
      </c>
      <c r="L680">
        <v>0.55000000000000004</v>
      </c>
      <c r="M680" s="148">
        <v>0.1343</v>
      </c>
      <c r="N680">
        <v>1</v>
      </c>
      <c r="O680">
        <v>85</v>
      </c>
      <c r="P680">
        <v>86</v>
      </c>
    </row>
    <row r="681" spans="1:16">
      <c r="A681">
        <v>680</v>
      </c>
      <c r="B681" s="2">
        <v>40574</v>
      </c>
      <c r="C681">
        <v>1</v>
      </c>
      <c r="D681" t="s">
        <v>17</v>
      </c>
      <c r="E681" s="6" t="s">
        <v>18</v>
      </c>
      <c r="F681" s="151">
        <v>28.291666666666671</v>
      </c>
      <c r="G681" s="7" t="s">
        <v>36</v>
      </c>
      <c r="H681" s="7" t="s">
        <v>41</v>
      </c>
      <c r="I681" s="7" t="s">
        <v>39</v>
      </c>
      <c r="J681">
        <v>0.16</v>
      </c>
      <c r="K681" s="148">
        <v>0.18179999999999999</v>
      </c>
      <c r="L681">
        <v>0.59</v>
      </c>
      <c r="M681" s="148">
        <v>0.1343</v>
      </c>
      <c r="N681">
        <v>3</v>
      </c>
      <c r="O681">
        <v>41</v>
      </c>
      <c r="P681">
        <v>44</v>
      </c>
    </row>
    <row r="682" spans="1:16">
      <c r="A682">
        <v>681</v>
      </c>
      <c r="B682" s="2">
        <v>40574</v>
      </c>
      <c r="C682">
        <v>1</v>
      </c>
      <c r="D682" t="s">
        <v>17</v>
      </c>
      <c r="E682" s="6" t="s">
        <v>18</v>
      </c>
      <c r="F682" s="151">
        <v>28.333333333333329</v>
      </c>
      <c r="G682" s="7" t="s">
        <v>36</v>
      </c>
      <c r="H682" s="7" t="s">
        <v>41</v>
      </c>
      <c r="I682" s="7" t="s">
        <v>39</v>
      </c>
      <c r="J682">
        <v>0.16</v>
      </c>
      <c r="K682" s="148">
        <v>0.18179999999999999</v>
      </c>
      <c r="L682">
        <v>0.56000000000000005</v>
      </c>
      <c r="M682" s="148">
        <v>0.19400000000000001</v>
      </c>
      <c r="N682">
        <v>3</v>
      </c>
      <c r="O682">
        <v>83</v>
      </c>
      <c r="P682">
        <v>86</v>
      </c>
    </row>
    <row r="683" spans="1:16">
      <c r="A683">
        <v>682</v>
      </c>
      <c r="B683" s="2">
        <v>40574</v>
      </c>
      <c r="C683">
        <v>1</v>
      </c>
      <c r="D683" t="s">
        <v>17</v>
      </c>
      <c r="E683" s="6" t="s">
        <v>18</v>
      </c>
      <c r="F683" s="151">
        <v>28.375</v>
      </c>
      <c r="G683" s="7" t="s">
        <v>36</v>
      </c>
      <c r="H683" s="7" t="s">
        <v>41</v>
      </c>
      <c r="I683" s="7" t="s">
        <v>39</v>
      </c>
      <c r="J683">
        <v>0.16</v>
      </c>
      <c r="K683" s="148">
        <v>0.1515</v>
      </c>
      <c r="L683">
        <v>0.59</v>
      </c>
      <c r="M683" s="148">
        <v>0.19400000000000001</v>
      </c>
      <c r="N683">
        <v>6</v>
      </c>
      <c r="O683">
        <v>155</v>
      </c>
      <c r="P683">
        <v>161</v>
      </c>
    </row>
    <row r="684" spans="1:16">
      <c r="A684">
        <v>683</v>
      </c>
      <c r="B684" s="2">
        <v>40574</v>
      </c>
      <c r="C684">
        <v>1</v>
      </c>
      <c r="D684" t="s">
        <v>17</v>
      </c>
      <c r="E684" s="6" t="s">
        <v>18</v>
      </c>
      <c r="F684" s="151">
        <v>28.416666666666671</v>
      </c>
      <c r="G684" s="7" t="s">
        <v>36</v>
      </c>
      <c r="H684" s="7" t="s">
        <v>41</v>
      </c>
      <c r="I684" s="7" t="s">
        <v>39</v>
      </c>
      <c r="J684">
        <v>0.16</v>
      </c>
      <c r="K684" s="148">
        <v>0.1515</v>
      </c>
      <c r="L684">
        <v>0.55000000000000004</v>
      </c>
      <c r="M684" s="148">
        <v>0.22389999999999999</v>
      </c>
      <c r="N684">
        <v>3</v>
      </c>
      <c r="O684">
        <v>153</v>
      </c>
      <c r="P684">
        <v>156</v>
      </c>
    </row>
    <row r="685" spans="1:16">
      <c r="A685">
        <v>684</v>
      </c>
      <c r="B685" s="2">
        <v>40574</v>
      </c>
      <c r="C685">
        <v>1</v>
      </c>
      <c r="D685" t="s">
        <v>17</v>
      </c>
      <c r="E685" s="6" t="s">
        <v>18</v>
      </c>
      <c r="F685" s="151">
        <v>28.458333333333329</v>
      </c>
      <c r="G685" s="7" t="s">
        <v>36</v>
      </c>
      <c r="H685" s="7" t="s">
        <v>41</v>
      </c>
      <c r="I685" s="7" t="s">
        <v>38</v>
      </c>
      <c r="J685">
        <v>0.3</v>
      </c>
      <c r="K685" s="148">
        <v>0.31819999999999998</v>
      </c>
      <c r="L685">
        <v>0.61</v>
      </c>
      <c r="M685" s="148">
        <v>0.1045</v>
      </c>
      <c r="N685">
        <v>3</v>
      </c>
      <c r="O685">
        <v>108</v>
      </c>
      <c r="P685">
        <v>111</v>
      </c>
    </row>
    <row r="686" spans="1:16">
      <c r="A686">
        <v>685</v>
      </c>
      <c r="B686" s="2">
        <v>40574</v>
      </c>
      <c r="C686">
        <v>1</v>
      </c>
      <c r="D686" t="s">
        <v>17</v>
      </c>
      <c r="E686" s="6" t="s">
        <v>18</v>
      </c>
      <c r="F686" s="151">
        <v>28.5</v>
      </c>
      <c r="G686" s="7" t="s">
        <v>36</v>
      </c>
      <c r="H686" s="7" t="s">
        <v>41</v>
      </c>
      <c r="I686" s="7" t="s">
        <v>45</v>
      </c>
      <c r="J686">
        <v>0.16</v>
      </c>
      <c r="K686" s="148">
        <v>0.16669999999999999</v>
      </c>
      <c r="L686">
        <v>0.59</v>
      </c>
      <c r="M686" s="148">
        <v>0.16420000000000001</v>
      </c>
      <c r="N686">
        <v>0</v>
      </c>
      <c r="O686">
        <v>78</v>
      </c>
      <c r="P686">
        <v>78</v>
      </c>
    </row>
    <row r="687" spans="1:16">
      <c r="A687">
        <v>686</v>
      </c>
      <c r="B687" s="2">
        <v>40574</v>
      </c>
      <c r="C687">
        <v>1</v>
      </c>
      <c r="D687" t="s">
        <v>17</v>
      </c>
      <c r="E687" s="6" t="s">
        <v>18</v>
      </c>
      <c r="F687" s="151">
        <v>28.541666666666671</v>
      </c>
      <c r="G687" s="7" t="s">
        <v>36</v>
      </c>
      <c r="H687" s="7" t="s">
        <v>41</v>
      </c>
      <c r="I687" s="7" t="s">
        <v>45</v>
      </c>
      <c r="J687">
        <v>0.16</v>
      </c>
      <c r="K687" s="148">
        <v>0.19700000000000001</v>
      </c>
      <c r="L687">
        <v>0.59</v>
      </c>
      <c r="M687" s="148">
        <v>8.9599999999999999E-2</v>
      </c>
      <c r="N687">
        <v>3</v>
      </c>
      <c r="O687">
        <v>53</v>
      </c>
      <c r="P687">
        <v>56</v>
      </c>
    </row>
    <row r="688" spans="1:16">
      <c r="A688">
        <v>687</v>
      </c>
      <c r="B688" s="2">
        <v>40574</v>
      </c>
      <c r="C688">
        <v>1</v>
      </c>
      <c r="D688" t="s">
        <v>17</v>
      </c>
      <c r="E688" s="6" t="s">
        <v>18</v>
      </c>
      <c r="F688" s="151">
        <v>28.583333333333329</v>
      </c>
      <c r="G688" s="7" t="s">
        <v>36</v>
      </c>
      <c r="H688" s="7" t="s">
        <v>41</v>
      </c>
      <c r="I688" s="7" t="s">
        <v>39</v>
      </c>
      <c r="J688">
        <v>0.16</v>
      </c>
      <c r="K688" s="148">
        <v>0.18179999999999999</v>
      </c>
      <c r="L688">
        <v>0.59</v>
      </c>
      <c r="M688" s="148">
        <v>0.1045</v>
      </c>
      <c r="N688">
        <v>0</v>
      </c>
      <c r="O688">
        <v>34</v>
      </c>
      <c r="P688">
        <v>34</v>
      </c>
    </row>
    <row r="689" spans="1:16">
      <c r="A689">
        <v>688</v>
      </c>
      <c r="B689" s="2">
        <v>40574</v>
      </c>
      <c r="C689">
        <v>1</v>
      </c>
      <c r="D689" t="s">
        <v>17</v>
      </c>
      <c r="E689" s="6" t="s">
        <v>18</v>
      </c>
      <c r="F689" s="151">
        <v>28.625</v>
      </c>
      <c r="G689" s="7" t="s">
        <v>36</v>
      </c>
      <c r="H689" s="7" t="s">
        <v>41</v>
      </c>
      <c r="I689" s="7" t="s">
        <v>39</v>
      </c>
      <c r="J689">
        <v>0.16</v>
      </c>
      <c r="K689" s="148">
        <v>0.19700000000000001</v>
      </c>
      <c r="L689">
        <v>0.64</v>
      </c>
      <c r="M689" s="148">
        <v>8.9599999999999999E-2</v>
      </c>
      <c r="N689">
        <v>2</v>
      </c>
      <c r="O689">
        <v>15</v>
      </c>
      <c r="P689">
        <v>17</v>
      </c>
    </row>
    <row r="690" spans="1:16">
      <c r="A690">
        <v>689</v>
      </c>
      <c r="B690" s="2">
        <v>40575</v>
      </c>
      <c r="C690">
        <v>1</v>
      </c>
      <c r="D690" t="s">
        <v>17</v>
      </c>
      <c r="E690" s="6" t="s">
        <v>19</v>
      </c>
      <c r="F690" s="151">
        <v>28.666666666666671</v>
      </c>
      <c r="G690" s="7" t="s">
        <v>36</v>
      </c>
      <c r="H690" s="7" t="s">
        <v>42</v>
      </c>
      <c r="I690" s="7" t="s">
        <v>39</v>
      </c>
      <c r="J690">
        <v>0.16</v>
      </c>
      <c r="K690" s="148">
        <v>0.18179999999999999</v>
      </c>
      <c r="L690">
        <v>0.64</v>
      </c>
      <c r="M690" s="148">
        <v>0.1045</v>
      </c>
      <c r="N690">
        <v>2</v>
      </c>
      <c r="O690">
        <v>6</v>
      </c>
      <c r="P690">
        <v>8</v>
      </c>
    </row>
    <row r="691" spans="1:16">
      <c r="A691">
        <v>690</v>
      </c>
      <c r="B691" s="2">
        <v>40575</v>
      </c>
      <c r="C691">
        <v>1</v>
      </c>
      <c r="D691" t="s">
        <v>17</v>
      </c>
      <c r="E691" s="6" t="s">
        <v>19</v>
      </c>
      <c r="F691" s="151">
        <v>28.708333333333329</v>
      </c>
      <c r="G691" s="7" t="s">
        <v>36</v>
      </c>
      <c r="H691" s="7" t="s">
        <v>42</v>
      </c>
      <c r="I691" s="7" t="s">
        <v>39</v>
      </c>
      <c r="J691">
        <v>0.16</v>
      </c>
      <c r="K691" s="148">
        <v>0.18179999999999999</v>
      </c>
      <c r="L691">
        <v>0.69</v>
      </c>
      <c r="M691" s="148">
        <v>0.1045</v>
      </c>
      <c r="N691">
        <v>0</v>
      </c>
      <c r="O691">
        <v>3</v>
      </c>
      <c r="P691">
        <v>3</v>
      </c>
    </row>
    <row r="692" spans="1:16">
      <c r="A692">
        <v>691</v>
      </c>
      <c r="B692" s="2">
        <v>40575</v>
      </c>
      <c r="C692">
        <v>1</v>
      </c>
      <c r="D692" t="s">
        <v>17</v>
      </c>
      <c r="E692" s="6" t="s">
        <v>19</v>
      </c>
      <c r="F692" s="151">
        <v>28.75</v>
      </c>
      <c r="G692" s="7" t="s">
        <v>36</v>
      </c>
      <c r="H692" s="7" t="s">
        <v>42</v>
      </c>
      <c r="I692" s="7" t="s">
        <v>39</v>
      </c>
      <c r="J692">
        <v>0.16</v>
      </c>
      <c r="K692" s="148">
        <v>0.2273</v>
      </c>
      <c r="L692">
        <v>0.69</v>
      </c>
      <c r="M692" s="148">
        <v>0</v>
      </c>
      <c r="N692">
        <v>0</v>
      </c>
      <c r="O692">
        <v>2</v>
      </c>
      <c r="P692">
        <v>2</v>
      </c>
    </row>
    <row r="693" spans="1:16">
      <c r="A693">
        <v>692</v>
      </c>
      <c r="B693" s="2">
        <v>40575</v>
      </c>
      <c r="C693">
        <v>1</v>
      </c>
      <c r="D693" t="s">
        <v>17</v>
      </c>
      <c r="E693" s="6" t="s">
        <v>19</v>
      </c>
      <c r="F693" s="151">
        <v>28.791666666666671</v>
      </c>
      <c r="G693" s="7" t="s">
        <v>36</v>
      </c>
      <c r="H693" s="7" t="s">
        <v>42</v>
      </c>
      <c r="I693" s="7" t="s">
        <v>39</v>
      </c>
      <c r="J693">
        <v>0.16</v>
      </c>
      <c r="K693" s="148">
        <v>0.2273</v>
      </c>
      <c r="L693">
        <v>0.69</v>
      </c>
      <c r="M693" s="148">
        <v>0</v>
      </c>
      <c r="N693">
        <v>0</v>
      </c>
      <c r="O693">
        <v>2</v>
      </c>
      <c r="P693">
        <v>2</v>
      </c>
    </row>
    <row r="694" spans="1:16">
      <c r="A694">
        <v>693</v>
      </c>
      <c r="B694" s="2">
        <v>40575</v>
      </c>
      <c r="C694">
        <v>1</v>
      </c>
      <c r="D694" t="s">
        <v>17</v>
      </c>
      <c r="E694" s="6" t="s">
        <v>19</v>
      </c>
      <c r="F694" s="151">
        <v>28.833333333333329</v>
      </c>
      <c r="G694" s="7" t="s">
        <v>36</v>
      </c>
      <c r="H694" s="7" t="s">
        <v>42</v>
      </c>
      <c r="I694" s="7" t="s">
        <v>45</v>
      </c>
      <c r="J694">
        <v>0.14000000000000001</v>
      </c>
      <c r="K694" s="148">
        <v>0.21210000000000001</v>
      </c>
      <c r="L694">
        <v>0.93</v>
      </c>
      <c r="M694" s="148">
        <v>0</v>
      </c>
      <c r="N694">
        <v>0</v>
      </c>
      <c r="O694">
        <v>3</v>
      </c>
      <c r="P694">
        <v>3</v>
      </c>
    </row>
    <row r="695" spans="1:16">
      <c r="A695">
        <v>694</v>
      </c>
      <c r="B695" s="2">
        <v>40575</v>
      </c>
      <c r="C695">
        <v>1</v>
      </c>
      <c r="D695" t="s">
        <v>17</v>
      </c>
      <c r="E695" s="6" t="s">
        <v>19</v>
      </c>
      <c r="F695" s="151">
        <v>28.875</v>
      </c>
      <c r="G695" s="7" t="s">
        <v>36</v>
      </c>
      <c r="H695" s="7" t="s">
        <v>42</v>
      </c>
      <c r="I695" s="7" t="s">
        <v>45</v>
      </c>
      <c r="J695">
        <v>0.14000000000000001</v>
      </c>
      <c r="K695" s="148">
        <v>0.21210000000000001</v>
      </c>
      <c r="L695">
        <v>0.93</v>
      </c>
      <c r="M695" s="148">
        <v>0</v>
      </c>
      <c r="N695">
        <v>0</v>
      </c>
      <c r="O695">
        <v>22</v>
      </c>
      <c r="P695">
        <v>22</v>
      </c>
    </row>
    <row r="696" spans="1:16">
      <c r="A696">
        <v>695</v>
      </c>
      <c r="B696" s="2">
        <v>40575</v>
      </c>
      <c r="C696">
        <v>1</v>
      </c>
      <c r="D696" t="s">
        <v>17</v>
      </c>
      <c r="E696" s="6" t="s">
        <v>19</v>
      </c>
      <c r="F696" s="151">
        <v>28.916666666666671</v>
      </c>
      <c r="G696" s="7" t="s">
        <v>36</v>
      </c>
      <c r="H696" s="7" t="s">
        <v>42</v>
      </c>
      <c r="I696" s="7" t="s">
        <v>45</v>
      </c>
      <c r="J696">
        <v>0.16</v>
      </c>
      <c r="K696" s="148">
        <v>0.2273</v>
      </c>
      <c r="L696">
        <v>0.93</v>
      </c>
      <c r="M696" s="148">
        <v>0</v>
      </c>
      <c r="N696">
        <v>0</v>
      </c>
      <c r="O696">
        <v>52</v>
      </c>
      <c r="P696">
        <v>52</v>
      </c>
    </row>
    <row r="697" spans="1:16">
      <c r="A697">
        <v>696</v>
      </c>
      <c r="B697" s="2">
        <v>40575</v>
      </c>
      <c r="C697">
        <v>1</v>
      </c>
      <c r="D697" t="s">
        <v>17</v>
      </c>
      <c r="E697" s="6" t="s">
        <v>19</v>
      </c>
      <c r="F697" s="151">
        <v>28.958333333333329</v>
      </c>
      <c r="G697" s="7" t="s">
        <v>36</v>
      </c>
      <c r="H697" s="7" t="s">
        <v>42</v>
      </c>
      <c r="I697" s="7" t="s">
        <v>45</v>
      </c>
      <c r="J697">
        <v>0.16</v>
      </c>
      <c r="K697" s="148">
        <v>0.2273</v>
      </c>
      <c r="L697">
        <v>0.93</v>
      </c>
      <c r="M697" s="148">
        <v>0</v>
      </c>
      <c r="N697">
        <v>3</v>
      </c>
      <c r="O697">
        <v>132</v>
      </c>
      <c r="P697">
        <v>135</v>
      </c>
    </row>
    <row r="698" spans="1:16">
      <c r="A698">
        <v>697</v>
      </c>
      <c r="B698" s="2">
        <v>40575</v>
      </c>
      <c r="C698">
        <v>1</v>
      </c>
      <c r="D698" t="s">
        <v>17</v>
      </c>
      <c r="E698" s="6" t="s">
        <v>19</v>
      </c>
      <c r="F698" s="151">
        <v>29</v>
      </c>
      <c r="G698" s="7" t="s">
        <v>36</v>
      </c>
      <c r="H698" s="7" t="s">
        <v>42</v>
      </c>
      <c r="I698" s="7" t="s">
        <v>39</v>
      </c>
      <c r="J698">
        <v>0.16</v>
      </c>
      <c r="K698" s="148">
        <v>0.2273</v>
      </c>
      <c r="L698">
        <v>0.93</v>
      </c>
      <c r="M698" s="148">
        <v>0</v>
      </c>
      <c r="N698">
        <v>2</v>
      </c>
      <c r="O698">
        <v>114</v>
      </c>
      <c r="P698">
        <v>116</v>
      </c>
    </row>
    <row r="699" spans="1:16">
      <c r="A699">
        <v>698</v>
      </c>
      <c r="B699" s="2">
        <v>40575</v>
      </c>
      <c r="C699">
        <v>1</v>
      </c>
      <c r="D699" t="s">
        <v>17</v>
      </c>
      <c r="E699" s="6" t="s">
        <v>19</v>
      </c>
      <c r="F699" s="151">
        <v>29.041666666666671</v>
      </c>
      <c r="G699" s="7" t="s">
        <v>36</v>
      </c>
      <c r="H699" s="7" t="s">
        <v>42</v>
      </c>
      <c r="I699" s="7" t="s">
        <v>39</v>
      </c>
      <c r="J699">
        <v>0.16</v>
      </c>
      <c r="K699" s="148">
        <v>0.2273</v>
      </c>
      <c r="L699">
        <v>0.93</v>
      </c>
      <c r="M699" s="148">
        <v>0</v>
      </c>
      <c r="N699">
        <v>0</v>
      </c>
      <c r="O699">
        <v>47</v>
      </c>
      <c r="P699">
        <v>47</v>
      </c>
    </row>
    <row r="700" spans="1:16">
      <c r="A700">
        <v>699</v>
      </c>
      <c r="B700" s="2">
        <v>40575</v>
      </c>
      <c r="C700">
        <v>1</v>
      </c>
      <c r="D700" t="s">
        <v>17</v>
      </c>
      <c r="E700" s="6" t="s">
        <v>19</v>
      </c>
      <c r="F700" s="151">
        <v>29.083333333333329</v>
      </c>
      <c r="G700" s="7" t="s">
        <v>36</v>
      </c>
      <c r="H700" s="7" t="s">
        <v>42</v>
      </c>
      <c r="I700" s="7" t="s">
        <v>39</v>
      </c>
      <c r="J700">
        <v>0.18</v>
      </c>
      <c r="K700" s="148">
        <v>0.2424</v>
      </c>
      <c r="L700">
        <v>0.86</v>
      </c>
      <c r="M700" s="148">
        <v>0</v>
      </c>
      <c r="N700">
        <v>2</v>
      </c>
      <c r="O700">
        <v>49</v>
      </c>
      <c r="P700">
        <v>51</v>
      </c>
    </row>
    <row r="701" spans="1:16">
      <c r="A701">
        <v>700</v>
      </c>
      <c r="B701" s="2">
        <v>40575</v>
      </c>
      <c r="C701">
        <v>1</v>
      </c>
      <c r="D701" t="s">
        <v>17</v>
      </c>
      <c r="E701" s="6" t="s">
        <v>19</v>
      </c>
      <c r="F701" s="151">
        <v>29.125</v>
      </c>
      <c r="G701" s="7" t="s">
        <v>36</v>
      </c>
      <c r="H701" s="7" t="s">
        <v>42</v>
      </c>
      <c r="I701" s="7" t="s">
        <v>39</v>
      </c>
      <c r="J701">
        <v>0.2</v>
      </c>
      <c r="K701" s="148">
        <v>0.2576</v>
      </c>
      <c r="L701">
        <v>0.86</v>
      </c>
      <c r="M701" s="148">
        <v>0</v>
      </c>
      <c r="N701">
        <v>2</v>
      </c>
      <c r="O701">
        <v>53</v>
      </c>
      <c r="P701">
        <v>55</v>
      </c>
    </row>
    <row r="702" spans="1:16">
      <c r="A702">
        <v>701</v>
      </c>
      <c r="B702" s="2">
        <v>40575</v>
      </c>
      <c r="C702">
        <v>1</v>
      </c>
      <c r="D702" t="s">
        <v>17</v>
      </c>
      <c r="E702" s="6" t="s">
        <v>19</v>
      </c>
      <c r="F702" s="151">
        <v>29.166666666666671</v>
      </c>
      <c r="G702" s="7" t="s">
        <v>36</v>
      </c>
      <c r="H702" s="7" t="s">
        <v>42</v>
      </c>
      <c r="I702" s="7" t="s">
        <v>39</v>
      </c>
      <c r="J702">
        <v>0.2</v>
      </c>
      <c r="K702" s="148">
        <v>0.2576</v>
      </c>
      <c r="L702">
        <v>0.86</v>
      </c>
      <c r="M702" s="148">
        <v>0</v>
      </c>
      <c r="N702">
        <v>3</v>
      </c>
      <c r="O702">
        <v>49</v>
      </c>
      <c r="P702">
        <v>52</v>
      </c>
    </row>
    <row r="703" spans="1:16">
      <c r="A703">
        <v>702</v>
      </c>
      <c r="B703" s="2">
        <v>40575</v>
      </c>
      <c r="C703">
        <v>1</v>
      </c>
      <c r="D703" t="s">
        <v>17</v>
      </c>
      <c r="E703" s="6" t="s">
        <v>19</v>
      </c>
      <c r="F703" s="151">
        <v>29.208333333333329</v>
      </c>
      <c r="G703" s="7" t="s">
        <v>36</v>
      </c>
      <c r="H703" s="7" t="s">
        <v>42</v>
      </c>
      <c r="I703" s="7" t="s">
        <v>39</v>
      </c>
      <c r="J703">
        <v>0.22</v>
      </c>
      <c r="K703" s="148">
        <v>0.2576</v>
      </c>
      <c r="L703">
        <v>0.8</v>
      </c>
      <c r="M703" s="148">
        <v>8.9599999999999999E-2</v>
      </c>
      <c r="N703">
        <v>5</v>
      </c>
      <c r="O703">
        <v>49</v>
      </c>
      <c r="P703">
        <v>54</v>
      </c>
    </row>
    <row r="704" spans="1:16">
      <c r="A704">
        <v>703</v>
      </c>
      <c r="B704" s="2">
        <v>40575</v>
      </c>
      <c r="C704">
        <v>1</v>
      </c>
      <c r="D704" t="s">
        <v>17</v>
      </c>
      <c r="E704" s="6" t="s">
        <v>19</v>
      </c>
      <c r="F704" s="151">
        <v>29.25</v>
      </c>
      <c r="G704" s="7" t="s">
        <v>36</v>
      </c>
      <c r="H704" s="7" t="s">
        <v>42</v>
      </c>
      <c r="I704" s="7" t="s">
        <v>39</v>
      </c>
      <c r="J704">
        <v>0.24</v>
      </c>
      <c r="K704" s="148">
        <v>0.28789999999999999</v>
      </c>
      <c r="L704">
        <v>0.75</v>
      </c>
      <c r="M704" s="148">
        <v>0</v>
      </c>
      <c r="N704">
        <v>7</v>
      </c>
      <c r="O704">
        <v>45</v>
      </c>
      <c r="P704">
        <v>52</v>
      </c>
    </row>
    <row r="705" spans="1:16">
      <c r="A705">
        <v>704</v>
      </c>
      <c r="B705" s="2">
        <v>40575</v>
      </c>
      <c r="C705">
        <v>1</v>
      </c>
      <c r="D705" t="s">
        <v>17</v>
      </c>
      <c r="E705" s="6" t="s">
        <v>19</v>
      </c>
      <c r="F705" s="151">
        <v>29.291666666666671</v>
      </c>
      <c r="G705" s="7" t="s">
        <v>36</v>
      </c>
      <c r="H705" s="7" t="s">
        <v>42</v>
      </c>
      <c r="I705" s="7" t="s">
        <v>39</v>
      </c>
      <c r="J705">
        <v>0.24</v>
      </c>
      <c r="K705" s="148">
        <v>0.2424</v>
      </c>
      <c r="L705">
        <v>0.75</v>
      </c>
      <c r="M705" s="148">
        <v>0.1343</v>
      </c>
      <c r="N705">
        <v>3</v>
      </c>
      <c r="O705">
        <v>61</v>
      </c>
      <c r="P705">
        <v>64</v>
      </c>
    </row>
    <row r="706" spans="1:16">
      <c r="A706">
        <v>705</v>
      </c>
      <c r="B706" s="2">
        <v>40575</v>
      </c>
      <c r="C706">
        <v>1</v>
      </c>
      <c r="D706" t="s">
        <v>17</v>
      </c>
      <c r="E706" s="6" t="s">
        <v>19</v>
      </c>
      <c r="F706" s="151">
        <v>29.333333333333329</v>
      </c>
      <c r="G706" s="7" t="s">
        <v>36</v>
      </c>
      <c r="H706" s="7" t="s">
        <v>42</v>
      </c>
      <c r="I706" s="7" t="s">
        <v>39</v>
      </c>
      <c r="J706">
        <v>0.24</v>
      </c>
      <c r="K706" s="148">
        <v>0.28789999999999999</v>
      </c>
      <c r="L706">
        <v>0.75</v>
      </c>
      <c r="M706" s="148">
        <v>0</v>
      </c>
      <c r="N706">
        <v>4</v>
      </c>
      <c r="O706">
        <v>172</v>
      </c>
      <c r="P706">
        <v>176</v>
      </c>
    </row>
    <row r="707" spans="1:16">
      <c r="A707">
        <v>706</v>
      </c>
      <c r="B707" s="2">
        <v>40575</v>
      </c>
      <c r="C707">
        <v>1</v>
      </c>
      <c r="D707" t="s">
        <v>17</v>
      </c>
      <c r="E707" s="6" t="s">
        <v>19</v>
      </c>
      <c r="F707" s="151">
        <v>29.375</v>
      </c>
      <c r="G707" s="7" t="s">
        <v>36</v>
      </c>
      <c r="H707" s="7" t="s">
        <v>42</v>
      </c>
      <c r="I707" s="7" t="s">
        <v>39</v>
      </c>
      <c r="J707">
        <v>0.24</v>
      </c>
      <c r="K707" s="148">
        <v>0.2576</v>
      </c>
      <c r="L707">
        <v>0.81</v>
      </c>
      <c r="M707" s="148">
        <v>0.1045</v>
      </c>
      <c r="N707">
        <v>3</v>
      </c>
      <c r="O707">
        <v>165</v>
      </c>
      <c r="P707">
        <v>168</v>
      </c>
    </row>
    <row r="708" spans="1:16">
      <c r="A708">
        <v>707</v>
      </c>
      <c r="B708" s="2">
        <v>40575</v>
      </c>
      <c r="C708">
        <v>1</v>
      </c>
      <c r="D708" t="s">
        <v>17</v>
      </c>
      <c r="E708" s="6" t="s">
        <v>19</v>
      </c>
      <c r="F708" s="151">
        <v>29.416666666666671</v>
      </c>
      <c r="G708" s="7" t="s">
        <v>36</v>
      </c>
      <c r="H708" s="7" t="s">
        <v>42</v>
      </c>
      <c r="I708" s="7" t="s">
        <v>39</v>
      </c>
      <c r="J708">
        <v>0.24</v>
      </c>
      <c r="K708" s="148">
        <v>0.2424</v>
      </c>
      <c r="L708">
        <v>0.81</v>
      </c>
      <c r="M708" s="148">
        <v>0.1343</v>
      </c>
      <c r="N708">
        <v>3</v>
      </c>
      <c r="O708">
        <v>105</v>
      </c>
      <c r="P708">
        <v>108</v>
      </c>
    </row>
    <row r="709" spans="1:16">
      <c r="A709">
        <v>708</v>
      </c>
      <c r="B709" s="2">
        <v>40575</v>
      </c>
      <c r="C709">
        <v>1</v>
      </c>
      <c r="D709" t="s">
        <v>17</v>
      </c>
      <c r="E709" s="6" t="s">
        <v>19</v>
      </c>
      <c r="F709" s="151">
        <v>29.458333333333329</v>
      </c>
      <c r="G709" s="7" t="s">
        <v>36</v>
      </c>
      <c r="H709" s="7" t="s">
        <v>42</v>
      </c>
      <c r="I709" s="7" t="s">
        <v>39</v>
      </c>
      <c r="J709">
        <v>0.22</v>
      </c>
      <c r="K709" s="148">
        <v>0.2273</v>
      </c>
      <c r="L709">
        <v>0.87</v>
      </c>
      <c r="M709" s="148">
        <v>0.1343</v>
      </c>
      <c r="N709">
        <v>5</v>
      </c>
      <c r="O709">
        <v>69</v>
      </c>
      <c r="P709">
        <v>74</v>
      </c>
    </row>
    <row r="710" spans="1:16">
      <c r="A710">
        <v>709</v>
      </c>
      <c r="B710" s="2">
        <v>40575</v>
      </c>
      <c r="C710">
        <v>1</v>
      </c>
      <c r="D710" t="s">
        <v>17</v>
      </c>
      <c r="E710" s="6" t="s">
        <v>19</v>
      </c>
      <c r="F710" s="151">
        <v>29.5</v>
      </c>
      <c r="G710" s="7" t="s">
        <v>36</v>
      </c>
      <c r="H710" s="7" t="s">
        <v>42</v>
      </c>
      <c r="I710" s="7" t="s">
        <v>39</v>
      </c>
      <c r="J710">
        <v>0.22</v>
      </c>
      <c r="K710" s="148">
        <v>0.2273</v>
      </c>
      <c r="L710">
        <v>0.87</v>
      </c>
      <c r="M710" s="148">
        <v>0.1343</v>
      </c>
      <c r="N710">
        <v>0</v>
      </c>
      <c r="O710">
        <v>64</v>
      </c>
      <c r="P710">
        <v>64</v>
      </c>
    </row>
    <row r="711" spans="1:16">
      <c r="A711">
        <v>710</v>
      </c>
      <c r="B711" s="2">
        <v>40575</v>
      </c>
      <c r="C711">
        <v>1</v>
      </c>
      <c r="D711" t="s">
        <v>17</v>
      </c>
      <c r="E711" s="6" t="s">
        <v>19</v>
      </c>
      <c r="F711" s="151">
        <v>29.541666666666671</v>
      </c>
      <c r="G711" s="7" t="s">
        <v>36</v>
      </c>
      <c r="H711" s="7" t="s">
        <v>42</v>
      </c>
      <c r="I711" s="7" t="s">
        <v>39</v>
      </c>
      <c r="J711">
        <v>0.22</v>
      </c>
      <c r="K711" s="148">
        <v>0.2576</v>
      </c>
      <c r="L711">
        <v>0.87</v>
      </c>
      <c r="M711" s="148">
        <v>8.9599999999999999E-2</v>
      </c>
      <c r="N711">
        <v>2</v>
      </c>
      <c r="O711">
        <v>34</v>
      </c>
      <c r="P711">
        <v>36</v>
      </c>
    </row>
    <row r="712" spans="1:16">
      <c r="A712">
        <v>711</v>
      </c>
      <c r="B712" s="2">
        <v>40575</v>
      </c>
      <c r="C712">
        <v>1</v>
      </c>
      <c r="D712" t="s">
        <v>17</v>
      </c>
      <c r="E712" s="6" t="s">
        <v>19</v>
      </c>
      <c r="F712" s="151">
        <v>29.583333333333329</v>
      </c>
      <c r="G712" s="7" t="s">
        <v>36</v>
      </c>
      <c r="H712" s="7" t="s">
        <v>42</v>
      </c>
      <c r="I712" s="7" t="s">
        <v>45</v>
      </c>
      <c r="J712">
        <v>0.2</v>
      </c>
      <c r="K712" s="148">
        <v>0.19700000000000001</v>
      </c>
      <c r="L712">
        <v>0.93</v>
      </c>
      <c r="M712" s="148">
        <v>0.19400000000000001</v>
      </c>
      <c r="N712">
        <v>1</v>
      </c>
      <c r="O712">
        <v>15</v>
      </c>
      <c r="P712">
        <v>16</v>
      </c>
    </row>
    <row r="713" spans="1:16">
      <c r="A713">
        <v>712</v>
      </c>
      <c r="B713" s="2">
        <v>40576</v>
      </c>
      <c r="C713">
        <v>1</v>
      </c>
      <c r="D713" t="s">
        <v>17</v>
      </c>
      <c r="E713" s="6" t="s">
        <v>19</v>
      </c>
      <c r="F713" s="151">
        <v>29.625</v>
      </c>
      <c r="G713" s="7" t="s">
        <v>36</v>
      </c>
      <c r="H713" s="7" t="s">
        <v>46</v>
      </c>
      <c r="I713" s="7" t="s">
        <v>45</v>
      </c>
      <c r="J713">
        <v>0.22</v>
      </c>
      <c r="K713" s="148">
        <v>0.2424</v>
      </c>
      <c r="L713">
        <v>0.93</v>
      </c>
      <c r="M713" s="148">
        <v>0.1045</v>
      </c>
      <c r="N713">
        <v>0</v>
      </c>
      <c r="O713">
        <v>2</v>
      </c>
      <c r="P713">
        <v>2</v>
      </c>
    </row>
    <row r="714" spans="1:16">
      <c r="A714">
        <v>713</v>
      </c>
      <c r="B714" s="2">
        <v>40576</v>
      </c>
      <c r="C714">
        <v>1</v>
      </c>
      <c r="D714" t="s">
        <v>17</v>
      </c>
      <c r="E714" s="6" t="s">
        <v>19</v>
      </c>
      <c r="F714" s="151">
        <v>29.666666666666671</v>
      </c>
      <c r="G714" s="7" t="s">
        <v>36</v>
      </c>
      <c r="H714" s="7" t="s">
        <v>46</v>
      </c>
      <c r="I714" s="7" t="s">
        <v>45</v>
      </c>
      <c r="J714">
        <v>0.22</v>
      </c>
      <c r="K714" s="148">
        <v>0.2273</v>
      </c>
      <c r="L714">
        <v>0.93</v>
      </c>
      <c r="M714" s="148">
        <v>0.19400000000000001</v>
      </c>
      <c r="N714">
        <v>0</v>
      </c>
      <c r="O714">
        <v>3</v>
      </c>
      <c r="P714">
        <v>3</v>
      </c>
    </row>
    <row r="715" spans="1:16">
      <c r="A715">
        <v>714</v>
      </c>
      <c r="B715" s="2">
        <v>40576</v>
      </c>
      <c r="C715">
        <v>1</v>
      </c>
      <c r="D715" t="s">
        <v>17</v>
      </c>
      <c r="E715" s="6" t="s">
        <v>19</v>
      </c>
      <c r="F715" s="151">
        <v>29.708333333333329</v>
      </c>
      <c r="G715" s="7" t="s">
        <v>36</v>
      </c>
      <c r="H715" s="7" t="s">
        <v>46</v>
      </c>
      <c r="I715" s="7" t="s">
        <v>45</v>
      </c>
      <c r="J715">
        <v>0.22</v>
      </c>
      <c r="K715" s="148">
        <v>0.2273</v>
      </c>
      <c r="L715">
        <v>0.93</v>
      </c>
      <c r="M715" s="148">
        <v>0.1343</v>
      </c>
      <c r="N715">
        <v>4</v>
      </c>
      <c r="O715">
        <v>0</v>
      </c>
      <c r="P715">
        <v>4</v>
      </c>
    </row>
    <row r="716" spans="1:16">
      <c r="A716">
        <v>715</v>
      </c>
      <c r="B716" s="2">
        <v>40576</v>
      </c>
      <c r="C716">
        <v>1</v>
      </c>
      <c r="D716" t="s">
        <v>17</v>
      </c>
      <c r="E716" s="6" t="s">
        <v>19</v>
      </c>
      <c r="F716" s="151">
        <v>29.75</v>
      </c>
      <c r="G716" s="7" t="s">
        <v>36</v>
      </c>
      <c r="H716" s="7" t="s">
        <v>46</v>
      </c>
      <c r="I716" s="7" t="s">
        <v>45</v>
      </c>
      <c r="J716">
        <v>0.22</v>
      </c>
      <c r="K716" s="148">
        <v>0.2273</v>
      </c>
      <c r="L716">
        <v>0.93</v>
      </c>
      <c r="M716" s="148">
        <v>0.1343</v>
      </c>
      <c r="N716">
        <v>0</v>
      </c>
      <c r="O716">
        <v>1</v>
      </c>
      <c r="P716">
        <v>1</v>
      </c>
    </row>
    <row r="717" spans="1:16">
      <c r="A717">
        <v>716</v>
      </c>
      <c r="B717" s="2">
        <v>40576</v>
      </c>
      <c r="C717">
        <v>1</v>
      </c>
      <c r="D717" t="s">
        <v>17</v>
      </c>
      <c r="E717" s="6" t="s">
        <v>19</v>
      </c>
      <c r="F717" s="151">
        <v>29.791666666666671</v>
      </c>
      <c r="G717" s="7" t="s">
        <v>36</v>
      </c>
      <c r="H717" s="7" t="s">
        <v>46</v>
      </c>
      <c r="I717" s="7" t="s">
        <v>45</v>
      </c>
      <c r="J717">
        <v>0.22</v>
      </c>
      <c r="K717" s="148">
        <v>0.21210000000000001</v>
      </c>
      <c r="L717">
        <v>0.93</v>
      </c>
      <c r="M717" s="148">
        <v>0.28360000000000002</v>
      </c>
      <c r="N717">
        <v>0</v>
      </c>
      <c r="O717">
        <v>1</v>
      </c>
      <c r="P717">
        <v>1</v>
      </c>
    </row>
    <row r="718" spans="1:16">
      <c r="A718">
        <v>717</v>
      </c>
      <c r="B718" s="2">
        <v>40576</v>
      </c>
      <c r="C718">
        <v>1</v>
      </c>
      <c r="D718" t="s">
        <v>17</v>
      </c>
      <c r="E718" s="6" t="s">
        <v>19</v>
      </c>
      <c r="F718" s="151">
        <v>29.833333333333329</v>
      </c>
      <c r="G718" s="7" t="s">
        <v>36</v>
      </c>
      <c r="H718" s="7" t="s">
        <v>46</v>
      </c>
      <c r="I718" s="7" t="s">
        <v>45</v>
      </c>
      <c r="J718">
        <v>0.22</v>
      </c>
      <c r="K718" s="148">
        <v>0.2424</v>
      </c>
      <c r="L718">
        <v>0.93</v>
      </c>
      <c r="M718" s="148">
        <v>0.1045</v>
      </c>
      <c r="N718">
        <v>0</v>
      </c>
      <c r="O718">
        <v>3</v>
      </c>
      <c r="P718">
        <v>3</v>
      </c>
    </row>
    <row r="719" spans="1:16">
      <c r="A719">
        <v>718</v>
      </c>
      <c r="B719" s="2">
        <v>40576</v>
      </c>
      <c r="C719">
        <v>1</v>
      </c>
      <c r="D719" t="s">
        <v>17</v>
      </c>
      <c r="E719" s="6" t="s">
        <v>19</v>
      </c>
      <c r="F719" s="151">
        <v>29.875</v>
      </c>
      <c r="G719" s="7" t="s">
        <v>36</v>
      </c>
      <c r="H719" s="7" t="s">
        <v>46</v>
      </c>
      <c r="I719" s="7" t="s">
        <v>45</v>
      </c>
      <c r="J719">
        <v>0.22</v>
      </c>
      <c r="K719" s="148">
        <v>0.2424</v>
      </c>
      <c r="L719">
        <v>0.93</v>
      </c>
      <c r="M719" s="148">
        <v>0.1045</v>
      </c>
      <c r="N719">
        <v>1</v>
      </c>
      <c r="O719">
        <v>17</v>
      </c>
      <c r="P719">
        <v>18</v>
      </c>
    </row>
    <row r="720" spans="1:16">
      <c r="A720">
        <v>719</v>
      </c>
      <c r="B720" s="2">
        <v>40576</v>
      </c>
      <c r="C720">
        <v>1</v>
      </c>
      <c r="D720" t="s">
        <v>17</v>
      </c>
      <c r="E720" s="6" t="s">
        <v>19</v>
      </c>
      <c r="F720" s="151">
        <v>29.916666666666671</v>
      </c>
      <c r="G720" s="7" t="s">
        <v>36</v>
      </c>
      <c r="H720" s="7" t="s">
        <v>46</v>
      </c>
      <c r="I720" s="7" t="s">
        <v>45</v>
      </c>
      <c r="J720">
        <v>0.22</v>
      </c>
      <c r="K720" s="148">
        <v>0.21210000000000001</v>
      </c>
      <c r="L720">
        <v>0.93</v>
      </c>
      <c r="M720" s="148">
        <v>0.22389999999999999</v>
      </c>
      <c r="N720">
        <v>1</v>
      </c>
      <c r="O720">
        <v>48</v>
      </c>
      <c r="P720">
        <v>49</v>
      </c>
    </row>
    <row r="721" spans="1:16">
      <c r="A721">
        <v>720</v>
      </c>
      <c r="B721" s="2">
        <v>40576</v>
      </c>
      <c r="C721">
        <v>1</v>
      </c>
      <c r="D721" t="s">
        <v>17</v>
      </c>
      <c r="E721" s="6" t="s">
        <v>19</v>
      </c>
      <c r="F721" s="151">
        <v>29.958333333333329</v>
      </c>
      <c r="G721" s="7" t="s">
        <v>36</v>
      </c>
      <c r="H721" s="7" t="s">
        <v>46</v>
      </c>
      <c r="I721" s="7" t="s">
        <v>45</v>
      </c>
      <c r="J721">
        <v>0.22</v>
      </c>
      <c r="K721" s="148">
        <v>0.21210000000000001</v>
      </c>
      <c r="L721">
        <v>0.93</v>
      </c>
      <c r="M721" s="148">
        <v>0.22389999999999999</v>
      </c>
      <c r="N721">
        <v>1</v>
      </c>
      <c r="O721">
        <v>154</v>
      </c>
      <c r="P721">
        <v>155</v>
      </c>
    </row>
    <row r="722" spans="1:16">
      <c r="A722">
        <v>721</v>
      </c>
      <c r="B722" s="2">
        <v>40576</v>
      </c>
      <c r="C722">
        <v>1</v>
      </c>
      <c r="D722" t="s">
        <v>17</v>
      </c>
      <c r="E722" s="6" t="s">
        <v>19</v>
      </c>
      <c r="F722" s="151">
        <v>30</v>
      </c>
      <c r="G722" s="7" t="s">
        <v>36</v>
      </c>
      <c r="H722" s="7" t="s">
        <v>46</v>
      </c>
      <c r="I722" s="7" t="s">
        <v>39</v>
      </c>
      <c r="J722">
        <v>0.24</v>
      </c>
      <c r="K722" s="148">
        <v>0.2576</v>
      </c>
      <c r="L722">
        <v>0.93</v>
      </c>
      <c r="M722" s="148">
        <v>8.9599999999999999E-2</v>
      </c>
      <c r="N722">
        <v>4</v>
      </c>
      <c r="O722">
        <v>119</v>
      </c>
      <c r="P722">
        <v>123</v>
      </c>
    </row>
    <row r="723" spans="1:16">
      <c r="A723">
        <v>722</v>
      </c>
      <c r="B723" s="2">
        <v>40576</v>
      </c>
      <c r="C723">
        <v>1</v>
      </c>
      <c r="D723" t="s">
        <v>17</v>
      </c>
      <c r="E723" s="6" t="s">
        <v>19</v>
      </c>
      <c r="F723" s="151">
        <v>30.041666666666671</v>
      </c>
      <c r="G723" s="7" t="s">
        <v>36</v>
      </c>
      <c r="H723" s="7" t="s">
        <v>46</v>
      </c>
      <c r="I723" s="7" t="s">
        <v>39</v>
      </c>
      <c r="J723">
        <v>0.22</v>
      </c>
      <c r="K723" s="148">
        <v>0.2727</v>
      </c>
      <c r="L723">
        <v>1</v>
      </c>
      <c r="M723" s="148">
        <v>0</v>
      </c>
      <c r="N723">
        <v>2</v>
      </c>
      <c r="O723">
        <v>59</v>
      </c>
      <c r="P723">
        <v>61</v>
      </c>
    </row>
    <row r="724" spans="1:16">
      <c r="A724">
        <v>723</v>
      </c>
      <c r="B724" s="2">
        <v>40576</v>
      </c>
      <c r="C724">
        <v>1</v>
      </c>
      <c r="D724" t="s">
        <v>17</v>
      </c>
      <c r="E724" s="6" t="s">
        <v>19</v>
      </c>
      <c r="F724" s="151">
        <v>30.083333333333329</v>
      </c>
      <c r="G724" s="7" t="s">
        <v>36</v>
      </c>
      <c r="H724" s="7" t="s">
        <v>46</v>
      </c>
      <c r="I724" s="7" t="s">
        <v>39</v>
      </c>
      <c r="J724">
        <v>0.24</v>
      </c>
      <c r="K724" s="148">
        <v>0.2273</v>
      </c>
      <c r="L724">
        <v>0.93</v>
      </c>
      <c r="M724" s="148">
        <v>0.19400000000000001</v>
      </c>
      <c r="N724">
        <v>5</v>
      </c>
      <c r="O724">
        <v>47</v>
      </c>
      <c r="P724">
        <v>52</v>
      </c>
    </row>
    <row r="725" spans="1:16">
      <c r="A725">
        <v>724</v>
      </c>
      <c r="B725" s="2">
        <v>40576</v>
      </c>
      <c r="C725">
        <v>1</v>
      </c>
      <c r="D725" t="s">
        <v>17</v>
      </c>
      <c r="E725" s="6" t="s">
        <v>19</v>
      </c>
      <c r="F725" s="151">
        <v>30.125</v>
      </c>
      <c r="G725" s="7" t="s">
        <v>36</v>
      </c>
      <c r="H725" s="7" t="s">
        <v>46</v>
      </c>
      <c r="I725" s="7" t="s">
        <v>39</v>
      </c>
      <c r="J725">
        <v>0.24</v>
      </c>
      <c r="K725" s="148">
        <v>0.2273</v>
      </c>
      <c r="L725">
        <v>0.93</v>
      </c>
      <c r="M725" s="148">
        <v>0.22389999999999999</v>
      </c>
      <c r="N725">
        <v>3</v>
      </c>
      <c r="O725">
        <v>61</v>
      </c>
      <c r="P725">
        <v>64</v>
      </c>
    </row>
    <row r="726" spans="1:16">
      <c r="A726">
        <v>725</v>
      </c>
      <c r="B726" s="2">
        <v>40576</v>
      </c>
      <c r="C726">
        <v>1</v>
      </c>
      <c r="D726" t="s">
        <v>17</v>
      </c>
      <c r="E726" s="6" t="s">
        <v>19</v>
      </c>
      <c r="F726" s="151">
        <v>30.166666666666671</v>
      </c>
      <c r="G726" s="7" t="s">
        <v>36</v>
      </c>
      <c r="H726" s="7" t="s">
        <v>46</v>
      </c>
      <c r="I726" s="7" t="s">
        <v>38</v>
      </c>
      <c r="J726">
        <v>0.34</v>
      </c>
      <c r="K726" s="148">
        <v>0.33329999999999999</v>
      </c>
      <c r="L726">
        <v>0.93</v>
      </c>
      <c r="M726" s="148">
        <v>0.16420000000000001</v>
      </c>
      <c r="N726">
        <v>1</v>
      </c>
      <c r="O726">
        <v>74</v>
      </c>
      <c r="P726">
        <v>75</v>
      </c>
    </row>
    <row r="727" spans="1:16">
      <c r="A727">
        <v>726</v>
      </c>
      <c r="B727" s="2">
        <v>40576</v>
      </c>
      <c r="C727">
        <v>1</v>
      </c>
      <c r="D727" t="s">
        <v>17</v>
      </c>
      <c r="E727" s="6" t="s">
        <v>19</v>
      </c>
      <c r="F727" s="151">
        <v>30.208333333333329</v>
      </c>
      <c r="G727" s="7" t="s">
        <v>36</v>
      </c>
      <c r="H727" s="7" t="s">
        <v>46</v>
      </c>
      <c r="I727" s="7" t="s">
        <v>38</v>
      </c>
      <c r="J727">
        <v>0.38</v>
      </c>
      <c r="K727" s="148">
        <v>0.39389999999999997</v>
      </c>
      <c r="L727">
        <v>0.82</v>
      </c>
      <c r="M727" s="148">
        <v>0.3881</v>
      </c>
      <c r="N727">
        <v>2</v>
      </c>
      <c r="O727">
        <v>61</v>
      </c>
      <c r="P727">
        <v>63</v>
      </c>
    </row>
    <row r="728" spans="1:16">
      <c r="A728">
        <v>727</v>
      </c>
      <c r="B728" s="2">
        <v>40576</v>
      </c>
      <c r="C728">
        <v>1</v>
      </c>
      <c r="D728" t="s">
        <v>17</v>
      </c>
      <c r="E728" s="6" t="s">
        <v>19</v>
      </c>
      <c r="F728" s="151">
        <v>30.25</v>
      </c>
      <c r="G728" s="7" t="s">
        <v>36</v>
      </c>
      <c r="H728" s="7" t="s">
        <v>46</v>
      </c>
      <c r="I728" s="7" t="s">
        <v>38</v>
      </c>
      <c r="J728">
        <v>0.38</v>
      </c>
      <c r="K728" s="148">
        <v>0.39389999999999997</v>
      </c>
      <c r="L728">
        <v>0.76</v>
      </c>
      <c r="M728" s="148">
        <v>0.32840000000000003</v>
      </c>
      <c r="N728">
        <v>10</v>
      </c>
      <c r="O728">
        <v>66</v>
      </c>
      <c r="P728">
        <v>76</v>
      </c>
    </row>
    <row r="729" spans="1:16">
      <c r="A729">
        <v>728</v>
      </c>
      <c r="B729" s="2">
        <v>40576</v>
      </c>
      <c r="C729">
        <v>1</v>
      </c>
      <c r="D729" t="s">
        <v>17</v>
      </c>
      <c r="E729" s="6" t="s">
        <v>19</v>
      </c>
      <c r="F729" s="151">
        <v>30.291666666666671</v>
      </c>
      <c r="G729" s="7" t="s">
        <v>36</v>
      </c>
      <c r="H729" s="7" t="s">
        <v>46</v>
      </c>
      <c r="I729" s="7" t="s">
        <v>38</v>
      </c>
      <c r="J729">
        <v>0.36</v>
      </c>
      <c r="K729" s="148">
        <v>0.33329999999999999</v>
      </c>
      <c r="L729">
        <v>0.71</v>
      </c>
      <c r="M729" s="148">
        <v>0.29849999999999999</v>
      </c>
      <c r="N729">
        <v>8</v>
      </c>
      <c r="O729">
        <v>95</v>
      </c>
      <c r="P729">
        <v>103</v>
      </c>
    </row>
    <row r="730" spans="1:16">
      <c r="A730">
        <v>729</v>
      </c>
      <c r="B730" s="2">
        <v>40576</v>
      </c>
      <c r="C730">
        <v>1</v>
      </c>
      <c r="D730" t="s">
        <v>17</v>
      </c>
      <c r="E730" s="6" t="s">
        <v>19</v>
      </c>
      <c r="F730" s="151">
        <v>30.333333333333329</v>
      </c>
      <c r="G730" s="7" t="s">
        <v>36</v>
      </c>
      <c r="H730" s="7" t="s">
        <v>46</v>
      </c>
      <c r="I730" s="7" t="s">
        <v>38</v>
      </c>
      <c r="J730">
        <v>0.36</v>
      </c>
      <c r="K730" s="148">
        <v>0.31819999999999998</v>
      </c>
      <c r="L730">
        <v>0.53</v>
      </c>
      <c r="M730" s="148">
        <v>0.52239999999999998</v>
      </c>
      <c r="N730">
        <v>7</v>
      </c>
      <c r="O730">
        <v>183</v>
      </c>
      <c r="P730">
        <v>190</v>
      </c>
    </row>
    <row r="731" spans="1:16">
      <c r="A731">
        <v>730</v>
      </c>
      <c r="B731" s="2">
        <v>40576</v>
      </c>
      <c r="C731">
        <v>1</v>
      </c>
      <c r="D731" t="s">
        <v>17</v>
      </c>
      <c r="E731" s="6" t="s">
        <v>19</v>
      </c>
      <c r="F731" s="151">
        <v>30.375</v>
      </c>
      <c r="G731" s="7" t="s">
        <v>36</v>
      </c>
      <c r="H731" s="7" t="s">
        <v>46</v>
      </c>
      <c r="I731" s="7" t="s">
        <v>38</v>
      </c>
      <c r="J731">
        <v>0.34</v>
      </c>
      <c r="K731" s="148">
        <v>0.28789999999999999</v>
      </c>
      <c r="L731">
        <v>0.42</v>
      </c>
      <c r="M731" s="148">
        <v>0.55220000000000002</v>
      </c>
      <c r="N731">
        <v>7</v>
      </c>
      <c r="O731">
        <v>175</v>
      </c>
      <c r="P731">
        <v>182</v>
      </c>
    </row>
    <row r="732" spans="1:16">
      <c r="A732">
        <v>731</v>
      </c>
      <c r="B732" s="2">
        <v>40576</v>
      </c>
      <c r="C732">
        <v>1</v>
      </c>
      <c r="D732" t="s">
        <v>17</v>
      </c>
      <c r="E732" s="6" t="s">
        <v>19</v>
      </c>
      <c r="F732" s="151">
        <v>30.416666666666671</v>
      </c>
      <c r="G732" s="7" t="s">
        <v>36</v>
      </c>
      <c r="H732" s="7" t="s">
        <v>46</v>
      </c>
      <c r="I732" s="7" t="s">
        <v>38</v>
      </c>
      <c r="J732">
        <v>0.28000000000000003</v>
      </c>
      <c r="K732" s="148">
        <v>0.2424</v>
      </c>
      <c r="L732">
        <v>0.45</v>
      </c>
      <c r="M732" s="148">
        <v>0.49249999999999999</v>
      </c>
      <c r="N732">
        <v>3</v>
      </c>
      <c r="O732">
        <v>88</v>
      </c>
      <c r="P732">
        <v>91</v>
      </c>
    </row>
    <row r="733" spans="1:16">
      <c r="A733">
        <v>732</v>
      </c>
      <c r="B733" s="2">
        <v>40576</v>
      </c>
      <c r="C733">
        <v>1</v>
      </c>
      <c r="D733" t="s">
        <v>17</v>
      </c>
      <c r="E733" s="6" t="s">
        <v>19</v>
      </c>
      <c r="F733" s="151">
        <v>30.458333333333329</v>
      </c>
      <c r="G733" s="7" t="s">
        <v>36</v>
      </c>
      <c r="H733" s="7" t="s">
        <v>46</v>
      </c>
      <c r="I733" s="7" t="s">
        <v>38</v>
      </c>
      <c r="J733">
        <v>0.24</v>
      </c>
      <c r="K733" s="148">
        <v>0.19700000000000001</v>
      </c>
      <c r="L733">
        <v>0.48</v>
      </c>
      <c r="M733" s="148">
        <v>0.55220000000000002</v>
      </c>
      <c r="N733">
        <v>4</v>
      </c>
      <c r="O733">
        <v>71</v>
      </c>
      <c r="P733">
        <v>75</v>
      </c>
    </row>
    <row r="734" spans="1:16">
      <c r="A734">
        <v>733</v>
      </c>
      <c r="B734" s="2">
        <v>40576</v>
      </c>
      <c r="C734">
        <v>1</v>
      </c>
      <c r="D734" t="s">
        <v>17</v>
      </c>
      <c r="E734" s="6" t="s">
        <v>19</v>
      </c>
      <c r="F734" s="151">
        <v>30.5</v>
      </c>
      <c r="G734" s="7" t="s">
        <v>36</v>
      </c>
      <c r="H734" s="7" t="s">
        <v>46</v>
      </c>
      <c r="I734" s="7" t="s">
        <v>38</v>
      </c>
      <c r="J734">
        <v>0.22</v>
      </c>
      <c r="K734" s="148">
        <v>0.19700000000000001</v>
      </c>
      <c r="L734">
        <v>0.47</v>
      </c>
      <c r="M734" s="148">
        <v>0.32840000000000003</v>
      </c>
      <c r="N734">
        <v>1</v>
      </c>
      <c r="O734">
        <v>62</v>
      </c>
      <c r="P734">
        <v>63</v>
      </c>
    </row>
    <row r="735" spans="1:16">
      <c r="A735">
        <v>734</v>
      </c>
      <c r="B735" s="2">
        <v>40576</v>
      </c>
      <c r="C735">
        <v>1</v>
      </c>
      <c r="D735" t="s">
        <v>17</v>
      </c>
      <c r="E735" s="6" t="s">
        <v>19</v>
      </c>
      <c r="F735" s="151">
        <v>30.541666666666671</v>
      </c>
      <c r="G735" s="7" t="s">
        <v>36</v>
      </c>
      <c r="H735" s="7" t="s">
        <v>46</v>
      </c>
      <c r="I735" s="7" t="s">
        <v>38</v>
      </c>
      <c r="J735">
        <v>0.22</v>
      </c>
      <c r="K735" s="148">
        <v>0.21210000000000001</v>
      </c>
      <c r="L735">
        <v>0.44</v>
      </c>
      <c r="M735" s="148">
        <v>0.25369999999999998</v>
      </c>
      <c r="N735">
        <v>5</v>
      </c>
      <c r="O735">
        <v>35</v>
      </c>
      <c r="P735">
        <v>40</v>
      </c>
    </row>
    <row r="736" spans="1:16">
      <c r="A736">
        <v>735</v>
      </c>
      <c r="B736" s="2">
        <v>40576</v>
      </c>
      <c r="C736">
        <v>1</v>
      </c>
      <c r="D736" t="s">
        <v>17</v>
      </c>
      <c r="E736" s="6" t="s">
        <v>19</v>
      </c>
      <c r="F736" s="151">
        <v>30.583333333333329</v>
      </c>
      <c r="G736" s="7" t="s">
        <v>36</v>
      </c>
      <c r="H736" s="7" t="s">
        <v>46</v>
      </c>
      <c r="I736" s="7" t="s">
        <v>38</v>
      </c>
      <c r="J736">
        <v>0.2</v>
      </c>
      <c r="K736" s="148">
        <v>0.16669999999999999</v>
      </c>
      <c r="L736">
        <v>0.44</v>
      </c>
      <c r="M736" s="148">
        <v>0.44779999999999998</v>
      </c>
      <c r="N736">
        <v>3</v>
      </c>
      <c r="O736">
        <v>29</v>
      </c>
      <c r="P736">
        <v>32</v>
      </c>
    </row>
    <row r="737" spans="1:16">
      <c r="A737">
        <v>736</v>
      </c>
      <c r="B737" s="2">
        <v>40577</v>
      </c>
      <c r="C737">
        <v>1</v>
      </c>
      <c r="D737" t="s">
        <v>17</v>
      </c>
      <c r="E737" s="6" t="s">
        <v>19</v>
      </c>
      <c r="F737" s="151">
        <v>30.625</v>
      </c>
      <c r="G737" s="7" t="s">
        <v>36</v>
      </c>
      <c r="H737" s="7" t="s">
        <v>195</v>
      </c>
      <c r="I737" s="7" t="s">
        <v>38</v>
      </c>
      <c r="J737">
        <v>0.2</v>
      </c>
      <c r="K737" s="148">
        <v>0.16669999999999999</v>
      </c>
      <c r="L737">
        <v>0.4</v>
      </c>
      <c r="M737" s="148">
        <v>0.44779999999999998</v>
      </c>
      <c r="N737">
        <v>1</v>
      </c>
      <c r="O737">
        <v>11</v>
      </c>
      <c r="P737">
        <v>12</v>
      </c>
    </row>
    <row r="738" spans="1:16">
      <c r="A738">
        <v>737</v>
      </c>
      <c r="B738" s="2">
        <v>40577</v>
      </c>
      <c r="C738">
        <v>1</v>
      </c>
      <c r="D738" t="s">
        <v>17</v>
      </c>
      <c r="E738" s="6" t="s">
        <v>19</v>
      </c>
      <c r="F738" s="151">
        <v>30.666666666666671</v>
      </c>
      <c r="G738" s="7" t="s">
        <v>36</v>
      </c>
      <c r="H738" s="7" t="s">
        <v>195</v>
      </c>
      <c r="I738" s="7" t="s">
        <v>38</v>
      </c>
      <c r="J738">
        <v>0.2</v>
      </c>
      <c r="K738" s="148">
        <v>0.1515</v>
      </c>
      <c r="L738">
        <v>0.44</v>
      </c>
      <c r="M738" s="148">
        <v>0.52239999999999998</v>
      </c>
      <c r="N738">
        <v>0</v>
      </c>
      <c r="O738">
        <v>5</v>
      </c>
      <c r="P738">
        <v>5</v>
      </c>
    </row>
    <row r="739" spans="1:16">
      <c r="A739">
        <v>738</v>
      </c>
      <c r="B739" s="2">
        <v>40577</v>
      </c>
      <c r="C739">
        <v>1</v>
      </c>
      <c r="D739" t="s">
        <v>17</v>
      </c>
      <c r="E739" s="6" t="s">
        <v>19</v>
      </c>
      <c r="F739" s="151">
        <v>30.708333333333329</v>
      </c>
      <c r="G739" s="7" t="s">
        <v>36</v>
      </c>
      <c r="H739" s="7" t="s">
        <v>195</v>
      </c>
      <c r="I739" s="7" t="s">
        <v>38</v>
      </c>
      <c r="J739">
        <v>0.18</v>
      </c>
      <c r="K739" s="148">
        <v>0.16669999999999999</v>
      </c>
      <c r="L739">
        <v>0.43</v>
      </c>
      <c r="M739" s="148">
        <v>0.25369999999999998</v>
      </c>
      <c r="N739">
        <v>0</v>
      </c>
      <c r="O739">
        <v>2</v>
      </c>
      <c r="P739">
        <v>2</v>
      </c>
    </row>
    <row r="740" spans="1:16">
      <c r="A740">
        <v>739</v>
      </c>
      <c r="B740" s="2">
        <v>40577</v>
      </c>
      <c r="C740">
        <v>1</v>
      </c>
      <c r="D740" t="s">
        <v>17</v>
      </c>
      <c r="E740" s="6" t="s">
        <v>19</v>
      </c>
      <c r="F740" s="151">
        <v>30.75</v>
      </c>
      <c r="G740" s="7" t="s">
        <v>36</v>
      </c>
      <c r="H740" s="7" t="s">
        <v>195</v>
      </c>
      <c r="I740" s="7" t="s">
        <v>38</v>
      </c>
      <c r="J740">
        <v>0.18</v>
      </c>
      <c r="K740" s="148">
        <v>0.16669999999999999</v>
      </c>
      <c r="L740">
        <v>0.43</v>
      </c>
      <c r="M740" s="148">
        <v>0.25369999999999998</v>
      </c>
      <c r="N740">
        <v>0</v>
      </c>
      <c r="O740">
        <v>1</v>
      </c>
      <c r="P740">
        <v>1</v>
      </c>
    </row>
    <row r="741" spans="1:16">
      <c r="A741">
        <v>740</v>
      </c>
      <c r="B741" s="2">
        <v>40577</v>
      </c>
      <c r="C741">
        <v>1</v>
      </c>
      <c r="D741" t="s">
        <v>17</v>
      </c>
      <c r="E741" s="6" t="s">
        <v>19</v>
      </c>
      <c r="F741" s="151">
        <v>30.791666666666671</v>
      </c>
      <c r="G741" s="7" t="s">
        <v>36</v>
      </c>
      <c r="H741" s="7" t="s">
        <v>195</v>
      </c>
      <c r="I741" s="7" t="s">
        <v>38</v>
      </c>
      <c r="J741">
        <v>0.16</v>
      </c>
      <c r="K741" s="148">
        <v>0.13639999999999999</v>
      </c>
      <c r="L741">
        <v>0.5</v>
      </c>
      <c r="M741" s="148">
        <v>0.29849999999999999</v>
      </c>
      <c r="N741">
        <v>0</v>
      </c>
      <c r="O741">
        <v>2</v>
      </c>
      <c r="P741">
        <v>2</v>
      </c>
    </row>
    <row r="742" spans="1:16">
      <c r="A742">
        <v>741</v>
      </c>
      <c r="B742" s="2">
        <v>40577</v>
      </c>
      <c r="C742">
        <v>1</v>
      </c>
      <c r="D742" t="s">
        <v>17</v>
      </c>
      <c r="E742" s="6" t="s">
        <v>19</v>
      </c>
      <c r="F742" s="151">
        <v>30.833333333333329</v>
      </c>
      <c r="G742" s="7" t="s">
        <v>36</v>
      </c>
      <c r="H742" s="7" t="s">
        <v>195</v>
      </c>
      <c r="I742" s="7" t="s">
        <v>38</v>
      </c>
      <c r="J742">
        <v>0.16</v>
      </c>
      <c r="K742" s="148">
        <v>0.13639999999999999</v>
      </c>
      <c r="L742">
        <v>0.43</v>
      </c>
      <c r="M742" s="148">
        <v>0.35820000000000002</v>
      </c>
      <c r="N742">
        <v>0</v>
      </c>
      <c r="O742">
        <v>39</v>
      </c>
      <c r="P742">
        <v>39</v>
      </c>
    </row>
    <row r="743" spans="1:16">
      <c r="A743">
        <v>742</v>
      </c>
      <c r="B743" s="2">
        <v>40577</v>
      </c>
      <c r="C743">
        <v>1</v>
      </c>
      <c r="D743" t="s">
        <v>17</v>
      </c>
      <c r="E743" s="6" t="s">
        <v>19</v>
      </c>
      <c r="F743" s="151">
        <v>30.875</v>
      </c>
      <c r="G743" s="7" t="s">
        <v>36</v>
      </c>
      <c r="H743" s="7" t="s">
        <v>195</v>
      </c>
      <c r="I743" s="7" t="s">
        <v>38</v>
      </c>
      <c r="J743">
        <v>0.14000000000000001</v>
      </c>
      <c r="K743" s="148">
        <v>0.1212</v>
      </c>
      <c r="L743">
        <v>0.5</v>
      </c>
      <c r="M743" s="148">
        <v>0.32840000000000003</v>
      </c>
      <c r="N743">
        <v>1</v>
      </c>
      <c r="O743">
        <v>86</v>
      </c>
      <c r="P743">
        <v>87</v>
      </c>
    </row>
    <row r="744" spans="1:16">
      <c r="A744">
        <v>743</v>
      </c>
      <c r="B744" s="2">
        <v>40577</v>
      </c>
      <c r="C744">
        <v>1</v>
      </c>
      <c r="D744" t="s">
        <v>17</v>
      </c>
      <c r="E744" s="6" t="s">
        <v>19</v>
      </c>
      <c r="F744" s="151">
        <v>30.916666666666671</v>
      </c>
      <c r="G744" s="7" t="s">
        <v>36</v>
      </c>
      <c r="H744" s="7" t="s">
        <v>195</v>
      </c>
      <c r="I744" s="7" t="s">
        <v>38</v>
      </c>
      <c r="J744">
        <v>0.14000000000000001</v>
      </c>
      <c r="K744" s="148">
        <v>0.1212</v>
      </c>
      <c r="L744">
        <v>0.5</v>
      </c>
      <c r="M744" s="148">
        <v>0.35820000000000002</v>
      </c>
      <c r="N744">
        <v>4</v>
      </c>
      <c r="O744">
        <v>184</v>
      </c>
      <c r="P744">
        <v>188</v>
      </c>
    </row>
    <row r="745" spans="1:16">
      <c r="A745">
        <v>744</v>
      </c>
      <c r="B745" s="2">
        <v>40577</v>
      </c>
      <c r="C745">
        <v>1</v>
      </c>
      <c r="D745" t="s">
        <v>17</v>
      </c>
      <c r="E745" s="6" t="s">
        <v>19</v>
      </c>
      <c r="F745" s="151">
        <v>30.958333333333329</v>
      </c>
      <c r="G745" s="7" t="s">
        <v>36</v>
      </c>
      <c r="H745" s="7" t="s">
        <v>195</v>
      </c>
      <c r="I745" s="7" t="s">
        <v>38</v>
      </c>
      <c r="J745">
        <v>0.16</v>
      </c>
      <c r="K745" s="148">
        <v>0.13639999999999999</v>
      </c>
      <c r="L745">
        <v>0.47</v>
      </c>
      <c r="M745" s="148">
        <v>0.29849999999999999</v>
      </c>
      <c r="N745">
        <v>6</v>
      </c>
      <c r="O745">
        <v>127</v>
      </c>
      <c r="P745">
        <v>133</v>
      </c>
    </row>
    <row r="746" spans="1:16">
      <c r="A746">
        <v>745</v>
      </c>
      <c r="B746" s="2">
        <v>40577</v>
      </c>
      <c r="C746">
        <v>1</v>
      </c>
      <c r="D746" t="s">
        <v>17</v>
      </c>
      <c r="E746" s="6" t="s">
        <v>19</v>
      </c>
      <c r="F746" s="151">
        <v>31</v>
      </c>
      <c r="G746" s="7" t="s">
        <v>36</v>
      </c>
      <c r="H746" s="7" t="s">
        <v>195</v>
      </c>
      <c r="I746" s="7" t="s">
        <v>38</v>
      </c>
      <c r="J746">
        <v>0.18</v>
      </c>
      <c r="K746" s="148">
        <v>0.1515</v>
      </c>
      <c r="L746">
        <v>0.43</v>
      </c>
      <c r="M746" s="148">
        <v>0.32840000000000003</v>
      </c>
      <c r="N746">
        <v>2</v>
      </c>
      <c r="O746">
        <v>50</v>
      </c>
      <c r="P746">
        <v>52</v>
      </c>
    </row>
    <row r="747" spans="1:16">
      <c r="A747">
        <v>746</v>
      </c>
      <c r="B747" s="2">
        <v>40577</v>
      </c>
      <c r="C747">
        <v>1</v>
      </c>
      <c r="D747" t="s">
        <v>17</v>
      </c>
      <c r="E747" s="6" t="s">
        <v>19</v>
      </c>
      <c r="F747" s="151">
        <v>31.041666666666671</v>
      </c>
      <c r="G747" s="7" t="s">
        <v>36</v>
      </c>
      <c r="H747" s="7" t="s">
        <v>195</v>
      </c>
      <c r="I747" s="7" t="s">
        <v>38</v>
      </c>
      <c r="J747">
        <v>0.18</v>
      </c>
      <c r="K747" s="148">
        <v>0.13639999999999999</v>
      </c>
      <c r="L747">
        <v>0.43</v>
      </c>
      <c r="M747" s="148">
        <v>0.44779999999999998</v>
      </c>
      <c r="N747">
        <v>9</v>
      </c>
      <c r="O747">
        <v>55</v>
      </c>
      <c r="P747">
        <v>64</v>
      </c>
    </row>
    <row r="748" spans="1:16">
      <c r="A748">
        <v>747</v>
      </c>
      <c r="B748" s="2">
        <v>40577</v>
      </c>
      <c r="C748">
        <v>1</v>
      </c>
      <c r="D748" t="s">
        <v>17</v>
      </c>
      <c r="E748" s="6" t="s">
        <v>19</v>
      </c>
      <c r="F748" s="151">
        <v>31.083333333333329</v>
      </c>
      <c r="G748" s="7" t="s">
        <v>36</v>
      </c>
      <c r="H748" s="7" t="s">
        <v>195</v>
      </c>
      <c r="I748" s="7" t="s">
        <v>38</v>
      </c>
      <c r="J748">
        <v>0.2</v>
      </c>
      <c r="K748" s="148">
        <v>0.18179999999999999</v>
      </c>
      <c r="L748">
        <v>0.4</v>
      </c>
      <c r="M748" s="148">
        <v>0.35820000000000002</v>
      </c>
      <c r="N748">
        <v>2</v>
      </c>
      <c r="O748">
        <v>67</v>
      </c>
      <c r="P748">
        <v>69</v>
      </c>
    </row>
    <row r="749" spans="1:16">
      <c r="A749">
        <v>748</v>
      </c>
      <c r="B749" s="2">
        <v>40577</v>
      </c>
      <c r="C749">
        <v>1</v>
      </c>
      <c r="D749" t="s">
        <v>17</v>
      </c>
      <c r="E749" s="6" t="s">
        <v>19</v>
      </c>
      <c r="F749" s="151">
        <v>31.125</v>
      </c>
      <c r="G749" s="7" t="s">
        <v>36</v>
      </c>
      <c r="H749" s="7" t="s">
        <v>195</v>
      </c>
      <c r="I749" s="7" t="s">
        <v>38</v>
      </c>
      <c r="J749">
        <v>0.2</v>
      </c>
      <c r="K749" s="148">
        <v>0.16669999999999999</v>
      </c>
      <c r="L749">
        <v>0.4</v>
      </c>
      <c r="M749" s="148">
        <v>0.41789999999999999</v>
      </c>
      <c r="N749">
        <v>4</v>
      </c>
      <c r="O749">
        <v>47</v>
      </c>
      <c r="P749">
        <v>51</v>
      </c>
    </row>
    <row r="750" spans="1:16">
      <c r="A750">
        <v>749</v>
      </c>
      <c r="B750" s="2">
        <v>40577</v>
      </c>
      <c r="C750">
        <v>1</v>
      </c>
      <c r="D750" t="s">
        <v>17</v>
      </c>
      <c r="E750" s="6" t="s">
        <v>19</v>
      </c>
      <c r="F750" s="151">
        <v>31.166666666666671</v>
      </c>
      <c r="G750" s="7" t="s">
        <v>36</v>
      </c>
      <c r="H750" s="7" t="s">
        <v>195</v>
      </c>
      <c r="I750" s="7" t="s">
        <v>38</v>
      </c>
      <c r="J750">
        <v>0.22</v>
      </c>
      <c r="K750" s="148">
        <v>0.19700000000000001</v>
      </c>
      <c r="L750">
        <v>0.37</v>
      </c>
      <c r="M750" s="148">
        <v>0.3881</v>
      </c>
      <c r="N750">
        <v>4</v>
      </c>
      <c r="O750">
        <v>43</v>
      </c>
      <c r="P750">
        <v>47</v>
      </c>
    </row>
    <row r="751" spans="1:16">
      <c r="A751">
        <v>750</v>
      </c>
      <c r="B751" s="2">
        <v>40577</v>
      </c>
      <c r="C751">
        <v>1</v>
      </c>
      <c r="D751" t="s">
        <v>17</v>
      </c>
      <c r="E751" s="6" t="s">
        <v>19</v>
      </c>
      <c r="F751" s="151">
        <v>31.208333333333329</v>
      </c>
      <c r="G751" s="7" t="s">
        <v>36</v>
      </c>
      <c r="H751" s="7" t="s">
        <v>195</v>
      </c>
      <c r="I751" s="7" t="s">
        <v>38</v>
      </c>
      <c r="J751">
        <v>0.22</v>
      </c>
      <c r="K751" s="148">
        <v>0.19700000000000001</v>
      </c>
      <c r="L751">
        <v>0.37</v>
      </c>
      <c r="M751" s="148">
        <v>0.32840000000000003</v>
      </c>
      <c r="N751">
        <v>4</v>
      </c>
      <c r="O751">
        <v>56</v>
      </c>
      <c r="P751">
        <v>60</v>
      </c>
    </row>
    <row r="752" spans="1:16">
      <c r="A752">
        <v>751</v>
      </c>
      <c r="B752" s="2">
        <v>40577</v>
      </c>
      <c r="C752">
        <v>1</v>
      </c>
      <c r="D752" t="s">
        <v>17</v>
      </c>
      <c r="E752" s="6" t="s">
        <v>19</v>
      </c>
      <c r="F752" s="151">
        <v>31.25</v>
      </c>
      <c r="G752" s="7" t="s">
        <v>36</v>
      </c>
      <c r="H752" s="7" t="s">
        <v>195</v>
      </c>
      <c r="I752" s="7" t="s">
        <v>38</v>
      </c>
      <c r="J752">
        <v>0.22</v>
      </c>
      <c r="K752" s="148">
        <v>0.21210000000000001</v>
      </c>
      <c r="L752">
        <v>0.37</v>
      </c>
      <c r="M752" s="148">
        <v>0.25369999999999998</v>
      </c>
      <c r="N752">
        <v>5</v>
      </c>
      <c r="O752">
        <v>73</v>
      </c>
      <c r="P752">
        <v>78</v>
      </c>
    </row>
    <row r="753" spans="1:16">
      <c r="A753">
        <v>752</v>
      </c>
      <c r="B753" s="2">
        <v>40577</v>
      </c>
      <c r="C753">
        <v>1</v>
      </c>
      <c r="D753" t="s">
        <v>17</v>
      </c>
      <c r="E753" s="6" t="s">
        <v>19</v>
      </c>
      <c r="F753" s="151">
        <v>31.291666666666671</v>
      </c>
      <c r="G753" s="7" t="s">
        <v>36</v>
      </c>
      <c r="H753" s="7" t="s">
        <v>195</v>
      </c>
      <c r="I753" s="7" t="s">
        <v>38</v>
      </c>
      <c r="J753">
        <v>0.2</v>
      </c>
      <c r="K753" s="148">
        <v>0.19700000000000001</v>
      </c>
      <c r="L753">
        <v>0.4</v>
      </c>
      <c r="M753" s="148">
        <v>0.19400000000000001</v>
      </c>
      <c r="N753">
        <v>5</v>
      </c>
      <c r="O753">
        <v>170</v>
      </c>
      <c r="P753">
        <v>175</v>
      </c>
    </row>
    <row r="754" spans="1:16">
      <c r="A754">
        <v>753</v>
      </c>
      <c r="B754" s="2">
        <v>40577</v>
      </c>
      <c r="C754">
        <v>1</v>
      </c>
      <c r="D754" t="s">
        <v>17</v>
      </c>
      <c r="E754" s="6" t="s">
        <v>19</v>
      </c>
      <c r="F754" s="151">
        <v>31.333333333333329</v>
      </c>
      <c r="G754" s="7" t="s">
        <v>36</v>
      </c>
      <c r="H754" s="7" t="s">
        <v>195</v>
      </c>
      <c r="I754" s="7" t="s">
        <v>38</v>
      </c>
      <c r="J754">
        <v>0.2</v>
      </c>
      <c r="K754" s="148">
        <v>0.21210000000000001</v>
      </c>
      <c r="L754">
        <v>0.4</v>
      </c>
      <c r="M754" s="148">
        <v>0.16420000000000001</v>
      </c>
      <c r="N754">
        <v>2</v>
      </c>
      <c r="O754">
        <v>145</v>
      </c>
      <c r="P754">
        <v>147</v>
      </c>
    </row>
    <row r="755" spans="1:16">
      <c r="A755">
        <v>754</v>
      </c>
      <c r="B755" s="2">
        <v>40577</v>
      </c>
      <c r="C755">
        <v>1</v>
      </c>
      <c r="D755" t="s">
        <v>17</v>
      </c>
      <c r="E755" s="6" t="s">
        <v>19</v>
      </c>
      <c r="F755" s="151">
        <v>31.375</v>
      </c>
      <c r="G755" s="7" t="s">
        <v>36</v>
      </c>
      <c r="H755" s="7" t="s">
        <v>195</v>
      </c>
      <c r="I755" s="7" t="s">
        <v>38</v>
      </c>
      <c r="J755">
        <v>0.2</v>
      </c>
      <c r="K755" s="148">
        <v>0.2576</v>
      </c>
      <c r="L755">
        <v>0.4</v>
      </c>
      <c r="M755" s="148">
        <v>0</v>
      </c>
      <c r="N755">
        <v>4</v>
      </c>
      <c r="O755">
        <v>92</v>
      </c>
      <c r="P755">
        <v>96</v>
      </c>
    </row>
    <row r="756" spans="1:16">
      <c r="A756">
        <v>755</v>
      </c>
      <c r="B756" s="2">
        <v>40577</v>
      </c>
      <c r="C756">
        <v>1</v>
      </c>
      <c r="D756" t="s">
        <v>17</v>
      </c>
      <c r="E756" s="6" t="s">
        <v>19</v>
      </c>
      <c r="F756" s="151">
        <v>31.416666666666671</v>
      </c>
      <c r="G756" s="7" t="s">
        <v>36</v>
      </c>
      <c r="H756" s="7" t="s">
        <v>195</v>
      </c>
      <c r="I756" s="7" t="s">
        <v>38</v>
      </c>
      <c r="J756">
        <v>0.2</v>
      </c>
      <c r="K756" s="148">
        <v>0.2273</v>
      </c>
      <c r="L756">
        <v>0.47</v>
      </c>
      <c r="M756" s="148">
        <v>8.9599999999999999E-2</v>
      </c>
      <c r="N756">
        <v>1</v>
      </c>
      <c r="O756">
        <v>108</v>
      </c>
      <c r="P756">
        <v>109</v>
      </c>
    </row>
    <row r="757" spans="1:16">
      <c r="A757">
        <v>756</v>
      </c>
      <c r="B757" s="2">
        <v>40577</v>
      </c>
      <c r="C757">
        <v>1</v>
      </c>
      <c r="D757" t="s">
        <v>17</v>
      </c>
      <c r="E757" s="6" t="s">
        <v>19</v>
      </c>
      <c r="F757" s="151">
        <v>31.458333333333329</v>
      </c>
      <c r="G757" s="7" t="s">
        <v>36</v>
      </c>
      <c r="H757" s="7" t="s">
        <v>195</v>
      </c>
      <c r="I757" s="7" t="s">
        <v>38</v>
      </c>
      <c r="J757">
        <v>0.18</v>
      </c>
      <c r="K757" s="148">
        <v>0.21210000000000001</v>
      </c>
      <c r="L757">
        <v>0.55000000000000004</v>
      </c>
      <c r="M757" s="148">
        <v>0.1045</v>
      </c>
      <c r="N757">
        <v>1</v>
      </c>
      <c r="O757">
        <v>53</v>
      </c>
      <c r="P757">
        <v>54</v>
      </c>
    </row>
    <row r="758" spans="1:16">
      <c r="A758">
        <v>757</v>
      </c>
      <c r="B758" s="2">
        <v>40577</v>
      </c>
      <c r="C758">
        <v>1</v>
      </c>
      <c r="D758" t="s">
        <v>17</v>
      </c>
      <c r="E758" s="6" t="s">
        <v>19</v>
      </c>
      <c r="F758" s="151">
        <v>31.5</v>
      </c>
      <c r="G758" s="7" t="s">
        <v>36</v>
      </c>
      <c r="H758" s="7" t="s">
        <v>195</v>
      </c>
      <c r="I758" s="7" t="s">
        <v>38</v>
      </c>
      <c r="J758">
        <v>0.18</v>
      </c>
      <c r="K758" s="148">
        <v>0.21210000000000001</v>
      </c>
      <c r="L758">
        <v>0.51</v>
      </c>
      <c r="M758" s="148">
        <v>8.9599999999999999E-2</v>
      </c>
      <c r="N758">
        <v>2</v>
      </c>
      <c r="O758">
        <v>39</v>
      </c>
      <c r="P758">
        <v>41</v>
      </c>
    </row>
    <row r="759" spans="1:16">
      <c r="A759">
        <v>758</v>
      </c>
      <c r="B759" s="2">
        <v>40577</v>
      </c>
      <c r="C759">
        <v>1</v>
      </c>
      <c r="D759" t="s">
        <v>17</v>
      </c>
      <c r="E759" s="6" t="s">
        <v>19</v>
      </c>
      <c r="F759" s="151">
        <v>31.541666666666671</v>
      </c>
      <c r="G759" s="7" t="s">
        <v>36</v>
      </c>
      <c r="H759" s="7" t="s">
        <v>195</v>
      </c>
      <c r="I759" s="7" t="s">
        <v>38</v>
      </c>
      <c r="J759">
        <v>0.2</v>
      </c>
      <c r="K759" s="148">
        <v>0.2273</v>
      </c>
      <c r="L759">
        <v>0.47</v>
      </c>
      <c r="M759" s="148">
        <v>0.1045</v>
      </c>
      <c r="N759">
        <v>4</v>
      </c>
      <c r="O759">
        <v>34</v>
      </c>
      <c r="P759">
        <v>38</v>
      </c>
    </row>
    <row r="760" spans="1:16">
      <c r="A760">
        <v>759</v>
      </c>
      <c r="B760" s="2">
        <v>40578</v>
      </c>
      <c r="C760">
        <v>1</v>
      </c>
      <c r="D760" t="s">
        <v>17</v>
      </c>
      <c r="E760" s="6" t="s">
        <v>19</v>
      </c>
      <c r="F760" s="151">
        <v>31.583333333333329</v>
      </c>
      <c r="G760" s="7" t="s">
        <v>36</v>
      </c>
      <c r="H760" s="7" t="s">
        <v>44</v>
      </c>
      <c r="I760" s="7" t="s">
        <v>39</v>
      </c>
      <c r="J760">
        <v>0.2</v>
      </c>
      <c r="K760" s="148">
        <v>0.2576</v>
      </c>
      <c r="L760">
        <v>0.44</v>
      </c>
      <c r="M760" s="148">
        <v>0</v>
      </c>
      <c r="N760">
        <v>3</v>
      </c>
      <c r="O760">
        <v>10</v>
      </c>
      <c r="P760">
        <v>13</v>
      </c>
    </row>
    <row r="761" spans="1:16">
      <c r="A761">
        <v>760</v>
      </c>
      <c r="B761" s="2">
        <v>40578</v>
      </c>
      <c r="C761">
        <v>1</v>
      </c>
      <c r="D761" t="s">
        <v>17</v>
      </c>
      <c r="E761" s="6" t="s">
        <v>19</v>
      </c>
      <c r="F761" s="151">
        <v>31.625</v>
      </c>
      <c r="G761" s="7" t="s">
        <v>36</v>
      </c>
      <c r="H761" s="7" t="s">
        <v>44</v>
      </c>
      <c r="I761" s="7" t="s">
        <v>39</v>
      </c>
      <c r="J761">
        <v>0.16</v>
      </c>
      <c r="K761" s="148">
        <v>0.2273</v>
      </c>
      <c r="L761">
        <v>0.59</v>
      </c>
      <c r="M761" s="148">
        <v>0</v>
      </c>
      <c r="N761">
        <v>0</v>
      </c>
      <c r="O761">
        <v>7</v>
      </c>
      <c r="P761">
        <v>7</v>
      </c>
    </row>
    <row r="762" spans="1:16">
      <c r="A762">
        <v>761</v>
      </c>
      <c r="B762" s="2">
        <v>40578</v>
      </c>
      <c r="C762">
        <v>1</v>
      </c>
      <c r="D762" t="s">
        <v>17</v>
      </c>
      <c r="E762" s="6" t="s">
        <v>19</v>
      </c>
      <c r="F762" s="151">
        <v>31.666666666666671</v>
      </c>
      <c r="G762" s="7" t="s">
        <v>36</v>
      </c>
      <c r="H762" s="7" t="s">
        <v>44</v>
      </c>
      <c r="I762" s="7" t="s">
        <v>39</v>
      </c>
      <c r="J762">
        <v>0.14000000000000001</v>
      </c>
      <c r="K762" s="148">
        <v>0.16669999999999999</v>
      </c>
      <c r="L762">
        <v>0.63</v>
      </c>
      <c r="M762" s="148">
        <v>0.1045</v>
      </c>
      <c r="N762">
        <v>0</v>
      </c>
      <c r="O762">
        <v>1</v>
      </c>
      <c r="P762">
        <v>1</v>
      </c>
    </row>
    <row r="763" spans="1:16">
      <c r="A763">
        <v>762</v>
      </c>
      <c r="B763" s="2">
        <v>40578</v>
      </c>
      <c r="C763">
        <v>1</v>
      </c>
      <c r="D763" t="s">
        <v>17</v>
      </c>
      <c r="E763" s="6" t="s">
        <v>19</v>
      </c>
      <c r="F763" s="151">
        <v>31.708333333333329</v>
      </c>
      <c r="G763" s="7" t="s">
        <v>36</v>
      </c>
      <c r="H763" s="7" t="s">
        <v>44</v>
      </c>
      <c r="I763" s="7" t="s">
        <v>39</v>
      </c>
      <c r="J763">
        <v>0.14000000000000001</v>
      </c>
      <c r="K763" s="148">
        <v>0.16669999999999999</v>
      </c>
      <c r="L763">
        <v>0.63</v>
      </c>
      <c r="M763" s="148">
        <v>0.1045</v>
      </c>
      <c r="N763">
        <v>0</v>
      </c>
      <c r="O763">
        <v>1</v>
      </c>
      <c r="P763">
        <v>1</v>
      </c>
    </row>
    <row r="764" spans="1:16">
      <c r="A764">
        <v>763</v>
      </c>
      <c r="B764" s="2">
        <v>40578</v>
      </c>
      <c r="C764">
        <v>1</v>
      </c>
      <c r="D764" t="s">
        <v>17</v>
      </c>
      <c r="E764" s="6" t="s">
        <v>19</v>
      </c>
      <c r="F764" s="151">
        <v>31.75</v>
      </c>
      <c r="G764" s="7" t="s">
        <v>36</v>
      </c>
      <c r="H764" s="7" t="s">
        <v>44</v>
      </c>
      <c r="I764" s="7" t="s">
        <v>39</v>
      </c>
      <c r="J764">
        <v>0.14000000000000001</v>
      </c>
      <c r="K764" s="148">
        <v>0.1515</v>
      </c>
      <c r="L764">
        <v>0.63</v>
      </c>
      <c r="M764" s="148">
        <v>0.1343</v>
      </c>
      <c r="N764">
        <v>0</v>
      </c>
      <c r="O764">
        <v>7</v>
      </c>
      <c r="P764">
        <v>7</v>
      </c>
    </row>
    <row r="765" spans="1:16">
      <c r="A765">
        <v>764</v>
      </c>
      <c r="B765" s="2">
        <v>40578</v>
      </c>
      <c r="C765">
        <v>1</v>
      </c>
      <c r="D765" t="s">
        <v>17</v>
      </c>
      <c r="E765" s="6" t="s">
        <v>19</v>
      </c>
      <c r="F765" s="151">
        <v>31.791666666666671</v>
      </c>
      <c r="G765" s="7" t="s">
        <v>36</v>
      </c>
      <c r="H765" s="7" t="s">
        <v>44</v>
      </c>
      <c r="I765" s="7" t="s">
        <v>39</v>
      </c>
      <c r="J765">
        <v>0.16</v>
      </c>
      <c r="K765" s="148">
        <v>0.2273</v>
      </c>
      <c r="L765">
        <v>0.55000000000000004</v>
      </c>
      <c r="M765" s="148">
        <v>0</v>
      </c>
      <c r="N765">
        <v>2</v>
      </c>
      <c r="O765">
        <v>26</v>
      </c>
      <c r="P765">
        <v>28</v>
      </c>
    </row>
    <row r="766" spans="1:16">
      <c r="A766">
        <v>765</v>
      </c>
      <c r="B766" s="2">
        <v>40578</v>
      </c>
      <c r="C766">
        <v>1</v>
      </c>
      <c r="D766" t="s">
        <v>17</v>
      </c>
      <c r="E766" s="6" t="s">
        <v>19</v>
      </c>
      <c r="F766" s="151">
        <v>31.833333333333329</v>
      </c>
      <c r="G766" s="7" t="s">
        <v>36</v>
      </c>
      <c r="H766" s="7" t="s">
        <v>44</v>
      </c>
      <c r="I766" s="7" t="s">
        <v>38</v>
      </c>
      <c r="J766">
        <v>0.14000000000000001</v>
      </c>
      <c r="K766" s="148">
        <v>0.21210000000000001</v>
      </c>
      <c r="L766">
        <v>0.59</v>
      </c>
      <c r="M766" s="148">
        <v>0</v>
      </c>
      <c r="N766">
        <v>0</v>
      </c>
      <c r="O766">
        <v>87</v>
      </c>
      <c r="P766">
        <v>87</v>
      </c>
    </row>
    <row r="767" spans="1:16">
      <c r="A767">
        <v>766</v>
      </c>
      <c r="B767" s="2">
        <v>40578</v>
      </c>
      <c r="C767">
        <v>1</v>
      </c>
      <c r="D767" t="s">
        <v>17</v>
      </c>
      <c r="E767" s="6" t="s">
        <v>19</v>
      </c>
      <c r="F767" s="151">
        <v>31.875</v>
      </c>
      <c r="G767" s="7" t="s">
        <v>36</v>
      </c>
      <c r="H767" s="7" t="s">
        <v>44</v>
      </c>
      <c r="I767" s="7" t="s">
        <v>38</v>
      </c>
      <c r="J767">
        <v>0.14000000000000001</v>
      </c>
      <c r="K767" s="148">
        <v>0.1515</v>
      </c>
      <c r="L767">
        <v>0.74</v>
      </c>
      <c r="M767" s="148">
        <v>0.1343</v>
      </c>
      <c r="N767">
        <v>3</v>
      </c>
      <c r="O767">
        <v>217</v>
      </c>
      <c r="P767">
        <v>220</v>
      </c>
    </row>
    <row r="768" spans="1:16">
      <c r="A768">
        <v>767</v>
      </c>
      <c r="B768" s="2">
        <v>40578</v>
      </c>
      <c r="C768">
        <v>1</v>
      </c>
      <c r="D768" t="s">
        <v>17</v>
      </c>
      <c r="E768" s="6" t="s">
        <v>19</v>
      </c>
      <c r="F768" s="151">
        <v>31.916666666666671</v>
      </c>
      <c r="G768" s="7" t="s">
        <v>36</v>
      </c>
      <c r="H768" s="7" t="s">
        <v>44</v>
      </c>
      <c r="I768" s="7" t="s">
        <v>39</v>
      </c>
      <c r="J768">
        <v>0.16</v>
      </c>
      <c r="K768" s="148">
        <v>0.18179999999999999</v>
      </c>
      <c r="L768">
        <v>0.8</v>
      </c>
      <c r="M768" s="148">
        <v>0.1343</v>
      </c>
      <c r="N768">
        <v>3</v>
      </c>
      <c r="O768">
        <v>124</v>
      </c>
      <c r="P768">
        <v>127</v>
      </c>
    </row>
    <row r="769" spans="1:16">
      <c r="A769">
        <v>768</v>
      </c>
      <c r="B769" s="2">
        <v>40578</v>
      </c>
      <c r="C769">
        <v>1</v>
      </c>
      <c r="D769" t="s">
        <v>17</v>
      </c>
      <c r="E769" s="6" t="s">
        <v>19</v>
      </c>
      <c r="F769" s="151">
        <v>31.958333333333329</v>
      </c>
      <c r="G769" s="7" t="s">
        <v>36</v>
      </c>
      <c r="H769" s="7" t="s">
        <v>44</v>
      </c>
      <c r="I769" s="7" t="s">
        <v>39</v>
      </c>
      <c r="J769">
        <v>0.2</v>
      </c>
      <c r="K769" s="148">
        <v>0.21210000000000001</v>
      </c>
      <c r="L769">
        <v>0.51</v>
      </c>
      <c r="M769" s="148">
        <v>0.1343</v>
      </c>
      <c r="N769">
        <v>5</v>
      </c>
      <c r="O769">
        <v>46</v>
      </c>
      <c r="P769">
        <v>51</v>
      </c>
    </row>
    <row r="770" spans="1:16">
      <c r="A770">
        <v>769</v>
      </c>
      <c r="B770" s="2">
        <v>40578</v>
      </c>
      <c r="C770">
        <v>1</v>
      </c>
      <c r="D770" t="s">
        <v>17</v>
      </c>
      <c r="E770" s="6" t="s">
        <v>19</v>
      </c>
      <c r="F770" s="151">
        <v>32</v>
      </c>
      <c r="G770" s="7" t="s">
        <v>36</v>
      </c>
      <c r="H770" s="7" t="s">
        <v>44</v>
      </c>
      <c r="I770" s="7" t="s">
        <v>38</v>
      </c>
      <c r="J770">
        <v>0.22</v>
      </c>
      <c r="K770" s="148">
        <v>0.2273</v>
      </c>
      <c r="L770">
        <v>0.51</v>
      </c>
      <c r="M770" s="148">
        <v>0.16420000000000001</v>
      </c>
      <c r="N770">
        <v>3</v>
      </c>
      <c r="O770">
        <v>61</v>
      </c>
      <c r="P770">
        <v>64</v>
      </c>
    </row>
    <row r="771" spans="1:16">
      <c r="A771">
        <v>770</v>
      </c>
      <c r="B771" s="2">
        <v>40578</v>
      </c>
      <c r="C771">
        <v>1</v>
      </c>
      <c r="D771" t="s">
        <v>17</v>
      </c>
      <c r="E771" s="6" t="s">
        <v>19</v>
      </c>
      <c r="F771" s="151">
        <v>32.041666666666657</v>
      </c>
      <c r="G771" s="7" t="s">
        <v>36</v>
      </c>
      <c r="H771" s="7" t="s">
        <v>44</v>
      </c>
      <c r="I771" s="7" t="s">
        <v>39</v>
      </c>
      <c r="J771">
        <v>0.24</v>
      </c>
      <c r="K771" s="148">
        <v>0.2424</v>
      </c>
      <c r="L771">
        <v>0.48</v>
      </c>
      <c r="M771" s="148">
        <v>0.16420000000000001</v>
      </c>
      <c r="N771">
        <v>8</v>
      </c>
      <c r="O771">
        <v>78</v>
      </c>
      <c r="P771">
        <v>86</v>
      </c>
    </row>
    <row r="772" spans="1:16">
      <c r="A772">
        <v>771</v>
      </c>
      <c r="B772" s="2">
        <v>40578</v>
      </c>
      <c r="C772">
        <v>1</v>
      </c>
      <c r="D772" t="s">
        <v>17</v>
      </c>
      <c r="E772" s="6" t="s">
        <v>19</v>
      </c>
      <c r="F772" s="151">
        <v>32.083333333333343</v>
      </c>
      <c r="G772" s="7" t="s">
        <v>36</v>
      </c>
      <c r="H772" s="7" t="s">
        <v>44</v>
      </c>
      <c r="I772" s="7" t="s">
        <v>39</v>
      </c>
      <c r="J772">
        <v>0.26</v>
      </c>
      <c r="K772" s="148">
        <v>0.2576</v>
      </c>
      <c r="L772">
        <v>0.5</v>
      </c>
      <c r="M772" s="148">
        <v>0.22389999999999999</v>
      </c>
      <c r="N772">
        <v>9</v>
      </c>
      <c r="O772">
        <v>73</v>
      </c>
      <c r="P772">
        <v>82</v>
      </c>
    </row>
    <row r="773" spans="1:16">
      <c r="A773">
        <v>772</v>
      </c>
      <c r="B773" s="2">
        <v>40578</v>
      </c>
      <c r="C773">
        <v>1</v>
      </c>
      <c r="D773" t="s">
        <v>17</v>
      </c>
      <c r="E773" s="6" t="s">
        <v>19</v>
      </c>
      <c r="F773" s="151">
        <v>32.125</v>
      </c>
      <c r="G773" s="7" t="s">
        <v>36</v>
      </c>
      <c r="H773" s="7" t="s">
        <v>44</v>
      </c>
      <c r="I773" s="7" t="s">
        <v>39</v>
      </c>
      <c r="J773">
        <v>0.28000000000000003</v>
      </c>
      <c r="K773" s="148">
        <v>0.2727</v>
      </c>
      <c r="L773">
        <v>0.45</v>
      </c>
      <c r="M773" s="148">
        <v>0.16420000000000001</v>
      </c>
      <c r="N773">
        <v>15</v>
      </c>
      <c r="O773">
        <v>76</v>
      </c>
      <c r="P773">
        <v>91</v>
      </c>
    </row>
    <row r="774" spans="1:16">
      <c r="A774">
        <v>773</v>
      </c>
      <c r="B774" s="2">
        <v>40578</v>
      </c>
      <c r="C774">
        <v>1</v>
      </c>
      <c r="D774" t="s">
        <v>17</v>
      </c>
      <c r="E774" s="6" t="s">
        <v>19</v>
      </c>
      <c r="F774" s="151">
        <v>32.166666666666657</v>
      </c>
      <c r="G774" s="7" t="s">
        <v>36</v>
      </c>
      <c r="H774" s="7" t="s">
        <v>44</v>
      </c>
      <c r="I774" s="7" t="s">
        <v>39</v>
      </c>
      <c r="J774">
        <v>0.28000000000000003</v>
      </c>
      <c r="K774" s="148">
        <v>0.2727</v>
      </c>
      <c r="L774">
        <v>0.48</v>
      </c>
      <c r="M774" s="148">
        <v>0.25369999999999998</v>
      </c>
      <c r="N774">
        <v>9</v>
      </c>
      <c r="O774">
        <v>81</v>
      </c>
      <c r="P774">
        <v>90</v>
      </c>
    </row>
    <row r="775" spans="1:16">
      <c r="A775">
        <v>774</v>
      </c>
      <c r="B775" s="2">
        <v>40578</v>
      </c>
      <c r="C775">
        <v>1</v>
      </c>
      <c r="D775" t="s">
        <v>17</v>
      </c>
      <c r="E775" s="6" t="s">
        <v>19</v>
      </c>
      <c r="F775" s="151">
        <v>32.208333333333343</v>
      </c>
      <c r="G775" s="7" t="s">
        <v>36</v>
      </c>
      <c r="H775" s="7" t="s">
        <v>44</v>
      </c>
      <c r="I775" s="7" t="s">
        <v>39</v>
      </c>
      <c r="J775">
        <v>0.3</v>
      </c>
      <c r="K775" s="148">
        <v>0.28789999999999999</v>
      </c>
      <c r="L775">
        <v>0.42</v>
      </c>
      <c r="M775" s="148">
        <v>0.22389999999999999</v>
      </c>
      <c r="N775">
        <v>8</v>
      </c>
      <c r="O775">
        <v>91</v>
      </c>
      <c r="P775">
        <v>99</v>
      </c>
    </row>
    <row r="776" spans="1:16">
      <c r="A776">
        <v>775</v>
      </c>
      <c r="B776" s="2">
        <v>40578</v>
      </c>
      <c r="C776">
        <v>1</v>
      </c>
      <c r="D776" t="s">
        <v>17</v>
      </c>
      <c r="E776" s="6" t="s">
        <v>19</v>
      </c>
      <c r="F776" s="151">
        <v>32.25</v>
      </c>
      <c r="G776" s="7" t="s">
        <v>36</v>
      </c>
      <c r="H776" s="7" t="s">
        <v>44</v>
      </c>
      <c r="I776" s="7" t="s">
        <v>39</v>
      </c>
      <c r="J776">
        <v>0.26</v>
      </c>
      <c r="K776" s="148">
        <v>0.2727</v>
      </c>
      <c r="L776">
        <v>0.56000000000000005</v>
      </c>
      <c r="M776" s="148">
        <v>0.1343</v>
      </c>
      <c r="N776">
        <v>10</v>
      </c>
      <c r="O776">
        <v>195</v>
      </c>
      <c r="P776">
        <v>205</v>
      </c>
    </row>
    <row r="777" spans="1:16">
      <c r="A777">
        <v>776</v>
      </c>
      <c r="B777" s="2">
        <v>40578</v>
      </c>
      <c r="C777">
        <v>1</v>
      </c>
      <c r="D777" t="s">
        <v>17</v>
      </c>
      <c r="E777" s="6" t="s">
        <v>19</v>
      </c>
      <c r="F777" s="151">
        <v>32.291666666666657</v>
      </c>
      <c r="G777" s="7" t="s">
        <v>36</v>
      </c>
      <c r="H777" s="7" t="s">
        <v>44</v>
      </c>
      <c r="I777" s="7" t="s">
        <v>39</v>
      </c>
      <c r="J777">
        <v>0.24</v>
      </c>
      <c r="K777" s="148">
        <v>0.2576</v>
      </c>
      <c r="L777">
        <v>0.6</v>
      </c>
      <c r="M777" s="148">
        <v>0.1045</v>
      </c>
      <c r="N777">
        <v>3</v>
      </c>
      <c r="O777">
        <v>152</v>
      </c>
      <c r="P777">
        <v>155</v>
      </c>
    </row>
    <row r="778" spans="1:16">
      <c r="A778">
        <v>777</v>
      </c>
      <c r="B778" s="2">
        <v>40578</v>
      </c>
      <c r="C778">
        <v>1</v>
      </c>
      <c r="D778" t="s">
        <v>17</v>
      </c>
      <c r="E778" s="6" t="s">
        <v>19</v>
      </c>
      <c r="F778" s="151">
        <v>32.333333333333343</v>
      </c>
      <c r="G778" s="7" t="s">
        <v>36</v>
      </c>
      <c r="H778" s="7" t="s">
        <v>44</v>
      </c>
      <c r="I778" s="7" t="s">
        <v>39</v>
      </c>
      <c r="J778">
        <v>0.24</v>
      </c>
      <c r="K778" s="148">
        <v>0.2424</v>
      </c>
      <c r="L778">
        <v>0.65</v>
      </c>
      <c r="M778" s="148">
        <v>0.1343</v>
      </c>
      <c r="N778">
        <v>1</v>
      </c>
      <c r="O778">
        <v>102</v>
      </c>
      <c r="P778">
        <v>103</v>
      </c>
    </row>
    <row r="779" spans="1:16">
      <c r="A779">
        <v>778</v>
      </c>
      <c r="B779" s="2">
        <v>40578</v>
      </c>
      <c r="C779">
        <v>1</v>
      </c>
      <c r="D779" t="s">
        <v>17</v>
      </c>
      <c r="E779" s="6" t="s">
        <v>19</v>
      </c>
      <c r="F779" s="151">
        <v>32.375</v>
      </c>
      <c r="G779" s="7" t="s">
        <v>36</v>
      </c>
      <c r="H779" s="7" t="s">
        <v>44</v>
      </c>
      <c r="I779" s="7" t="s">
        <v>39</v>
      </c>
      <c r="J779">
        <v>0.24</v>
      </c>
      <c r="K779" s="148">
        <v>0.2424</v>
      </c>
      <c r="L779">
        <v>0.65</v>
      </c>
      <c r="M779" s="148">
        <v>0.16420000000000001</v>
      </c>
      <c r="N779">
        <v>2</v>
      </c>
      <c r="O779">
        <v>69</v>
      </c>
      <c r="P779">
        <v>71</v>
      </c>
    </row>
    <row r="780" spans="1:16">
      <c r="A780">
        <v>779</v>
      </c>
      <c r="B780" s="2">
        <v>40578</v>
      </c>
      <c r="C780">
        <v>1</v>
      </c>
      <c r="D780" t="s">
        <v>17</v>
      </c>
      <c r="E780" s="6" t="s">
        <v>19</v>
      </c>
      <c r="F780" s="151">
        <v>32.416666666666657</v>
      </c>
      <c r="G780" s="7" t="s">
        <v>36</v>
      </c>
      <c r="H780" s="7" t="s">
        <v>44</v>
      </c>
      <c r="I780" s="7" t="s">
        <v>39</v>
      </c>
      <c r="J780">
        <v>0.24</v>
      </c>
      <c r="K780" s="148">
        <v>0.2424</v>
      </c>
      <c r="L780">
        <v>0.7</v>
      </c>
      <c r="M780" s="148">
        <v>0.16420000000000001</v>
      </c>
      <c r="N780">
        <v>2</v>
      </c>
      <c r="O780">
        <v>41</v>
      </c>
      <c r="P780">
        <v>43</v>
      </c>
    </row>
    <row r="781" spans="1:16">
      <c r="A781">
        <v>780</v>
      </c>
      <c r="B781" s="2">
        <v>40578</v>
      </c>
      <c r="C781">
        <v>1</v>
      </c>
      <c r="D781" t="s">
        <v>17</v>
      </c>
      <c r="E781" s="6" t="s">
        <v>19</v>
      </c>
      <c r="F781" s="151">
        <v>32.458333333333343</v>
      </c>
      <c r="G781" s="7" t="s">
        <v>36</v>
      </c>
      <c r="H781" s="7" t="s">
        <v>44</v>
      </c>
      <c r="I781" s="7" t="s">
        <v>39</v>
      </c>
      <c r="J781">
        <v>0.24</v>
      </c>
      <c r="K781" s="148">
        <v>0.2424</v>
      </c>
      <c r="L781">
        <v>0.65</v>
      </c>
      <c r="M781" s="148">
        <v>0.16420000000000001</v>
      </c>
      <c r="N781">
        <v>1</v>
      </c>
      <c r="O781">
        <v>45</v>
      </c>
      <c r="P781">
        <v>46</v>
      </c>
    </row>
    <row r="782" spans="1:16">
      <c r="A782">
        <v>781</v>
      </c>
      <c r="B782" s="2">
        <v>40578</v>
      </c>
      <c r="C782">
        <v>1</v>
      </c>
      <c r="D782" t="s">
        <v>17</v>
      </c>
      <c r="E782" s="6" t="s">
        <v>19</v>
      </c>
      <c r="F782" s="151">
        <v>32.5</v>
      </c>
      <c r="G782" s="7" t="s">
        <v>36</v>
      </c>
      <c r="H782" s="7" t="s">
        <v>44</v>
      </c>
      <c r="I782" s="7" t="s">
        <v>39</v>
      </c>
      <c r="J782">
        <v>0.24</v>
      </c>
      <c r="K782" s="148">
        <v>0.2424</v>
      </c>
      <c r="L782">
        <v>0.7</v>
      </c>
      <c r="M782" s="148">
        <v>0.1343</v>
      </c>
      <c r="N782">
        <v>1</v>
      </c>
      <c r="O782">
        <v>30</v>
      </c>
      <c r="P782">
        <v>31</v>
      </c>
    </row>
    <row r="783" spans="1:16">
      <c r="A783">
        <v>782</v>
      </c>
      <c r="B783" s="2">
        <v>40579</v>
      </c>
      <c r="C783">
        <v>1</v>
      </c>
      <c r="D783" t="s">
        <v>17</v>
      </c>
      <c r="E783" s="6" t="s">
        <v>19</v>
      </c>
      <c r="F783" s="151">
        <v>32.541666666666657</v>
      </c>
      <c r="G783" s="7" t="s">
        <v>36</v>
      </c>
      <c r="H783" s="7" t="s">
        <v>37</v>
      </c>
      <c r="I783" s="7" t="s">
        <v>39</v>
      </c>
      <c r="J783">
        <v>0.24</v>
      </c>
      <c r="K783" s="148">
        <v>0.2424</v>
      </c>
      <c r="L783">
        <v>0.7</v>
      </c>
      <c r="M783" s="148">
        <v>0.16420000000000001</v>
      </c>
      <c r="N783">
        <v>3</v>
      </c>
      <c r="O783">
        <v>36</v>
      </c>
      <c r="P783">
        <v>39</v>
      </c>
    </row>
    <row r="784" spans="1:16">
      <c r="A784">
        <v>783</v>
      </c>
      <c r="B784" s="2">
        <v>40579</v>
      </c>
      <c r="C784">
        <v>1</v>
      </c>
      <c r="D784" t="s">
        <v>17</v>
      </c>
      <c r="E784" s="6" t="s">
        <v>19</v>
      </c>
      <c r="F784" s="151">
        <v>32.583333333333343</v>
      </c>
      <c r="G784" s="7" t="s">
        <v>36</v>
      </c>
      <c r="H784" s="7" t="s">
        <v>37</v>
      </c>
      <c r="I784" s="7" t="s">
        <v>39</v>
      </c>
      <c r="J784">
        <v>0.24</v>
      </c>
      <c r="K784" s="148">
        <v>0.2424</v>
      </c>
      <c r="L784">
        <v>0.65</v>
      </c>
      <c r="M784" s="148">
        <v>0.16420000000000001</v>
      </c>
      <c r="N784">
        <v>1</v>
      </c>
      <c r="O784">
        <v>17</v>
      </c>
      <c r="P784">
        <v>18</v>
      </c>
    </row>
    <row r="785" spans="1:16">
      <c r="A785">
        <v>784</v>
      </c>
      <c r="B785" s="2">
        <v>40579</v>
      </c>
      <c r="C785">
        <v>1</v>
      </c>
      <c r="D785" t="s">
        <v>17</v>
      </c>
      <c r="E785" s="6" t="s">
        <v>19</v>
      </c>
      <c r="F785" s="151">
        <v>32.625</v>
      </c>
      <c r="G785" s="7" t="s">
        <v>36</v>
      </c>
      <c r="H785" s="7" t="s">
        <v>37</v>
      </c>
      <c r="I785" s="7" t="s">
        <v>39</v>
      </c>
      <c r="J785">
        <v>0.24</v>
      </c>
      <c r="K785" s="148">
        <v>0.2424</v>
      </c>
      <c r="L785">
        <v>0.75</v>
      </c>
      <c r="M785" s="148">
        <v>0.16420000000000001</v>
      </c>
      <c r="N785">
        <v>5</v>
      </c>
      <c r="O785">
        <v>12</v>
      </c>
      <c r="P785">
        <v>17</v>
      </c>
    </row>
    <row r="786" spans="1:16">
      <c r="A786">
        <v>785</v>
      </c>
      <c r="B786" s="2">
        <v>40579</v>
      </c>
      <c r="C786">
        <v>1</v>
      </c>
      <c r="D786" t="s">
        <v>17</v>
      </c>
      <c r="E786" s="6" t="s">
        <v>19</v>
      </c>
      <c r="F786" s="151">
        <v>32.666666666666657</v>
      </c>
      <c r="G786" s="7" t="s">
        <v>36</v>
      </c>
      <c r="H786" s="7" t="s">
        <v>37</v>
      </c>
      <c r="I786" s="7" t="s">
        <v>39</v>
      </c>
      <c r="J786">
        <v>0.24</v>
      </c>
      <c r="K786" s="148">
        <v>0.2424</v>
      </c>
      <c r="L786">
        <v>0.75</v>
      </c>
      <c r="M786" s="148">
        <v>0.16420000000000001</v>
      </c>
      <c r="N786">
        <v>1</v>
      </c>
      <c r="O786">
        <v>10</v>
      </c>
      <c r="P786">
        <v>11</v>
      </c>
    </row>
    <row r="787" spans="1:16">
      <c r="A787">
        <v>786</v>
      </c>
      <c r="B787" s="2">
        <v>40579</v>
      </c>
      <c r="C787">
        <v>1</v>
      </c>
      <c r="D787" t="s">
        <v>17</v>
      </c>
      <c r="E787" s="6" t="s">
        <v>19</v>
      </c>
      <c r="F787" s="151">
        <v>32.708333333333343</v>
      </c>
      <c r="G787" s="7" t="s">
        <v>36</v>
      </c>
      <c r="H787" s="7" t="s">
        <v>37</v>
      </c>
      <c r="I787" s="7" t="s">
        <v>45</v>
      </c>
      <c r="J787">
        <v>0.22</v>
      </c>
      <c r="K787" s="148">
        <v>0.2273</v>
      </c>
      <c r="L787">
        <v>0.93</v>
      </c>
      <c r="M787" s="148">
        <v>0.1343</v>
      </c>
      <c r="N787">
        <v>0</v>
      </c>
      <c r="O787">
        <v>8</v>
      </c>
      <c r="P787">
        <v>8</v>
      </c>
    </row>
    <row r="788" spans="1:16">
      <c r="A788">
        <v>787</v>
      </c>
      <c r="B788" s="2">
        <v>40579</v>
      </c>
      <c r="C788">
        <v>1</v>
      </c>
      <c r="D788" t="s">
        <v>17</v>
      </c>
      <c r="E788" s="6" t="s">
        <v>19</v>
      </c>
      <c r="F788" s="151">
        <v>32.75</v>
      </c>
      <c r="G788" s="7" t="s">
        <v>36</v>
      </c>
      <c r="H788" s="7" t="s">
        <v>37</v>
      </c>
      <c r="I788" s="7" t="s">
        <v>45</v>
      </c>
      <c r="J788">
        <v>0.2</v>
      </c>
      <c r="K788" s="148">
        <v>0.2273</v>
      </c>
      <c r="L788">
        <v>1</v>
      </c>
      <c r="M788" s="148">
        <v>8.9599999999999999E-2</v>
      </c>
      <c r="N788">
        <v>0</v>
      </c>
      <c r="O788">
        <v>9</v>
      </c>
      <c r="P788">
        <v>9</v>
      </c>
    </row>
    <row r="789" spans="1:16">
      <c r="A789">
        <v>788</v>
      </c>
      <c r="B789" s="2">
        <v>40579</v>
      </c>
      <c r="C789">
        <v>1</v>
      </c>
      <c r="D789" t="s">
        <v>17</v>
      </c>
      <c r="E789" s="6" t="s">
        <v>19</v>
      </c>
      <c r="F789" s="151">
        <v>32.791666666666657</v>
      </c>
      <c r="G789" s="7" t="s">
        <v>36</v>
      </c>
      <c r="H789" s="7" t="s">
        <v>37</v>
      </c>
      <c r="I789" s="7" t="s">
        <v>45</v>
      </c>
      <c r="J789">
        <v>0.2</v>
      </c>
      <c r="K789" s="148">
        <v>0.2576</v>
      </c>
      <c r="L789">
        <v>1</v>
      </c>
      <c r="M789" s="148">
        <v>0</v>
      </c>
      <c r="N789">
        <v>0</v>
      </c>
      <c r="O789">
        <v>4</v>
      </c>
      <c r="P789">
        <v>4</v>
      </c>
    </row>
    <row r="790" spans="1:16">
      <c r="A790">
        <v>789</v>
      </c>
      <c r="B790" s="2">
        <v>40579</v>
      </c>
      <c r="C790">
        <v>1</v>
      </c>
      <c r="D790" t="s">
        <v>17</v>
      </c>
      <c r="E790" s="6" t="s">
        <v>19</v>
      </c>
      <c r="F790" s="151">
        <v>32.833333333333343</v>
      </c>
      <c r="G790" s="7" t="s">
        <v>36</v>
      </c>
      <c r="H790" s="7" t="s">
        <v>37</v>
      </c>
      <c r="I790" s="7" t="s">
        <v>45</v>
      </c>
      <c r="J790">
        <v>0.22</v>
      </c>
      <c r="K790" s="148">
        <v>0.2576</v>
      </c>
      <c r="L790">
        <v>0.93</v>
      </c>
      <c r="M790" s="148">
        <v>8.9599999999999999E-2</v>
      </c>
      <c r="N790">
        <v>0</v>
      </c>
      <c r="O790">
        <v>4</v>
      </c>
      <c r="P790">
        <v>4</v>
      </c>
    </row>
    <row r="791" spans="1:16">
      <c r="A791">
        <v>790</v>
      </c>
      <c r="B791" s="2">
        <v>40579</v>
      </c>
      <c r="C791">
        <v>1</v>
      </c>
      <c r="D791" t="s">
        <v>17</v>
      </c>
      <c r="E791" s="6" t="s">
        <v>19</v>
      </c>
      <c r="F791" s="151">
        <v>32.875</v>
      </c>
      <c r="G791" s="7" t="s">
        <v>36</v>
      </c>
      <c r="H791" s="7" t="s">
        <v>37</v>
      </c>
      <c r="I791" s="7" t="s">
        <v>45</v>
      </c>
      <c r="J791">
        <v>0.2</v>
      </c>
      <c r="K791" s="148">
        <v>0.2273</v>
      </c>
      <c r="L791">
        <v>1</v>
      </c>
      <c r="M791" s="148">
        <v>8.9599999999999999E-2</v>
      </c>
      <c r="N791">
        <v>0</v>
      </c>
      <c r="O791">
        <v>10</v>
      </c>
      <c r="P791">
        <v>10</v>
      </c>
    </row>
    <row r="792" spans="1:16">
      <c r="A792">
        <v>791</v>
      </c>
      <c r="B792" s="2">
        <v>40579</v>
      </c>
      <c r="C792">
        <v>1</v>
      </c>
      <c r="D792" t="s">
        <v>17</v>
      </c>
      <c r="E792" s="6" t="s">
        <v>19</v>
      </c>
      <c r="F792" s="151">
        <v>32.916666666666657</v>
      </c>
      <c r="G792" s="7" t="s">
        <v>36</v>
      </c>
      <c r="H792" s="7" t="s">
        <v>37</v>
      </c>
      <c r="I792" s="7" t="s">
        <v>45</v>
      </c>
      <c r="J792">
        <v>0.2</v>
      </c>
      <c r="K792" s="148">
        <v>0.2273</v>
      </c>
      <c r="L792">
        <v>1</v>
      </c>
      <c r="M792" s="148">
        <v>8.9599999999999999E-2</v>
      </c>
      <c r="N792">
        <v>3</v>
      </c>
      <c r="O792">
        <v>17</v>
      </c>
      <c r="P792">
        <v>20</v>
      </c>
    </row>
    <row r="793" spans="1:16">
      <c r="A793">
        <v>792</v>
      </c>
      <c r="B793" s="2">
        <v>40579</v>
      </c>
      <c r="C793">
        <v>1</v>
      </c>
      <c r="D793" t="s">
        <v>17</v>
      </c>
      <c r="E793" s="6" t="s">
        <v>19</v>
      </c>
      <c r="F793" s="151">
        <v>32.958333333333343</v>
      </c>
      <c r="G793" s="7" t="s">
        <v>36</v>
      </c>
      <c r="H793" s="7" t="s">
        <v>37</v>
      </c>
      <c r="I793" s="7" t="s">
        <v>45</v>
      </c>
      <c r="J793">
        <v>0.2</v>
      </c>
      <c r="K793" s="148">
        <v>0.21210000000000001</v>
      </c>
      <c r="L793">
        <v>1</v>
      </c>
      <c r="M793" s="148">
        <v>0.1343</v>
      </c>
      <c r="N793">
        <v>3</v>
      </c>
      <c r="O793">
        <v>31</v>
      </c>
      <c r="P793">
        <v>34</v>
      </c>
    </row>
    <row r="794" spans="1:16">
      <c r="A794">
        <v>793</v>
      </c>
      <c r="B794" s="2">
        <v>40579</v>
      </c>
      <c r="C794">
        <v>1</v>
      </c>
      <c r="D794" t="s">
        <v>17</v>
      </c>
      <c r="E794" s="6" t="s">
        <v>19</v>
      </c>
      <c r="F794" s="151">
        <v>33</v>
      </c>
      <c r="G794" s="7" t="s">
        <v>36</v>
      </c>
      <c r="H794" s="7" t="s">
        <v>37</v>
      </c>
      <c r="I794" s="7" t="s">
        <v>45</v>
      </c>
      <c r="J794">
        <v>0.22</v>
      </c>
      <c r="K794" s="148">
        <v>0.2273</v>
      </c>
      <c r="L794">
        <v>1</v>
      </c>
      <c r="M794" s="148">
        <v>0.1343</v>
      </c>
      <c r="N794">
        <v>1</v>
      </c>
      <c r="O794">
        <v>46</v>
      </c>
      <c r="P794">
        <v>47</v>
      </c>
    </row>
    <row r="795" spans="1:16">
      <c r="A795">
        <v>794</v>
      </c>
      <c r="B795" s="2">
        <v>40579</v>
      </c>
      <c r="C795">
        <v>1</v>
      </c>
      <c r="D795" t="s">
        <v>17</v>
      </c>
      <c r="E795" s="6" t="s">
        <v>19</v>
      </c>
      <c r="F795" s="151">
        <v>33.041666666666657</v>
      </c>
      <c r="G795" s="7" t="s">
        <v>36</v>
      </c>
      <c r="H795" s="7" t="s">
        <v>37</v>
      </c>
      <c r="I795" s="7" t="s">
        <v>45</v>
      </c>
      <c r="J795">
        <v>0.22</v>
      </c>
      <c r="K795" s="148">
        <v>0.2273</v>
      </c>
      <c r="L795">
        <v>1</v>
      </c>
      <c r="M795" s="148">
        <v>0.16420000000000001</v>
      </c>
      <c r="N795">
        <v>10</v>
      </c>
      <c r="O795">
        <v>42</v>
      </c>
      <c r="P795">
        <v>52</v>
      </c>
    </row>
    <row r="796" spans="1:16">
      <c r="A796">
        <v>795</v>
      </c>
      <c r="B796" s="2">
        <v>40579</v>
      </c>
      <c r="C796">
        <v>1</v>
      </c>
      <c r="D796" t="s">
        <v>17</v>
      </c>
      <c r="E796" s="6" t="s">
        <v>19</v>
      </c>
      <c r="F796" s="151">
        <v>33.083333333333343</v>
      </c>
      <c r="G796" s="7" t="s">
        <v>36</v>
      </c>
      <c r="H796" s="7" t="s">
        <v>37</v>
      </c>
      <c r="I796" s="7" t="s">
        <v>45</v>
      </c>
      <c r="J796">
        <v>0.22</v>
      </c>
      <c r="K796" s="148">
        <v>0.2273</v>
      </c>
      <c r="L796">
        <v>1</v>
      </c>
      <c r="M796" s="148">
        <v>0.16420000000000001</v>
      </c>
      <c r="N796">
        <v>10</v>
      </c>
      <c r="O796">
        <v>62</v>
      </c>
      <c r="P796">
        <v>72</v>
      </c>
    </row>
    <row r="797" spans="1:16">
      <c r="A797">
        <v>796</v>
      </c>
      <c r="B797" s="2">
        <v>40579</v>
      </c>
      <c r="C797">
        <v>1</v>
      </c>
      <c r="D797" t="s">
        <v>17</v>
      </c>
      <c r="E797" s="6" t="s">
        <v>19</v>
      </c>
      <c r="F797" s="151">
        <v>33.125</v>
      </c>
      <c r="G797" s="7" t="s">
        <v>36</v>
      </c>
      <c r="H797" s="7" t="s">
        <v>37</v>
      </c>
      <c r="I797" s="7" t="s">
        <v>45</v>
      </c>
      <c r="J797">
        <v>0.22</v>
      </c>
      <c r="K797" s="148">
        <v>0.2727</v>
      </c>
      <c r="L797">
        <v>1</v>
      </c>
      <c r="M797" s="148">
        <v>0</v>
      </c>
      <c r="N797">
        <v>5</v>
      </c>
      <c r="O797">
        <v>50</v>
      </c>
      <c r="P797">
        <v>55</v>
      </c>
    </row>
    <row r="798" spans="1:16">
      <c r="A798">
        <v>797</v>
      </c>
      <c r="B798" s="2">
        <v>40579</v>
      </c>
      <c r="C798">
        <v>1</v>
      </c>
      <c r="D798" t="s">
        <v>17</v>
      </c>
      <c r="E798" s="6" t="s">
        <v>19</v>
      </c>
      <c r="F798" s="151">
        <v>33.166666666666657</v>
      </c>
      <c r="G798" s="7" t="s">
        <v>36</v>
      </c>
      <c r="H798" s="7" t="s">
        <v>37</v>
      </c>
      <c r="I798" s="7" t="s">
        <v>45</v>
      </c>
      <c r="J798">
        <v>0.22</v>
      </c>
      <c r="K798" s="148">
        <v>0.2727</v>
      </c>
      <c r="L798">
        <v>1</v>
      </c>
      <c r="M798" s="148">
        <v>0</v>
      </c>
      <c r="N798">
        <v>11</v>
      </c>
      <c r="O798">
        <v>49</v>
      </c>
      <c r="P798">
        <v>60</v>
      </c>
    </row>
    <row r="799" spans="1:16">
      <c r="A799">
        <v>798</v>
      </c>
      <c r="B799" s="2">
        <v>40579</v>
      </c>
      <c r="C799">
        <v>1</v>
      </c>
      <c r="D799" t="s">
        <v>17</v>
      </c>
      <c r="E799" s="6" t="s">
        <v>19</v>
      </c>
      <c r="F799" s="151">
        <v>33.208333333333343</v>
      </c>
      <c r="G799" s="7" t="s">
        <v>36</v>
      </c>
      <c r="H799" s="7" t="s">
        <v>37</v>
      </c>
      <c r="I799" s="7" t="s">
        <v>45</v>
      </c>
      <c r="J799">
        <v>0.22</v>
      </c>
      <c r="K799" s="148">
        <v>0.2273</v>
      </c>
      <c r="L799">
        <v>1</v>
      </c>
      <c r="M799" s="148">
        <v>0.1343</v>
      </c>
      <c r="N799">
        <v>8</v>
      </c>
      <c r="O799">
        <v>63</v>
      </c>
      <c r="P799">
        <v>71</v>
      </c>
    </row>
    <row r="800" spans="1:16">
      <c r="A800">
        <v>799</v>
      </c>
      <c r="B800" s="2">
        <v>40579</v>
      </c>
      <c r="C800">
        <v>1</v>
      </c>
      <c r="D800" t="s">
        <v>17</v>
      </c>
      <c r="E800" s="6" t="s">
        <v>19</v>
      </c>
      <c r="F800" s="151">
        <v>33.25</v>
      </c>
      <c r="G800" s="7" t="s">
        <v>36</v>
      </c>
      <c r="H800" s="7" t="s">
        <v>37</v>
      </c>
      <c r="I800" s="7" t="s">
        <v>39</v>
      </c>
      <c r="J800">
        <v>0.24</v>
      </c>
      <c r="K800" s="148">
        <v>0.21210000000000001</v>
      </c>
      <c r="L800">
        <v>1</v>
      </c>
      <c r="M800" s="148">
        <v>0.28360000000000002</v>
      </c>
      <c r="N800">
        <v>14</v>
      </c>
      <c r="O800">
        <v>64</v>
      </c>
      <c r="P800">
        <v>78</v>
      </c>
    </row>
    <row r="801" spans="1:16">
      <c r="A801">
        <v>800</v>
      </c>
      <c r="B801" s="2">
        <v>40579</v>
      </c>
      <c r="C801">
        <v>1</v>
      </c>
      <c r="D801" t="s">
        <v>17</v>
      </c>
      <c r="E801" s="6" t="s">
        <v>19</v>
      </c>
      <c r="F801" s="151">
        <v>33.291666666666657</v>
      </c>
      <c r="G801" s="7" t="s">
        <v>36</v>
      </c>
      <c r="H801" s="7" t="s">
        <v>37</v>
      </c>
      <c r="I801" s="7" t="s">
        <v>39</v>
      </c>
      <c r="J801">
        <v>0.28000000000000003</v>
      </c>
      <c r="K801" s="148">
        <v>0.2424</v>
      </c>
      <c r="L801">
        <v>0.93</v>
      </c>
      <c r="M801" s="148">
        <v>0.44779999999999998</v>
      </c>
      <c r="N801">
        <v>2</v>
      </c>
      <c r="O801">
        <v>81</v>
      </c>
      <c r="P801">
        <v>83</v>
      </c>
    </row>
    <row r="802" spans="1:16">
      <c r="A802">
        <v>801</v>
      </c>
      <c r="B802" s="2">
        <v>40579</v>
      </c>
      <c r="C802">
        <v>1</v>
      </c>
      <c r="D802" t="s">
        <v>17</v>
      </c>
      <c r="E802" s="6" t="s">
        <v>19</v>
      </c>
      <c r="F802" s="151">
        <v>33.333333333333343</v>
      </c>
      <c r="G802" s="7" t="s">
        <v>36</v>
      </c>
      <c r="H802" s="7" t="s">
        <v>37</v>
      </c>
      <c r="I802" s="7" t="s">
        <v>39</v>
      </c>
      <c r="J802">
        <v>0.28000000000000003</v>
      </c>
      <c r="K802" s="148">
        <v>0.2424</v>
      </c>
      <c r="L802">
        <v>0.93</v>
      </c>
      <c r="M802" s="148">
        <v>0.44779999999999998</v>
      </c>
      <c r="N802">
        <v>6</v>
      </c>
      <c r="O802">
        <v>78</v>
      </c>
      <c r="P802">
        <v>84</v>
      </c>
    </row>
    <row r="803" spans="1:16">
      <c r="A803">
        <v>802</v>
      </c>
      <c r="B803" s="2">
        <v>40579</v>
      </c>
      <c r="C803">
        <v>1</v>
      </c>
      <c r="D803" t="s">
        <v>17</v>
      </c>
      <c r="E803" s="6" t="s">
        <v>19</v>
      </c>
      <c r="F803" s="151">
        <v>33.375</v>
      </c>
      <c r="G803" s="7" t="s">
        <v>36</v>
      </c>
      <c r="H803" s="7" t="s">
        <v>37</v>
      </c>
      <c r="I803" s="7" t="s">
        <v>38</v>
      </c>
      <c r="J803">
        <v>0.3</v>
      </c>
      <c r="K803" s="148">
        <v>0.28789999999999999</v>
      </c>
      <c r="L803">
        <v>0.87</v>
      </c>
      <c r="M803" s="148">
        <v>0.25369999999999998</v>
      </c>
      <c r="N803">
        <v>5</v>
      </c>
      <c r="O803">
        <v>64</v>
      </c>
      <c r="P803">
        <v>69</v>
      </c>
    </row>
    <row r="804" spans="1:16">
      <c r="A804">
        <v>803</v>
      </c>
      <c r="B804" s="2">
        <v>40579</v>
      </c>
      <c r="C804">
        <v>1</v>
      </c>
      <c r="D804" t="s">
        <v>17</v>
      </c>
      <c r="E804" s="6" t="s">
        <v>19</v>
      </c>
      <c r="F804" s="151">
        <v>33.416666666666657</v>
      </c>
      <c r="G804" s="7" t="s">
        <v>36</v>
      </c>
      <c r="H804" s="7" t="s">
        <v>37</v>
      </c>
      <c r="I804" s="7" t="s">
        <v>38</v>
      </c>
      <c r="J804">
        <v>0.26</v>
      </c>
      <c r="K804" s="148">
        <v>0.2576</v>
      </c>
      <c r="L804">
        <v>1</v>
      </c>
      <c r="M804" s="148">
        <v>0.19400000000000001</v>
      </c>
      <c r="N804">
        <v>3</v>
      </c>
      <c r="O804">
        <v>53</v>
      </c>
      <c r="P804">
        <v>56</v>
      </c>
    </row>
    <row r="805" spans="1:16">
      <c r="A805">
        <v>804</v>
      </c>
      <c r="B805" s="2">
        <v>40579</v>
      </c>
      <c r="C805">
        <v>1</v>
      </c>
      <c r="D805" t="s">
        <v>17</v>
      </c>
      <c r="E805" s="6" t="s">
        <v>19</v>
      </c>
      <c r="F805" s="151">
        <v>33.458333333333343</v>
      </c>
      <c r="G805" s="7" t="s">
        <v>36</v>
      </c>
      <c r="H805" s="7" t="s">
        <v>37</v>
      </c>
      <c r="I805" s="7" t="s">
        <v>38</v>
      </c>
      <c r="J805">
        <v>0.26</v>
      </c>
      <c r="K805" s="148">
        <v>0.2727</v>
      </c>
      <c r="L805">
        <v>0.93</v>
      </c>
      <c r="M805" s="148">
        <v>0.1343</v>
      </c>
      <c r="N805">
        <v>2</v>
      </c>
      <c r="O805">
        <v>43</v>
      </c>
      <c r="P805">
        <v>45</v>
      </c>
    </row>
    <row r="806" spans="1:16">
      <c r="A806">
        <v>805</v>
      </c>
      <c r="B806" s="2">
        <v>40579</v>
      </c>
      <c r="C806">
        <v>1</v>
      </c>
      <c r="D806" t="s">
        <v>17</v>
      </c>
      <c r="E806" s="6" t="s">
        <v>19</v>
      </c>
      <c r="F806" s="151">
        <v>33.5</v>
      </c>
      <c r="G806" s="7" t="s">
        <v>36</v>
      </c>
      <c r="H806" s="7" t="s">
        <v>37</v>
      </c>
      <c r="I806" s="7" t="s">
        <v>38</v>
      </c>
      <c r="J806">
        <v>0.26</v>
      </c>
      <c r="K806" s="148">
        <v>0.2576</v>
      </c>
      <c r="L806">
        <v>0.93</v>
      </c>
      <c r="M806" s="148">
        <v>0.22389999999999999</v>
      </c>
      <c r="N806">
        <v>7</v>
      </c>
      <c r="O806">
        <v>52</v>
      </c>
      <c r="P806">
        <v>59</v>
      </c>
    </row>
    <row r="807" spans="1:16">
      <c r="A807">
        <v>806</v>
      </c>
      <c r="B807" s="2">
        <v>40580</v>
      </c>
      <c r="C807">
        <v>1</v>
      </c>
      <c r="D807" t="s">
        <v>17</v>
      </c>
      <c r="E807" s="6" t="s">
        <v>19</v>
      </c>
      <c r="F807" s="151">
        <v>33.541666666666657</v>
      </c>
      <c r="G807" s="7" t="s">
        <v>36</v>
      </c>
      <c r="H807" s="7" t="s">
        <v>40</v>
      </c>
      <c r="I807" s="7" t="s">
        <v>38</v>
      </c>
      <c r="J807">
        <v>0.26</v>
      </c>
      <c r="K807" s="148">
        <v>0.2576</v>
      </c>
      <c r="L807">
        <v>0.7</v>
      </c>
      <c r="M807" s="148">
        <v>0.19400000000000001</v>
      </c>
      <c r="N807">
        <v>2</v>
      </c>
      <c r="O807">
        <v>37</v>
      </c>
      <c r="P807">
        <v>39</v>
      </c>
    </row>
    <row r="808" spans="1:16">
      <c r="A808">
        <v>807</v>
      </c>
      <c r="B808" s="2">
        <v>40580</v>
      </c>
      <c r="C808">
        <v>1</v>
      </c>
      <c r="D808" t="s">
        <v>17</v>
      </c>
      <c r="E808" s="6" t="s">
        <v>19</v>
      </c>
      <c r="F808" s="151">
        <v>33.583333333333343</v>
      </c>
      <c r="G808" s="7" t="s">
        <v>36</v>
      </c>
      <c r="H808" s="7" t="s">
        <v>40</v>
      </c>
      <c r="I808" s="7" t="s">
        <v>38</v>
      </c>
      <c r="J808">
        <v>0.26</v>
      </c>
      <c r="K808" s="148">
        <v>0.2273</v>
      </c>
      <c r="L808">
        <v>0.65</v>
      </c>
      <c r="M808" s="148">
        <v>0.41789999999999999</v>
      </c>
      <c r="N808">
        <v>4</v>
      </c>
      <c r="O808">
        <v>40</v>
      </c>
      <c r="P808">
        <v>44</v>
      </c>
    </row>
    <row r="809" spans="1:16">
      <c r="A809">
        <v>808</v>
      </c>
      <c r="B809" s="2">
        <v>40580</v>
      </c>
      <c r="C809">
        <v>1</v>
      </c>
      <c r="D809" t="s">
        <v>17</v>
      </c>
      <c r="E809" s="6" t="s">
        <v>19</v>
      </c>
      <c r="F809" s="151">
        <v>33.625</v>
      </c>
      <c r="G809" s="7" t="s">
        <v>36</v>
      </c>
      <c r="H809" s="7" t="s">
        <v>40</v>
      </c>
      <c r="I809" s="7" t="s">
        <v>38</v>
      </c>
      <c r="J809">
        <v>0.26</v>
      </c>
      <c r="K809" s="148">
        <v>0.2273</v>
      </c>
      <c r="L809">
        <v>0.6</v>
      </c>
      <c r="M809" s="148">
        <v>0.32840000000000003</v>
      </c>
      <c r="N809">
        <v>0</v>
      </c>
      <c r="O809">
        <v>20</v>
      </c>
      <c r="P809">
        <v>20</v>
      </c>
    </row>
    <row r="810" spans="1:16">
      <c r="A810">
        <v>809</v>
      </c>
      <c r="B810" s="2">
        <v>40580</v>
      </c>
      <c r="C810">
        <v>1</v>
      </c>
      <c r="D810" t="s">
        <v>17</v>
      </c>
      <c r="E810" s="6" t="s">
        <v>19</v>
      </c>
      <c r="F810" s="151">
        <v>33.666666666666657</v>
      </c>
      <c r="G810" s="7" t="s">
        <v>36</v>
      </c>
      <c r="H810" s="7" t="s">
        <v>40</v>
      </c>
      <c r="I810" s="7" t="s">
        <v>38</v>
      </c>
      <c r="J810">
        <v>0.26</v>
      </c>
      <c r="K810" s="148">
        <v>0.28789999999999999</v>
      </c>
      <c r="L810">
        <v>0.6</v>
      </c>
      <c r="M810" s="148">
        <v>8.9599999999999999E-2</v>
      </c>
      <c r="N810">
        <v>3</v>
      </c>
      <c r="O810">
        <v>10</v>
      </c>
      <c r="P810">
        <v>13</v>
      </c>
    </row>
    <row r="811" spans="1:16">
      <c r="A811">
        <v>810</v>
      </c>
      <c r="B811" s="2">
        <v>40580</v>
      </c>
      <c r="C811">
        <v>1</v>
      </c>
      <c r="D811" t="s">
        <v>17</v>
      </c>
      <c r="E811" s="6" t="s">
        <v>19</v>
      </c>
      <c r="F811" s="151">
        <v>33.708333333333343</v>
      </c>
      <c r="G811" s="7" t="s">
        <v>36</v>
      </c>
      <c r="H811" s="7" t="s">
        <v>40</v>
      </c>
      <c r="I811" s="7" t="s">
        <v>38</v>
      </c>
      <c r="J811">
        <v>0.26</v>
      </c>
      <c r="K811" s="148">
        <v>0.2273</v>
      </c>
      <c r="L811">
        <v>0.6</v>
      </c>
      <c r="M811" s="148">
        <v>0.35820000000000002</v>
      </c>
      <c r="N811">
        <v>0</v>
      </c>
      <c r="O811">
        <v>2</v>
      </c>
      <c r="P811">
        <v>2</v>
      </c>
    </row>
    <row r="812" spans="1:16">
      <c r="A812">
        <v>811</v>
      </c>
      <c r="B812" s="2">
        <v>40580</v>
      </c>
      <c r="C812">
        <v>1</v>
      </c>
      <c r="D812" t="s">
        <v>17</v>
      </c>
      <c r="E812" s="6" t="s">
        <v>19</v>
      </c>
      <c r="F812" s="151">
        <v>33.75</v>
      </c>
      <c r="G812" s="7" t="s">
        <v>36</v>
      </c>
      <c r="H812" s="7" t="s">
        <v>40</v>
      </c>
      <c r="I812" s="7" t="s">
        <v>38</v>
      </c>
      <c r="J812">
        <v>0.26</v>
      </c>
      <c r="K812" s="148">
        <v>0.2576</v>
      </c>
      <c r="L812">
        <v>0.6</v>
      </c>
      <c r="M812" s="148">
        <v>0.22389999999999999</v>
      </c>
      <c r="N812">
        <v>0</v>
      </c>
      <c r="O812">
        <v>1</v>
      </c>
      <c r="P812">
        <v>1</v>
      </c>
    </row>
    <row r="813" spans="1:16">
      <c r="A813">
        <v>812</v>
      </c>
      <c r="B813" s="2">
        <v>40580</v>
      </c>
      <c r="C813">
        <v>1</v>
      </c>
      <c r="D813" t="s">
        <v>17</v>
      </c>
      <c r="E813" s="6" t="s">
        <v>19</v>
      </c>
      <c r="F813" s="151">
        <v>33.791666666666657</v>
      </c>
      <c r="G813" s="7" t="s">
        <v>36</v>
      </c>
      <c r="H813" s="7" t="s">
        <v>40</v>
      </c>
      <c r="I813" s="7" t="s">
        <v>38</v>
      </c>
      <c r="J813">
        <v>0.26</v>
      </c>
      <c r="K813" s="148">
        <v>0.2576</v>
      </c>
      <c r="L813">
        <v>0.6</v>
      </c>
      <c r="M813" s="148">
        <v>0.22389999999999999</v>
      </c>
      <c r="N813">
        <v>0</v>
      </c>
      <c r="O813">
        <v>1</v>
      </c>
      <c r="P813">
        <v>1</v>
      </c>
    </row>
    <row r="814" spans="1:16">
      <c r="A814">
        <v>813</v>
      </c>
      <c r="B814" s="2">
        <v>40580</v>
      </c>
      <c r="C814">
        <v>1</v>
      </c>
      <c r="D814" t="s">
        <v>17</v>
      </c>
      <c r="E814" s="6" t="s">
        <v>19</v>
      </c>
      <c r="F814" s="151">
        <v>33.833333333333343</v>
      </c>
      <c r="G814" s="7" t="s">
        <v>36</v>
      </c>
      <c r="H814" s="7" t="s">
        <v>40</v>
      </c>
      <c r="I814" s="7" t="s">
        <v>38</v>
      </c>
      <c r="J814">
        <v>0.24</v>
      </c>
      <c r="K814" s="148">
        <v>0.2424</v>
      </c>
      <c r="L814">
        <v>0.65</v>
      </c>
      <c r="M814" s="148">
        <v>0.16420000000000001</v>
      </c>
      <c r="N814">
        <v>0</v>
      </c>
      <c r="O814">
        <v>8</v>
      </c>
      <c r="P814">
        <v>8</v>
      </c>
    </row>
    <row r="815" spans="1:16">
      <c r="A815">
        <v>814</v>
      </c>
      <c r="B815" s="2">
        <v>40580</v>
      </c>
      <c r="C815">
        <v>1</v>
      </c>
      <c r="D815" t="s">
        <v>17</v>
      </c>
      <c r="E815" s="6" t="s">
        <v>19</v>
      </c>
      <c r="F815" s="151">
        <v>33.875</v>
      </c>
      <c r="G815" s="7" t="s">
        <v>36</v>
      </c>
      <c r="H815" s="7" t="s">
        <v>40</v>
      </c>
      <c r="I815" s="7" t="s">
        <v>38</v>
      </c>
      <c r="J815">
        <v>0.24</v>
      </c>
      <c r="K815" s="148">
        <v>0.2576</v>
      </c>
      <c r="L815">
        <v>0.65</v>
      </c>
      <c r="M815" s="148">
        <v>0.1045</v>
      </c>
      <c r="N815">
        <v>2</v>
      </c>
      <c r="O815">
        <v>21</v>
      </c>
      <c r="P815">
        <v>23</v>
      </c>
    </row>
    <row r="816" spans="1:16">
      <c r="A816">
        <v>815</v>
      </c>
      <c r="B816" s="2">
        <v>40580</v>
      </c>
      <c r="C816">
        <v>1</v>
      </c>
      <c r="D816" t="s">
        <v>17</v>
      </c>
      <c r="E816" s="6" t="s">
        <v>19</v>
      </c>
      <c r="F816" s="151">
        <v>33.916666666666657</v>
      </c>
      <c r="G816" s="7" t="s">
        <v>36</v>
      </c>
      <c r="H816" s="7" t="s">
        <v>40</v>
      </c>
      <c r="I816" s="7" t="s">
        <v>38</v>
      </c>
      <c r="J816">
        <v>0.28000000000000003</v>
      </c>
      <c r="K816" s="148">
        <v>0.28789999999999999</v>
      </c>
      <c r="L816">
        <v>0.56000000000000005</v>
      </c>
      <c r="M816" s="148">
        <v>0.1045</v>
      </c>
      <c r="N816">
        <v>7</v>
      </c>
      <c r="O816">
        <v>38</v>
      </c>
      <c r="P816">
        <v>45</v>
      </c>
    </row>
    <row r="817" spans="1:16">
      <c r="A817">
        <v>816</v>
      </c>
      <c r="B817" s="2">
        <v>40580</v>
      </c>
      <c r="C817">
        <v>1</v>
      </c>
      <c r="D817" t="s">
        <v>17</v>
      </c>
      <c r="E817" s="6" t="s">
        <v>19</v>
      </c>
      <c r="F817" s="151">
        <v>33.958333333333343</v>
      </c>
      <c r="G817" s="7" t="s">
        <v>36</v>
      </c>
      <c r="H817" s="7" t="s">
        <v>40</v>
      </c>
      <c r="I817" s="7" t="s">
        <v>38</v>
      </c>
      <c r="J817">
        <v>0.3</v>
      </c>
      <c r="K817" s="148">
        <v>0.28789999999999999</v>
      </c>
      <c r="L817">
        <v>0.52</v>
      </c>
      <c r="M817" s="148">
        <v>0.25369999999999998</v>
      </c>
      <c r="N817">
        <v>15</v>
      </c>
      <c r="O817">
        <v>74</v>
      </c>
      <c r="P817">
        <v>89</v>
      </c>
    </row>
    <row r="818" spans="1:16">
      <c r="A818">
        <v>817</v>
      </c>
      <c r="B818" s="2">
        <v>40580</v>
      </c>
      <c r="C818">
        <v>1</v>
      </c>
      <c r="D818" t="s">
        <v>17</v>
      </c>
      <c r="E818" s="6" t="s">
        <v>19</v>
      </c>
      <c r="F818" s="151">
        <v>34</v>
      </c>
      <c r="G818" s="7" t="s">
        <v>36</v>
      </c>
      <c r="H818" s="7" t="s">
        <v>40</v>
      </c>
      <c r="I818" s="7" t="s">
        <v>38</v>
      </c>
      <c r="J818">
        <v>0.32</v>
      </c>
      <c r="K818" s="148">
        <v>0.30299999999999999</v>
      </c>
      <c r="L818">
        <v>0.49</v>
      </c>
      <c r="M818" s="148">
        <v>0.25369999999999998</v>
      </c>
      <c r="N818">
        <v>28</v>
      </c>
      <c r="O818">
        <v>89</v>
      </c>
      <c r="P818">
        <v>117</v>
      </c>
    </row>
    <row r="819" spans="1:16">
      <c r="A819">
        <v>818</v>
      </c>
      <c r="B819" s="2">
        <v>40580</v>
      </c>
      <c r="C819">
        <v>1</v>
      </c>
      <c r="D819" t="s">
        <v>17</v>
      </c>
      <c r="E819" s="6" t="s">
        <v>19</v>
      </c>
      <c r="F819" s="151">
        <v>34.041666666666657</v>
      </c>
      <c r="G819" s="7" t="s">
        <v>36</v>
      </c>
      <c r="H819" s="7" t="s">
        <v>40</v>
      </c>
      <c r="I819" s="7" t="s">
        <v>38</v>
      </c>
      <c r="J819">
        <v>0.34</v>
      </c>
      <c r="K819" s="148">
        <v>0.33329999999999999</v>
      </c>
      <c r="L819">
        <v>0.46</v>
      </c>
      <c r="M819" s="148">
        <v>0</v>
      </c>
      <c r="N819">
        <v>48</v>
      </c>
      <c r="O819">
        <v>126</v>
      </c>
      <c r="P819">
        <v>174</v>
      </c>
    </row>
    <row r="820" spans="1:16">
      <c r="A820">
        <v>819</v>
      </c>
      <c r="B820" s="2">
        <v>40580</v>
      </c>
      <c r="C820">
        <v>1</v>
      </c>
      <c r="D820" t="s">
        <v>17</v>
      </c>
      <c r="E820" s="6" t="s">
        <v>19</v>
      </c>
      <c r="F820" s="151">
        <v>34.083333333333343</v>
      </c>
      <c r="G820" s="7" t="s">
        <v>36</v>
      </c>
      <c r="H820" s="7" t="s">
        <v>40</v>
      </c>
      <c r="I820" s="7" t="s">
        <v>38</v>
      </c>
      <c r="J820">
        <v>0.34</v>
      </c>
      <c r="K820" s="148">
        <v>0.36359999999999998</v>
      </c>
      <c r="L820">
        <v>0.46</v>
      </c>
      <c r="M820" s="148">
        <v>0</v>
      </c>
      <c r="N820">
        <v>47</v>
      </c>
      <c r="O820">
        <v>135</v>
      </c>
      <c r="P820">
        <v>182</v>
      </c>
    </row>
    <row r="821" spans="1:16">
      <c r="A821">
        <v>820</v>
      </c>
      <c r="B821" s="2">
        <v>40580</v>
      </c>
      <c r="C821">
        <v>1</v>
      </c>
      <c r="D821" t="s">
        <v>17</v>
      </c>
      <c r="E821" s="6" t="s">
        <v>19</v>
      </c>
      <c r="F821" s="151">
        <v>34.125</v>
      </c>
      <c r="G821" s="7" t="s">
        <v>36</v>
      </c>
      <c r="H821" s="7" t="s">
        <v>40</v>
      </c>
      <c r="I821" s="7" t="s">
        <v>38</v>
      </c>
      <c r="J821">
        <v>0.34</v>
      </c>
      <c r="K821" s="148">
        <v>0.34849999999999998</v>
      </c>
      <c r="L821">
        <v>0.46</v>
      </c>
      <c r="M821" s="148">
        <v>8.9599999999999999E-2</v>
      </c>
      <c r="N821">
        <v>47</v>
      </c>
      <c r="O821">
        <v>114</v>
      </c>
      <c r="P821">
        <v>161</v>
      </c>
    </row>
    <row r="822" spans="1:16">
      <c r="A822">
        <v>821</v>
      </c>
      <c r="B822" s="2">
        <v>40580</v>
      </c>
      <c r="C822">
        <v>1</v>
      </c>
      <c r="D822" t="s">
        <v>17</v>
      </c>
      <c r="E822" s="6" t="s">
        <v>19</v>
      </c>
      <c r="F822" s="151">
        <v>34.166666666666657</v>
      </c>
      <c r="G822" s="7" t="s">
        <v>36</v>
      </c>
      <c r="H822" s="7" t="s">
        <v>40</v>
      </c>
      <c r="I822" s="7" t="s">
        <v>38</v>
      </c>
      <c r="J822">
        <v>0.34</v>
      </c>
      <c r="K822" s="148">
        <v>0.34849999999999998</v>
      </c>
      <c r="L822">
        <v>0.46</v>
      </c>
      <c r="M822" s="148">
        <v>8.9599999999999999E-2</v>
      </c>
      <c r="N822">
        <v>52</v>
      </c>
      <c r="O822">
        <v>130</v>
      </c>
      <c r="P822">
        <v>182</v>
      </c>
    </row>
    <row r="823" spans="1:16">
      <c r="A823">
        <v>822</v>
      </c>
      <c r="B823" s="2">
        <v>40580</v>
      </c>
      <c r="C823">
        <v>1</v>
      </c>
      <c r="D823" t="s">
        <v>17</v>
      </c>
      <c r="E823" s="6" t="s">
        <v>19</v>
      </c>
      <c r="F823" s="151">
        <v>34.208333333333343</v>
      </c>
      <c r="G823" s="7" t="s">
        <v>36</v>
      </c>
      <c r="H823" s="7" t="s">
        <v>40</v>
      </c>
      <c r="I823" s="7" t="s">
        <v>38</v>
      </c>
      <c r="J823">
        <v>0.34</v>
      </c>
      <c r="K823" s="148">
        <v>0.34849999999999998</v>
      </c>
      <c r="L823">
        <v>0.49</v>
      </c>
      <c r="M823" s="148">
        <v>0.1045</v>
      </c>
      <c r="N823">
        <v>42</v>
      </c>
      <c r="O823">
        <v>115</v>
      </c>
      <c r="P823">
        <v>157</v>
      </c>
    </row>
    <row r="824" spans="1:16">
      <c r="A824">
        <v>823</v>
      </c>
      <c r="B824" s="2">
        <v>40580</v>
      </c>
      <c r="C824">
        <v>1</v>
      </c>
      <c r="D824" t="s">
        <v>17</v>
      </c>
      <c r="E824" s="6" t="s">
        <v>19</v>
      </c>
      <c r="F824" s="151">
        <v>34.25</v>
      </c>
      <c r="G824" s="7" t="s">
        <v>36</v>
      </c>
      <c r="H824" s="7" t="s">
        <v>40</v>
      </c>
      <c r="I824" s="7" t="s">
        <v>38</v>
      </c>
      <c r="J824">
        <v>0.34</v>
      </c>
      <c r="K824" s="148">
        <v>0.36359999999999998</v>
      </c>
      <c r="L824">
        <v>0.46</v>
      </c>
      <c r="M824" s="148">
        <v>0</v>
      </c>
      <c r="N824">
        <v>24</v>
      </c>
      <c r="O824">
        <v>97</v>
      </c>
      <c r="P824">
        <v>121</v>
      </c>
    </row>
    <row r="825" spans="1:16">
      <c r="A825">
        <v>824</v>
      </c>
      <c r="B825" s="2">
        <v>40580</v>
      </c>
      <c r="C825">
        <v>1</v>
      </c>
      <c r="D825" t="s">
        <v>17</v>
      </c>
      <c r="E825" s="6" t="s">
        <v>19</v>
      </c>
      <c r="F825" s="151">
        <v>34.291666666666657</v>
      </c>
      <c r="G825" s="7" t="s">
        <v>36</v>
      </c>
      <c r="H825" s="7" t="s">
        <v>40</v>
      </c>
      <c r="I825" s="7" t="s">
        <v>38</v>
      </c>
      <c r="J825">
        <v>0.3</v>
      </c>
      <c r="K825" s="148">
        <v>0.30299999999999999</v>
      </c>
      <c r="L825">
        <v>0.56000000000000005</v>
      </c>
      <c r="M825" s="148">
        <v>0.16420000000000001</v>
      </c>
      <c r="N825">
        <v>13</v>
      </c>
      <c r="O825">
        <v>65</v>
      </c>
      <c r="P825">
        <v>78</v>
      </c>
    </row>
    <row r="826" spans="1:16">
      <c r="A826">
        <v>825</v>
      </c>
      <c r="B826" s="2">
        <v>40580</v>
      </c>
      <c r="C826">
        <v>1</v>
      </c>
      <c r="D826" t="s">
        <v>17</v>
      </c>
      <c r="E826" s="6" t="s">
        <v>19</v>
      </c>
      <c r="F826" s="151">
        <v>34.333333333333343</v>
      </c>
      <c r="G826" s="7" t="s">
        <v>36</v>
      </c>
      <c r="H826" s="7" t="s">
        <v>40</v>
      </c>
      <c r="I826" s="7" t="s">
        <v>38</v>
      </c>
      <c r="J826">
        <v>0.28000000000000003</v>
      </c>
      <c r="K826" s="148">
        <v>0.28789999999999999</v>
      </c>
      <c r="L826">
        <v>0.61</v>
      </c>
      <c r="M826" s="148">
        <v>0.1343</v>
      </c>
      <c r="N826">
        <v>1</v>
      </c>
      <c r="O826">
        <v>20</v>
      </c>
      <c r="P826">
        <v>21</v>
      </c>
    </row>
    <row r="827" spans="1:16">
      <c r="A827">
        <v>826</v>
      </c>
      <c r="B827" s="2">
        <v>40580</v>
      </c>
      <c r="C827">
        <v>1</v>
      </c>
      <c r="D827" t="s">
        <v>17</v>
      </c>
      <c r="E827" s="6" t="s">
        <v>19</v>
      </c>
      <c r="F827" s="151">
        <v>34.375</v>
      </c>
      <c r="G827" s="7" t="s">
        <v>36</v>
      </c>
      <c r="H827" s="7" t="s">
        <v>40</v>
      </c>
      <c r="I827" s="7" t="s">
        <v>38</v>
      </c>
      <c r="J827">
        <v>0.28000000000000003</v>
      </c>
      <c r="K827" s="148">
        <v>0.28789999999999999</v>
      </c>
      <c r="L827">
        <v>0.61</v>
      </c>
      <c r="M827" s="148">
        <v>0.1045</v>
      </c>
      <c r="N827">
        <v>5</v>
      </c>
      <c r="O827">
        <v>21</v>
      </c>
      <c r="P827">
        <v>26</v>
      </c>
    </row>
    <row r="828" spans="1:16">
      <c r="A828">
        <v>827</v>
      </c>
      <c r="B828" s="2">
        <v>40580</v>
      </c>
      <c r="C828">
        <v>1</v>
      </c>
      <c r="D828" t="s">
        <v>17</v>
      </c>
      <c r="E828" s="6" t="s">
        <v>19</v>
      </c>
      <c r="F828" s="151">
        <v>34.416666666666657</v>
      </c>
      <c r="G828" s="7" t="s">
        <v>36</v>
      </c>
      <c r="H828" s="7" t="s">
        <v>40</v>
      </c>
      <c r="I828" s="7" t="s">
        <v>38</v>
      </c>
      <c r="J828">
        <v>0.26</v>
      </c>
      <c r="K828" s="148">
        <v>0.30299999999999999</v>
      </c>
      <c r="L828">
        <v>0.6</v>
      </c>
      <c r="M828" s="148">
        <v>0</v>
      </c>
      <c r="N828">
        <v>5</v>
      </c>
      <c r="O828">
        <v>22</v>
      </c>
      <c r="P828">
        <v>27</v>
      </c>
    </row>
    <row r="829" spans="1:16">
      <c r="A829">
        <v>828</v>
      </c>
      <c r="B829" s="2">
        <v>40580</v>
      </c>
      <c r="C829">
        <v>1</v>
      </c>
      <c r="D829" t="s">
        <v>17</v>
      </c>
      <c r="E829" s="6" t="s">
        <v>19</v>
      </c>
      <c r="F829" s="151">
        <v>34.458333333333343</v>
      </c>
      <c r="G829" s="7" t="s">
        <v>36</v>
      </c>
      <c r="H829" s="7" t="s">
        <v>40</v>
      </c>
      <c r="I829" s="7" t="s">
        <v>38</v>
      </c>
      <c r="J829">
        <v>0.26</v>
      </c>
      <c r="K829" s="148">
        <v>0.30299999999999999</v>
      </c>
      <c r="L829">
        <v>0.6</v>
      </c>
      <c r="M829" s="148">
        <v>0</v>
      </c>
      <c r="N829">
        <v>5</v>
      </c>
      <c r="O829">
        <v>57</v>
      </c>
      <c r="P829">
        <v>62</v>
      </c>
    </row>
    <row r="830" spans="1:16">
      <c r="A830">
        <v>829</v>
      </c>
      <c r="B830" s="2">
        <v>40580</v>
      </c>
      <c r="C830">
        <v>1</v>
      </c>
      <c r="D830" t="s">
        <v>17</v>
      </c>
      <c r="E830" s="6" t="s">
        <v>19</v>
      </c>
      <c r="F830" s="151">
        <v>34.5</v>
      </c>
      <c r="G830" s="7" t="s">
        <v>36</v>
      </c>
      <c r="H830" s="7" t="s">
        <v>40</v>
      </c>
      <c r="I830" s="7" t="s">
        <v>38</v>
      </c>
      <c r="J830">
        <v>0.24</v>
      </c>
      <c r="K830" s="148">
        <v>0.28789999999999999</v>
      </c>
      <c r="L830">
        <v>0.65</v>
      </c>
      <c r="M830" s="148">
        <v>0</v>
      </c>
      <c r="N830">
        <v>4</v>
      </c>
      <c r="O830">
        <v>26</v>
      </c>
      <c r="P830">
        <v>30</v>
      </c>
    </row>
    <row r="831" spans="1:16">
      <c r="A831">
        <v>830</v>
      </c>
      <c r="B831" s="2">
        <v>40581</v>
      </c>
      <c r="C831">
        <v>1</v>
      </c>
      <c r="D831" t="s">
        <v>17</v>
      </c>
      <c r="E831" s="6" t="s">
        <v>19</v>
      </c>
      <c r="F831" s="151">
        <v>34.541666666666657</v>
      </c>
      <c r="G831" s="7" t="s">
        <v>36</v>
      </c>
      <c r="H831" s="7" t="s">
        <v>41</v>
      </c>
      <c r="I831" s="7" t="s">
        <v>38</v>
      </c>
      <c r="J831">
        <v>0.24</v>
      </c>
      <c r="K831" s="148">
        <v>0.28789999999999999</v>
      </c>
      <c r="L831">
        <v>0.65</v>
      </c>
      <c r="M831" s="148">
        <v>0</v>
      </c>
      <c r="N831">
        <v>1</v>
      </c>
      <c r="O831">
        <v>14</v>
      </c>
      <c r="P831">
        <v>15</v>
      </c>
    </row>
    <row r="832" spans="1:16">
      <c r="A832">
        <v>831</v>
      </c>
      <c r="B832" s="2">
        <v>40581</v>
      </c>
      <c r="C832">
        <v>1</v>
      </c>
      <c r="D832" t="s">
        <v>17</v>
      </c>
      <c r="E832" s="6" t="s">
        <v>19</v>
      </c>
      <c r="F832" s="151">
        <v>34.583333333333343</v>
      </c>
      <c r="G832" s="7" t="s">
        <v>36</v>
      </c>
      <c r="H832" s="7" t="s">
        <v>41</v>
      </c>
      <c r="I832" s="7" t="s">
        <v>38</v>
      </c>
      <c r="J832">
        <v>0.22</v>
      </c>
      <c r="K832" s="148">
        <v>0.2727</v>
      </c>
      <c r="L832">
        <v>0.75</v>
      </c>
      <c r="M832" s="148">
        <v>0</v>
      </c>
      <c r="N832">
        <v>1</v>
      </c>
      <c r="O832">
        <v>4</v>
      </c>
      <c r="P832">
        <v>5</v>
      </c>
    </row>
    <row r="833" spans="1:16">
      <c r="A833">
        <v>832</v>
      </c>
      <c r="B833" s="2">
        <v>40581</v>
      </c>
      <c r="C833">
        <v>1</v>
      </c>
      <c r="D833" t="s">
        <v>17</v>
      </c>
      <c r="E833" s="6" t="s">
        <v>19</v>
      </c>
      <c r="F833" s="151">
        <v>34.625</v>
      </c>
      <c r="G833" s="7" t="s">
        <v>36</v>
      </c>
      <c r="H833" s="7" t="s">
        <v>41</v>
      </c>
      <c r="I833" s="7" t="s">
        <v>38</v>
      </c>
      <c r="J833">
        <v>0.2</v>
      </c>
      <c r="K833" s="148">
        <v>0.2576</v>
      </c>
      <c r="L833">
        <v>0.8</v>
      </c>
      <c r="M833" s="148">
        <v>0</v>
      </c>
      <c r="N833">
        <v>0</v>
      </c>
      <c r="O833">
        <v>3</v>
      </c>
      <c r="P833">
        <v>3</v>
      </c>
    </row>
    <row r="834" spans="1:16">
      <c r="A834">
        <v>833</v>
      </c>
      <c r="B834" s="2">
        <v>40581</v>
      </c>
      <c r="C834">
        <v>1</v>
      </c>
      <c r="D834" t="s">
        <v>17</v>
      </c>
      <c r="E834" s="6" t="s">
        <v>19</v>
      </c>
      <c r="F834" s="151">
        <v>34.666666666666657</v>
      </c>
      <c r="G834" s="7" t="s">
        <v>36</v>
      </c>
      <c r="H834" s="7" t="s">
        <v>41</v>
      </c>
      <c r="I834" s="7" t="s">
        <v>38</v>
      </c>
      <c r="J834">
        <v>0.2</v>
      </c>
      <c r="K834" s="148">
        <v>0.2576</v>
      </c>
      <c r="L834">
        <v>0.86</v>
      </c>
      <c r="M834" s="148">
        <v>0</v>
      </c>
      <c r="N834">
        <v>0</v>
      </c>
      <c r="O834">
        <v>1</v>
      </c>
      <c r="P834">
        <v>1</v>
      </c>
    </row>
    <row r="835" spans="1:16">
      <c r="A835">
        <v>834</v>
      </c>
      <c r="B835" s="2">
        <v>40581</v>
      </c>
      <c r="C835">
        <v>1</v>
      </c>
      <c r="D835" t="s">
        <v>17</v>
      </c>
      <c r="E835" s="6" t="s">
        <v>19</v>
      </c>
      <c r="F835" s="151">
        <v>34.708333333333343</v>
      </c>
      <c r="G835" s="7" t="s">
        <v>36</v>
      </c>
      <c r="H835" s="7" t="s">
        <v>41</v>
      </c>
      <c r="I835" s="7" t="s">
        <v>38</v>
      </c>
      <c r="J835">
        <v>0.2</v>
      </c>
      <c r="K835" s="148">
        <v>0.2576</v>
      </c>
      <c r="L835">
        <v>0.86</v>
      </c>
      <c r="M835" s="148">
        <v>0</v>
      </c>
      <c r="N835">
        <v>1</v>
      </c>
      <c r="O835">
        <v>1</v>
      </c>
      <c r="P835">
        <v>2</v>
      </c>
    </row>
    <row r="836" spans="1:16">
      <c r="A836">
        <v>835</v>
      </c>
      <c r="B836" s="2">
        <v>40581</v>
      </c>
      <c r="C836">
        <v>1</v>
      </c>
      <c r="D836" t="s">
        <v>17</v>
      </c>
      <c r="E836" s="6" t="s">
        <v>19</v>
      </c>
      <c r="F836" s="151">
        <v>34.75</v>
      </c>
      <c r="G836" s="7" t="s">
        <v>36</v>
      </c>
      <c r="H836" s="7" t="s">
        <v>41</v>
      </c>
      <c r="I836" s="7" t="s">
        <v>38</v>
      </c>
      <c r="J836">
        <v>0.2</v>
      </c>
      <c r="K836" s="148">
        <v>0.2576</v>
      </c>
      <c r="L836">
        <v>0.86</v>
      </c>
      <c r="M836" s="148">
        <v>0</v>
      </c>
      <c r="N836">
        <v>1</v>
      </c>
      <c r="O836">
        <v>9</v>
      </c>
      <c r="P836">
        <v>10</v>
      </c>
    </row>
    <row r="837" spans="1:16">
      <c r="A837">
        <v>836</v>
      </c>
      <c r="B837" s="2">
        <v>40581</v>
      </c>
      <c r="C837">
        <v>1</v>
      </c>
      <c r="D837" t="s">
        <v>17</v>
      </c>
      <c r="E837" s="6" t="s">
        <v>19</v>
      </c>
      <c r="F837" s="151">
        <v>34.791666666666657</v>
      </c>
      <c r="G837" s="7" t="s">
        <v>36</v>
      </c>
      <c r="H837" s="7" t="s">
        <v>41</v>
      </c>
      <c r="I837" s="7" t="s">
        <v>38</v>
      </c>
      <c r="J837">
        <v>0.18</v>
      </c>
      <c r="K837" s="148">
        <v>0.2424</v>
      </c>
      <c r="L837">
        <v>0.93</v>
      </c>
      <c r="M837" s="148">
        <v>0</v>
      </c>
      <c r="N837">
        <v>1</v>
      </c>
      <c r="O837">
        <v>29</v>
      </c>
      <c r="P837">
        <v>30</v>
      </c>
    </row>
    <row r="838" spans="1:16">
      <c r="A838">
        <v>837</v>
      </c>
      <c r="B838" s="2">
        <v>40581</v>
      </c>
      <c r="C838">
        <v>1</v>
      </c>
      <c r="D838" t="s">
        <v>17</v>
      </c>
      <c r="E838" s="6" t="s">
        <v>19</v>
      </c>
      <c r="F838" s="151">
        <v>34.833333333333343</v>
      </c>
      <c r="G838" s="7" t="s">
        <v>36</v>
      </c>
      <c r="H838" s="7" t="s">
        <v>41</v>
      </c>
      <c r="I838" s="7" t="s">
        <v>38</v>
      </c>
      <c r="J838">
        <v>0.18</v>
      </c>
      <c r="K838" s="148">
        <v>0.2424</v>
      </c>
      <c r="L838">
        <v>0.86</v>
      </c>
      <c r="M838" s="148">
        <v>0</v>
      </c>
      <c r="N838">
        <v>6</v>
      </c>
      <c r="O838">
        <v>89</v>
      </c>
      <c r="P838">
        <v>95</v>
      </c>
    </row>
    <row r="839" spans="1:16">
      <c r="A839">
        <v>838</v>
      </c>
      <c r="B839" s="2">
        <v>40581</v>
      </c>
      <c r="C839">
        <v>1</v>
      </c>
      <c r="D839" t="s">
        <v>17</v>
      </c>
      <c r="E839" s="6" t="s">
        <v>19</v>
      </c>
      <c r="F839" s="151">
        <v>34.875</v>
      </c>
      <c r="G839" s="7" t="s">
        <v>36</v>
      </c>
      <c r="H839" s="7" t="s">
        <v>41</v>
      </c>
      <c r="I839" s="7" t="s">
        <v>39</v>
      </c>
      <c r="J839">
        <v>0.16</v>
      </c>
      <c r="K839" s="148">
        <v>0.2273</v>
      </c>
      <c r="L839">
        <v>1</v>
      </c>
      <c r="M839" s="148">
        <v>0</v>
      </c>
      <c r="N839">
        <v>7</v>
      </c>
      <c r="O839">
        <v>223</v>
      </c>
      <c r="P839">
        <v>230</v>
      </c>
    </row>
    <row r="840" spans="1:16">
      <c r="A840">
        <v>839</v>
      </c>
      <c r="B840" s="2">
        <v>40581</v>
      </c>
      <c r="C840">
        <v>1</v>
      </c>
      <c r="D840" t="s">
        <v>17</v>
      </c>
      <c r="E840" s="6" t="s">
        <v>19</v>
      </c>
      <c r="F840" s="151">
        <v>34.916666666666657</v>
      </c>
      <c r="G840" s="7" t="s">
        <v>36</v>
      </c>
      <c r="H840" s="7" t="s">
        <v>41</v>
      </c>
      <c r="I840" s="7" t="s">
        <v>38</v>
      </c>
      <c r="J840">
        <v>0.22</v>
      </c>
      <c r="K840" s="148">
        <v>0.2727</v>
      </c>
      <c r="L840">
        <v>0.8</v>
      </c>
      <c r="M840" s="148">
        <v>0</v>
      </c>
      <c r="N840">
        <v>3</v>
      </c>
      <c r="O840">
        <v>115</v>
      </c>
      <c r="P840">
        <v>118</v>
      </c>
    </row>
    <row r="841" spans="1:16">
      <c r="A841">
        <v>840</v>
      </c>
      <c r="B841" s="2">
        <v>40581</v>
      </c>
      <c r="C841">
        <v>1</v>
      </c>
      <c r="D841" t="s">
        <v>17</v>
      </c>
      <c r="E841" s="6" t="s">
        <v>19</v>
      </c>
      <c r="F841" s="151">
        <v>34.958333333333343</v>
      </c>
      <c r="G841" s="7" t="s">
        <v>36</v>
      </c>
      <c r="H841" s="7" t="s">
        <v>41</v>
      </c>
      <c r="I841" s="7" t="s">
        <v>38</v>
      </c>
      <c r="J841">
        <v>0.24</v>
      </c>
      <c r="K841" s="148">
        <v>0.2576</v>
      </c>
      <c r="L841">
        <v>0.75</v>
      </c>
      <c r="M841" s="148">
        <v>0.1045</v>
      </c>
      <c r="N841">
        <v>6</v>
      </c>
      <c r="O841">
        <v>49</v>
      </c>
      <c r="P841">
        <v>55</v>
      </c>
    </row>
    <row r="842" spans="1:16">
      <c r="A842">
        <v>841</v>
      </c>
      <c r="B842" s="2">
        <v>40581</v>
      </c>
      <c r="C842">
        <v>1</v>
      </c>
      <c r="D842" t="s">
        <v>17</v>
      </c>
      <c r="E842" s="6" t="s">
        <v>19</v>
      </c>
      <c r="F842" s="151">
        <v>35</v>
      </c>
      <c r="G842" s="7" t="s">
        <v>36</v>
      </c>
      <c r="H842" s="7" t="s">
        <v>41</v>
      </c>
      <c r="I842" s="7" t="s">
        <v>38</v>
      </c>
      <c r="J842">
        <v>0.3</v>
      </c>
      <c r="K842" s="148">
        <v>0.31819999999999998</v>
      </c>
      <c r="L842">
        <v>0.65</v>
      </c>
      <c r="M842" s="148">
        <v>8.9599999999999999E-2</v>
      </c>
      <c r="N842">
        <v>11</v>
      </c>
      <c r="O842">
        <v>36</v>
      </c>
      <c r="P842">
        <v>47</v>
      </c>
    </row>
    <row r="843" spans="1:16">
      <c r="A843">
        <v>842</v>
      </c>
      <c r="B843" s="2">
        <v>40581</v>
      </c>
      <c r="C843">
        <v>1</v>
      </c>
      <c r="D843" t="s">
        <v>17</v>
      </c>
      <c r="E843" s="6" t="s">
        <v>19</v>
      </c>
      <c r="F843" s="151">
        <v>35.041666666666657</v>
      </c>
      <c r="G843" s="7" t="s">
        <v>36</v>
      </c>
      <c r="H843" s="7" t="s">
        <v>41</v>
      </c>
      <c r="I843" s="7" t="s">
        <v>39</v>
      </c>
      <c r="J843">
        <v>0.32</v>
      </c>
      <c r="K843" s="148">
        <v>0.34849999999999998</v>
      </c>
      <c r="L843">
        <v>0.62</v>
      </c>
      <c r="M843" s="148">
        <v>0</v>
      </c>
      <c r="N843">
        <v>7</v>
      </c>
      <c r="O843">
        <v>59</v>
      </c>
      <c r="P843">
        <v>66</v>
      </c>
    </row>
    <row r="844" spans="1:16">
      <c r="A844">
        <v>843</v>
      </c>
      <c r="B844" s="2">
        <v>40581</v>
      </c>
      <c r="C844">
        <v>1</v>
      </c>
      <c r="D844" t="s">
        <v>17</v>
      </c>
      <c r="E844" s="6" t="s">
        <v>19</v>
      </c>
      <c r="F844" s="151">
        <v>35.083333333333343</v>
      </c>
      <c r="G844" s="7" t="s">
        <v>36</v>
      </c>
      <c r="H844" s="7" t="s">
        <v>41</v>
      </c>
      <c r="I844" s="7" t="s">
        <v>39</v>
      </c>
      <c r="J844">
        <v>0.36</v>
      </c>
      <c r="K844" s="148">
        <v>0.36359999999999998</v>
      </c>
      <c r="L844">
        <v>0.56999999999999995</v>
      </c>
      <c r="M844" s="148">
        <v>8.9599999999999999E-2</v>
      </c>
      <c r="N844">
        <v>10</v>
      </c>
      <c r="O844">
        <v>54</v>
      </c>
      <c r="P844">
        <v>64</v>
      </c>
    </row>
    <row r="845" spans="1:16">
      <c r="A845">
        <v>844</v>
      </c>
      <c r="B845" s="2">
        <v>40581</v>
      </c>
      <c r="C845">
        <v>1</v>
      </c>
      <c r="D845" t="s">
        <v>17</v>
      </c>
      <c r="E845" s="6" t="s">
        <v>19</v>
      </c>
      <c r="F845" s="151">
        <v>35.125</v>
      </c>
      <c r="G845" s="7" t="s">
        <v>36</v>
      </c>
      <c r="H845" s="7" t="s">
        <v>41</v>
      </c>
      <c r="I845" s="7" t="s">
        <v>39</v>
      </c>
      <c r="J845">
        <v>0.36</v>
      </c>
      <c r="K845" s="148">
        <v>0.36359999999999998</v>
      </c>
      <c r="L845">
        <v>0.56999999999999995</v>
      </c>
      <c r="M845" s="148">
        <v>8.9599999999999999E-2</v>
      </c>
      <c r="N845">
        <v>8</v>
      </c>
      <c r="O845">
        <v>52</v>
      </c>
      <c r="P845">
        <v>60</v>
      </c>
    </row>
    <row r="846" spans="1:16">
      <c r="A846">
        <v>845</v>
      </c>
      <c r="B846" s="2">
        <v>40581</v>
      </c>
      <c r="C846">
        <v>1</v>
      </c>
      <c r="D846" t="s">
        <v>17</v>
      </c>
      <c r="E846" s="6" t="s">
        <v>19</v>
      </c>
      <c r="F846" s="151">
        <v>35.166666666666657</v>
      </c>
      <c r="G846" s="7" t="s">
        <v>36</v>
      </c>
      <c r="H846" s="7" t="s">
        <v>41</v>
      </c>
      <c r="I846" s="7" t="s">
        <v>39</v>
      </c>
      <c r="J846">
        <v>0.38</v>
      </c>
      <c r="K846" s="148">
        <v>0.39389999999999997</v>
      </c>
      <c r="L846">
        <v>0.54</v>
      </c>
      <c r="M846" s="148">
        <v>8.9599999999999999E-2</v>
      </c>
      <c r="N846">
        <v>4</v>
      </c>
      <c r="O846">
        <v>46</v>
      </c>
      <c r="P846">
        <v>50</v>
      </c>
    </row>
    <row r="847" spans="1:16">
      <c r="A847">
        <v>846</v>
      </c>
      <c r="B847" s="2">
        <v>40581</v>
      </c>
      <c r="C847">
        <v>1</v>
      </c>
      <c r="D847" t="s">
        <v>17</v>
      </c>
      <c r="E847" s="6" t="s">
        <v>19</v>
      </c>
      <c r="F847" s="151">
        <v>35.208333333333343</v>
      </c>
      <c r="G847" s="7" t="s">
        <v>36</v>
      </c>
      <c r="H847" s="7" t="s">
        <v>41</v>
      </c>
      <c r="I847" s="7" t="s">
        <v>39</v>
      </c>
      <c r="J847">
        <v>0.36</v>
      </c>
      <c r="K847" s="148">
        <v>0.34849999999999998</v>
      </c>
      <c r="L847">
        <v>0.56999999999999995</v>
      </c>
      <c r="M847" s="148">
        <v>0.1343</v>
      </c>
      <c r="N847">
        <v>16</v>
      </c>
      <c r="O847">
        <v>98</v>
      </c>
      <c r="P847">
        <v>114</v>
      </c>
    </row>
    <row r="848" spans="1:16">
      <c r="A848">
        <v>847</v>
      </c>
      <c r="B848" s="2">
        <v>40581</v>
      </c>
      <c r="C848">
        <v>1</v>
      </c>
      <c r="D848" t="s">
        <v>17</v>
      </c>
      <c r="E848" s="6" t="s">
        <v>19</v>
      </c>
      <c r="F848" s="151">
        <v>35.25</v>
      </c>
      <c r="G848" s="7" t="s">
        <v>36</v>
      </c>
      <c r="H848" s="7" t="s">
        <v>41</v>
      </c>
      <c r="I848" s="7" t="s">
        <v>39</v>
      </c>
      <c r="J848">
        <v>0.32</v>
      </c>
      <c r="K848" s="148">
        <v>0.31819999999999998</v>
      </c>
      <c r="L848">
        <v>0.7</v>
      </c>
      <c r="M848" s="148">
        <v>0.16420000000000001</v>
      </c>
      <c r="N848">
        <v>9</v>
      </c>
      <c r="O848">
        <v>207</v>
      </c>
      <c r="P848">
        <v>216</v>
      </c>
    </row>
    <row r="849" spans="1:16">
      <c r="A849">
        <v>848</v>
      </c>
      <c r="B849" s="2">
        <v>40581</v>
      </c>
      <c r="C849">
        <v>1</v>
      </c>
      <c r="D849" t="s">
        <v>17</v>
      </c>
      <c r="E849" s="6" t="s">
        <v>19</v>
      </c>
      <c r="F849" s="151">
        <v>35.291666666666657</v>
      </c>
      <c r="G849" s="7" t="s">
        <v>36</v>
      </c>
      <c r="H849" s="7" t="s">
        <v>41</v>
      </c>
      <c r="I849" s="7" t="s">
        <v>39</v>
      </c>
      <c r="J849">
        <v>0.34</v>
      </c>
      <c r="K849" s="148">
        <v>0.33329999999999999</v>
      </c>
      <c r="L849">
        <v>0.66</v>
      </c>
      <c r="M849" s="148">
        <v>0.1343</v>
      </c>
      <c r="N849">
        <v>5</v>
      </c>
      <c r="O849">
        <v>170</v>
      </c>
      <c r="P849">
        <v>175</v>
      </c>
    </row>
    <row r="850" spans="1:16">
      <c r="A850">
        <v>849</v>
      </c>
      <c r="B850" s="2">
        <v>40581</v>
      </c>
      <c r="C850">
        <v>1</v>
      </c>
      <c r="D850" t="s">
        <v>17</v>
      </c>
      <c r="E850" s="6" t="s">
        <v>19</v>
      </c>
      <c r="F850" s="151">
        <v>35.333333333333343</v>
      </c>
      <c r="G850" s="7" t="s">
        <v>36</v>
      </c>
      <c r="H850" s="7" t="s">
        <v>41</v>
      </c>
      <c r="I850" s="7" t="s">
        <v>39</v>
      </c>
      <c r="J850">
        <v>0.32</v>
      </c>
      <c r="K850" s="148">
        <v>0.34849999999999998</v>
      </c>
      <c r="L850">
        <v>0.7</v>
      </c>
      <c r="M850" s="148">
        <v>0</v>
      </c>
      <c r="N850">
        <v>5</v>
      </c>
      <c r="O850">
        <v>123</v>
      </c>
      <c r="P850">
        <v>128</v>
      </c>
    </row>
    <row r="851" spans="1:16">
      <c r="A851">
        <v>850</v>
      </c>
      <c r="B851" s="2">
        <v>40581</v>
      </c>
      <c r="C851">
        <v>1</v>
      </c>
      <c r="D851" t="s">
        <v>17</v>
      </c>
      <c r="E851" s="6" t="s">
        <v>19</v>
      </c>
      <c r="F851" s="151">
        <v>35.375</v>
      </c>
      <c r="G851" s="7" t="s">
        <v>36</v>
      </c>
      <c r="H851" s="7" t="s">
        <v>41</v>
      </c>
      <c r="I851" s="7" t="s">
        <v>39</v>
      </c>
      <c r="J851">
        <v>0.32</v>
      </c>
      <c r="K851" s="148">
        <v>0.33329999999999999</v>
      </c>
      <c r="L851">
        <v>0.7</v>
      </c>
      <c r="M851" s="148">
        <v>0.1045</v>
      </c>
      <c r="N851">
        <v>6</v>
      </c>
      <c r="O851">
        <v>82</v>
      </c>
      <c r="P851">
        <v>88</v>
      </c>
    </row>
    <row r="852" spans="1:16">
      <c r="A852">
        <v>851</v>
      </c>
      <c r="B852" s="2">
        <v>40581</v>
      </c>
      <c r="C852">
        <v>1</v>
      </c>
      <c r="D852" t="s">
        <v>17</v>
      </c>
      <c r="E852" s="6" t="s">
        <v>19</v>
      </c>
      <c r="F852" s="151">
        <v>35.416666666666657</v>
      </c>
      <c r="G852" s="7" t="s">
        <v>36</v>
      </c>
      <c r="H852" s="7" t="s">
        <v>41</v>
      </c>
      <c r="I852" s="7" t="s">
        <v>38</v>
      </c>
      <c r="J852">
        <v>0.32</v>
      </c>
      <c r="K852" s="148">
        <v>0.34849999999999998</v>
      </c>
      <c r="L852">
        <v>0.7</v>
      </c>
      <c r="M852" s="148">
        <v>0</v>
      </c>
      <c r="N852">
        <v>3</v>
      </c>
      <c r="O852">
        <v>75</v>
      </c>
      <c r="P852">
        <v>78</v>
      </c>
    </row>
    <row r="853" spans="1:16">
      <c r="A853">
        <v>852</v>
      </c>
      <c r="B853" s="2">
        <v>40581</v>
      </c>
      <c r="C853">
        <v>1</v>
      </c>
      <c r="D853" t="s">
        <v>17</v>
      </c>
      <c r="E853" s="6" t="s">
        <v>19</v>
      </c>
      <c r="F853" s="151">
        <v>35.458333333333343</v>
      </c>
      <c r="G853" s="7" t="s">
        <v>36</v>
      </c>
      <c r="H853" s="7" t="s">
        <v>41</v>
      </c>
      <c r="I853" s="7" t="s">
        <v>38</v>
      </c>
      <c r="J853">
        <v>0.28000000000000003</v>
      </c>
      <c r="K853" s="148">
        <v>0.30299999999999999</v>
      </c>
      <c r="L853">
        <v>0.81</v>
      </c>
      <c r="M853" s="148">
        <v>8.9599999999999999E-2</v>
      </c>
      <c r="N853">
        <v>3</v>
      </c>
      <c r="O853">
        <v>34</v>
      </c>
      <c r="P853">
        <v>37</v>
      </c>
    </row>
    <row r="854" spans="1:16">
      <c r="A854">
        <v>853</v>
      </c>
      <c r="B854" s="2">
        <v>40581</v>
      </c>
      <c r="C854">
        <v>1</v>
      </c>
      <c r="D854" t="s">
        <v>17</v>
      </c>
      <c r="E854" s="6" t="s">
        <v>19</v>
      </c>
      <c r="F854" s="151">
        <v>35.5</v>
      </c>
      <c r="G854" s="7" t="s">
        <v>36</v>
      </c>
      <c r="H854" s="7" t="s">
        <v>41</v>
      </c>
      <c r="I854" s="7" t="s">
        <v>39</v>
      </c>
      <c r="J854">
        <v>0.3</v>
      </c>
      <c r="K854" s="148">
        <v>0.33329999999999999</v>
      </c>
      <c r="L854">
        <v>0.81</v>
      </c>
      <c r="M854" s="148">
        <v>0</v>
      </c>
      <c r="N854">
        <v>6</v>
      </c>
      <c r="O854">
        <v>19</v>
      </c>
      <c r="P854">
        <v>25</v>
      </c>
    </row>
    <row r="855" spans="1:16">
      <c r="A855">
        <v>854</v>
      </c>
      <c r="B855" s="2">
        <v>40582</v>
      </c>
      <c r="C855">
        <v>1</v>
      </c>
      <c r="D855" t="s">
        <v>17</v>
      </c>
      <c r="E855" s="6" t="s">
        <v>19</v>
      </c>
      <c r="F855" s="151">
        <v>35.541666666666657</v>
      </c>
      <c r="G855" s="7" t="s">
        <v>36</v>
      </c>
      <c r="H855" s="7" t="s">
        <v>42</v>
      </c>
      <c r="I855" s="7" t="s">
        <v>39</v>
      </c>
      <c r="J855">
        <v>0.28000000000000003</v>
      </c>
      <c r="K855" s="148">
        <v>0.31819999999999998</v>
      </c>
      <c r="L855">
        <v>0.87</v>
      </c>
      <c r="M855" s="148">
        <v>0</v>
      </c>
      <c r="N855">
        <v>4</v>
      </c>
      <c r="O855">
        <v>6</v>
      </c>
      <c r="P855">
        <v>10</v>
      </c>
    </row>
    <row r="856" spans="1:16">
      <c r="A856">
        <v>855</v>
      </c>
      <c r="B856" s="2">
        <v>40582</v>
      </c>
      <c r="C856">
        <v>1</v>
      </c>
      <c r="D856" t="s">
        <v>17</v>
      </c>
      <c r="E856" s="6" t="s">
        <v>19</v>
      </c>
      <c r="F856" s="151">
        <v>35.583333333333343</v>
      </c>
      <c r="G856" s="7" t="s">
        <v>36</v>
      </c>
      <c r="H856" s="7" t="s">
        <v>42</v>
      </c>
      <c r="I856" s="7" t="s">
        <v>39</v>
      </c>
      <c r="J856">
        <v>0.28000000000000003</v>
      </c>
      <c r="K856" s="148">
        <v>0.31819999999999998</v>
      </c>
      <c r="L856">
        <v>0.87</v>
      </c>
      <c r="M856" s="148">
        <v>0</v>
      </c>
      <c r="N856">
        <v>0</v>
      </c>
      <c r="O856">
        <v>4</v>
      </c>
      <c r="P856">
        <v>4</v>
      </c>
    </row>
    <row r="857" spans="1:16">
      <c r="A857">
        <v>856</v>
      </c>
      <c r="B857" s="2">
        <v>40582</v>
      </c>
      <c r="C857">
        <v>1</v>
      </c>
      <c r="D857" t="s">
        <v>17</v>
      </c>
      <c r="E857" s="6" t="s">
        <v>19</v>
      </c>
      <c r="F857" s="151">
        <v>35.625</v>
      </c>
      <c r="G857" s="7" t="s">
        <v>36</v>
      </c>
      <c r="H857" s="7" t="s">
        <v>42</v>
      </c>
      <c r="I857" s="7" t="s">
        <v>39</v>
      </c>
      <c r="J857">
        <v>0.26</v>
      </c>
      <c r="K857" s="148">
        <v>0.2727</v>
      </c>
      <c r="L857">
        <v>0.93</v>
      </c>
      <c r="M857" s="148">
        <v>0.1045</v>
      </c>
      <c r="N857">
        <v>1</v>
      </c>
      <c r="O857">
        <v>1</v>
      </c>
      <c r="P857">
        <v>2</v>
      </c>
    </row>
    <row r="858" spans="1:16">
      <c r="A858">
        <v>857</v>
      </c>
      <c r="B858" s="2">
        <v>40582</v>
      </c>
      <c r="C858">
        <v>1</v>
      </c>
      <c r="D858" t="s">
        <v>17</v>
      </c>
      <c r="E858" s="6" t="s">
        <v>19</v>
      </c>
      <c r="F858" s="151">
        <v>35.666666666666657</v>
      </c>
      <c r="G858" s="7" t="s">
        <v>36</v>
      </c>
      <c r="H858" s="7" t="s">
        <v>42</v>
      </c>
      <c r="I858" s="7" t="s">
        <v>45</v>
      </c>
      <c r="J858">
        <v>0.28000000000000003</v>
      </c>
      <c r="K858" s="148">
        <v>0.2727</v>
      </c>
      <c r="L858">
        <v>0.93</v>
      </c>
      <c r="M858" s="148">
        <v>0.16420000000000001</v>
      </c>
      <c r="N858">
        <v>0</v>
      </c>
      <c r="O858">
        <v>1</v>
      </c>
      <c r="P858">
        <v>1</v>
      </c>
    </row>
    <row r="859" spans="1:16">
      <c r="A859">
        <v>858</v>
      </c>
      <c r="B859" s="2">
        <v>40582</v>
      </c>
      <c r="C859">
        <v>1</v>
      </c>
      <c r="D859" t="s">
        <v>17</v>
      </c>
      <c r="E859" s="6" t="s">
        <v>19</v>
      </c>
      <c r="F859" s="151">
        <v>35.708333333333343</v>
      </c>
      <c r="G859" s="7" t="s">
        <v>36</v>
      </c>
      <c r="H859" s="7" t="s">
        <v>42</v>
      </c>
      <c r="I859" s="7" t="s">
        <v>38</v>
      </c>
      <c r="J859">
        <v>0.26</v>
      </c>
      <c r="K859" s="148">
        <v>0.2576</v>
      </c>
      <c r="L859">
        <v>0.93</v>
      </c>
      <c r="M859" s="148">
        <v>0.16420000000000001</v>
      </c>
      <c r="N859">
        <v>0</v>
      </c>
      <c r="O859">
        <v>3</v>
      </c>
      <c r="P859">
        <v>3</v>
      </c>
    </row>
    <row r="860" spans="1:16">
      <c r="A860">
        <v>859</v>
      </c>
      <c r="B860" s="2">
        <v>40582</v>
      </c>
      <c r="C860">
        <v>1</v>
      </c>
      <c r="D860" t="s">
        <v>17</v>
      </c>
      <c r="E860" s="6" t="s">
        <v>19</v>
      </c>
      <c r="F860" s="151">
        <v>35.75</v>
      </c>
      <c r="G860" s="7" t="s">
        <v>36</v>
      </c>
      <c r="H860" s="7" t="s">
        <v>42</v>
      </c>
      <c r="I860" s="7" t="s">
        <v>38</v>
      </c>
      <c r="J860">
        <v>0.26</v>
      </c>
      <c r="K860" s="148">
        <v>0.2273</v>
      </c>
      <c r="L860">
        <v>0.81</v>
      </c>
      <c r="M860" s="148">
        <v>0.32840000000000003</v>
      </c>
      <c r="N860">
        <v>0</v>
      </c>
      <c r="O860">
        <v>2</v>
      </c>
      <c r="P860">
        <v>2</v>
      </c>
    </row>
    <row r="861" spans="1:16">
      <c r="A861">
        <v>860</v>
      </c>
      <c r="B861" s="2">
        <v>40582</v>
      </c>
      <c r="C861">
        <v>1</v>
      </c>
      <c r="D861" t="s">
        <v>17</v>
      </c>
      <c r="E861" s="6" t="s">
        <v>19</v>
      </c>
      <c r="F861" s="151">
        <v>35.791666666666657</v>
      </c>
      <c r="G861" s="7" t="s">
        <v>36</v>
      </c>
      <c r="H861" s="7" t="s">
        <v>42</v>
      </c>
      <c r="I861" s="7" t="s">
        <v>38</v>
      </c>
      <c r="J861">
        <v>0.26</v>
      </c>
      <c r="K861" s="148">
        <v>0.2273</v>
      </c>
      <c r="L861">
        <v>0.7</v>
      </c>
      <c r="M861" s="148">
        <v>0.32840000000000003</v>
      </c>
      <c r="N861">
        <v>0</v>
      </c>
      <c r="O861">
        <v>39</v>
      </c>
      <c r="P861">
        <v>39</v>
      </c>
    </row>
    <row r="862" spans="1:16">
      <c r="A862">
        <v>861</v>
      </c>
      <c r="B862" s="2">
        <v>40582</v>
      </c>
      <c r="C862">
        <v>1</v>
      </c>
      <c r="D862" t="s">
        <v>17</v>
      </c>
      <c r="E862" s="6" t="s">
        <v>19</v>
      </c>
      <c r="F862" s="151">
        <v>35.833333333333343</v>
      </c>
      <c r="G862" s="7" t="s">
        <v>36</v>
      </c>
      <c r="H862" s="7" t="s">
        <v>42</v>
      </c>
      <c r="I862" s="7" t="s">
        <v>38</v>
      </c>
      <c r="J862">
        <v>0.24</v>
      </c>
      <c r="K862" s="148">
        <v>0.19700000000000001</v>
      </c>
      <c r="L862">
        <v>0.65</v>
      </c>
      <c r="M862" s="148">
        <v>0.41789999999999999</v>
      </c>
      <c r="N862">
        <v>3</v>
      </c>
      <c r="O862">
        <v>97</v>
      </c>
      <c r="P862">
        <v>100</v>
      </c>
    </row>
    <row r="863" spans="1:16">
      <c r="A863">
        <v>862</v>
      </c>
      <c r="B863" s="2">
        <v>40582</v>
      </c>
      <c r="C863">
        <v>1</v>
      </c>
      <c r="D863" t="s">
        <v>17</v>
      </c>
      <c r="E863" s="6" t="s">
        <v>19</v>
      </c>
      <c r="F863" s="151">
        <v>35.875</v>
      </c>
      <c r="G863" s="7" t="s">
        <v>36</v>
      </c>
      <c r="H863" s="7" t="s">
        <v>42</v>
      </c>
      <c r="I863" s="7" t="s">
        <v>38</v>
      </c>
      <c r="J863">
        <v>0.24</v>
      </c>
      <c r="K863" s="148">
        <v>0.19700000000000001</v>
      </c>
      <c r="L863">
        <v>0.56000000000000005</v>
      </c>
      <c r="M863" s="148">
        <v>0.49249999999999999</v>
      </c>
      <c r="N863">
        <v>7</v>
      </c>
      <c r="O863">
        <v>236</v>
      </c>
      <c r="P863">
        <v>243</v>
      </c>
    </row>
    <row r="864" spans="1:16">
      <c r="A864">
        <v>863</v>
      </c>
      <c r="B864" s="2">
        <v>40582</v>
      </c>
      <c r="C864">
        <v>1</v>
      </c>
      <c r="D864" t="s">
        <v>17</v>
      </c>
      <c r="E864" s="6" t="s">
        <v>19</v>
      </c>
      <c r="F864" s="151">
        <v>35.916666666666657</v>
      </c>
      <c r="G864" s="7" t="s">
        <v>36</v>
      </c>
      <c r="H864" s="7" t="s">
        <v>42</v>
      </c>
      <c r="I864" s="7" t="s">
        <v>38</v>
      </c>
      <c r="J864">
        <v>0.24</v>
      </c>
      <c r="K864" s="148">
        <v>0.19700000000000001</v>
      </c>
      <c r="L864">
        <v>0.52</v>
      </c>
      <c r="M864" s="148">
        <v>0.49249999999999999</v>
      </c>
      <c r="N864">
        <v>7</v>
      </c>
      <c r="O864">
        <v>128</v>
      </c>
      <c r="P864">
        <v>135</v>
      </c>
    </row>
    <row r="865" spans="1:16">
      <c r="A865">
        <v>864</v>
      </c>
      <c r="B865" s="2">
        <v>40582</v>
      </c>
      <c r="C865">
        <v>1</v>
      </c>
      <c r="D865" t="s">
        <v>17</v>
      </c>
      <c r="E865" s="6" t="s">
        <v>19</v>
      </c>
      <c r="F865" s="151">
        <v>35.958333333333343</v>
      </c>
      <c r="G865" s="7" t="s">
        <v>36</v>
      </c>
      <c r="H865" s="7" t="s">
        <v>42</v>
      </c>
      <c r="I865" s="7" t="s">
        <v>38</v>
      </c>
      <c r="J865">
        <v>0.22</v>
      </c>
      <c r="K865" s="148">
        <v>0.18179999999999999</v>
      </c>
      <c r="L865">
        <v>0.47</v>
      </c>
      <c r="M865" s="148">
        <v>0.55220000000000002</v>
      </c>
      <c r="N865">
        <v>4</v>
      </c>
      <c r="O865">
        <v>44</v>
      </c>
      <c r="P865">
        <v>48</v>
      </c>
    </row>
    <row r="866" spans="1:16">
      <c r="A866">
        <v>865</v>
      </c>
      <c r="B866" s="2">
        <v>40582</v>
      </c>
      <c r="C866">
        <v>1</v>
      </c>
      <c r="D866" t="s">
        <v>17</v>
      </c>
      <c r="E866" s="6" t="s">
        <v>19</v>
      </c>
      <c r="F866" s="151">
        <v>36</v>
      </c>
      <c r="G866" s="7" t="s">
        <v>36</v>
      </c>
      <c r="H866" s="7" t="s">
        <v>42</v>
      </c>
      <c r="I866" s="7" t="s">
        <v>38</v>
      </c>
      <c r="J866">
        <v>0.22</v>
      </c>
      <c r="K866" s="148">
        <v>0.18179999999999999</v>
      </c>
      <c r="L866">
        <v>0.47</v>
      </c>
      <c r="M866" s="148">
        <v>0.4627</v>
      </c>
      <c r="N866">
        <v>1</v>
      </c>
      <c r="O866">
        <v>49</v>
      </c>
      <c r="P866">
        <v>50</v>
      </c>
    </row>
    <row r="867" spans="1:16">
      <c r="A867">
        <v>866</v>
      </c>
      <c r="B867" s="2">
        <v>40582</v>
      </c>
      <c r="C867">
        <v>1</v>
      </c>
      <c r="D867" t="s">
        <v>17</v>
      </c>
      <c r="E867" s="6" t="s">
        <v>19</v>
      </c>
      <c r="F867" s="151">
        <v>36.041666666666657</v>
      </c>
      <c r="G867" s="7" t="s">
        <v>36</v>
      </c>
      <c r="H867" s="7" t="s">
        <v>42</v>
      </c>
      <c r="I867" s="7" t="s">
        <v>38</v>
      </c>
      <c r="J867">
        <v>0.24</v>
      </c>
      <c r="K867" s="148">
        <v>0.19700000000000001</v>
      </c>
      <c r="L867">
        <v>0.38</v>
      </c>
      <c r="M867" s="148">
        <v>0.49249999999999999</v>
      </c>
      <c r="N867">
        <v>2</v>
      </c>
      <c r="O867">
        <v>63</v>
      </c>
      <c r="P867">
        <v>65</v>
      </c>
    </row>
    <row r="868" spans="1:16">
      <c r="A868">
        <v>867</v>
      </c>
      <c r="B868" s="2">
        <v>40582</v>
      </c>
      <c r="C868">
        <v>1</v>
      </c>
      <c r="D868" t="s">
        <v>17</v>
      </c>
      <c r="E868" s="6" t="s">
        <v>19</v>
      </c>
      <c r="F868" s="151">
        <v>36.083333333333343</v>
      </c>
      <c r="G868" s="7" t="s">
        <v>36</v>
      </c>
      <c r="H868" s="7" t="s">
        <v>42</v>
      </c>
      <c r="I868" s="7" t="s">
        <v>39</v>
      </c>
      <c r="J868">
        <v>0.24</v>
      </c>
      <c r="K868" s="148">
        <v>0.19700000000000001</v>
      </c>
      <c r="L868">
        <v>0.32</v>
      </c>
      <c r="M868" s="148">
        <v>0.44779999999999998</v>
      </c>
      <c r="N868">
        <v>2</v>
      </c>
      <c r="O868">
        <v>48</v>
      </c>
      <c r="P868">
        <v>50</v>
      </c>
    </row>
    <row r="869" spans="1:16">
      <c r="A869">
        <v>868</v>
      </c>
      <c r="B869" s="2">
        <v>40582</v>
      </c>
      <c r="C869">
        <v>1</v>
      </c>
      <c r="D869" t="s">
        <v>17</v>
      </c>
      <c r="E869" s="6" t="s">
        <v>19</v>
      </c>
      <c r="F869" s="151">
        <v>36.125</v>
      </c>
      <c r="G869" s="7" t="s">
        <v>36</v>
      </c>
      <c r="H869" s="7" t="s">
        <v>42</v>
      </c>
      <c r="I869" s="7" t="s">
        <v>38</v>
      </c>
      <c r="J869">
        <v>0.22</v>
      </c>
      <c r="K869" s="148">
        <v>0.19700000000000001</v>
      </c>
      <c r="L869">
        <v>0.37</v>
      </c>
      <c r="M869" s="148">
        <v>0.41789999999999999</v>
      </c>
      <c r="N869">
        <v>3</v>
      </c>
      <c r="O869">
        <v>61</v>
      </c>
      <c r="P869">
        <v>64</v>
      </c>
    </row>
    <row r="870" spans="1:16">
      <c r="A870">
        <v>869</v>
      </c>
      <c r="B870" s="2">
        <v>40582</v>
      </c>
      <c r="C870">
        <v>1</v>
      </c>
      <c r="D870" t="s">
        <v>17</v>
      </c>
      <c r="E870" s="6" t="s">
        <v>19</v>
      </c>
      <c r="F870" s="151">
        <v>36.166666666666657</v>
      </c>
      <c r="G870" s="7" t="s">
        <v>36</v>
      </c>
      <c r="H870" s="7" t="s">
        <v>42</v>
      </c>
      <c r="I870" s="7" t="s">
        <v>38</v>
      </c>
      <c r="J870">
        <v>0.22</v>
      </c>
      <c r="K870" s="148">
        <v>0.19700000000000001</v>
      </c>
      <c r="L870">
        <v>0.35</v>
      </c>
      <c r="M870" s="148">
        <v>0.3881</v>
      </c>
      <c r="N870">
        <v>6</v>
      </c>
      <c r="O870">
        <v>45</v>
      </c>
      <c r="P870">
        <v>51</v>
      </c>
    </row>
    <row r="871" spans="1:16">
      <c r="A871">
        <v>870</v>
      </c>
      <c r="B871" s="2">
        <v>40582</v>
      </c>
      <c r="C871">
        <v>1</v>
      </c>
      <c r="D871" t="s">
        <v>17</v>
      </c>
      <c r="E871" s="6" t="s">
        <v>19</v>
      </c>
      <c r="F871" s="151">
        <v>36.208333333333343</v>
      </c>
      <c r="G871" s="7" t="s">
        <v>36</v>
      </c>
      <c r="H871" s="7" t="s">
        <v>42</v>
      </c>
      <c r="I871" s="7" t="s">
        <v>38</v>
      </c>
      <c r="J871">
        <v>0.22</v>
      </c>
      <c r="K871" s="148">
        <v>0.18179999999999999</v>
      </c>
      <c r="L871">
        <v>0.35</v>
      </c>
      <c r="M871" s="148">
        <v>0.52239999999999998</v>
      </c>
      <c r="N871">
        <v>4</v>
      </c>
      <c r="O871">
        <v>79</v>
      </c>
      <c r="P871">
        <v>83</v>
      </c>
    </row>
    <row r="872" spans="1:16">
      <c r="A872">
        <v>871</v>
      </c>
      <c r="B872" s="2">
        <v>40582</v>
      </c>
      <c r="C872">
        <v>1</v>
      </c>
      <c r="D872" t="s">
        <v>17</v>
      </c>
      <c r="E872" s="6" t="s">
        <v>19</v>
      </c>
      <c r="F872" s="151">
        <v>36.25</v>
      </c>
      <c r="G872" s="7" t="s">
        <v>36</v>
      </c>
      <c r="H872" s="7" t="s">
        <v>42</v>
      </c>
      <c r="I872" s="7" t="s">
        <v>38</v>
      </c>
      <c r="J872">
        <v>0.22</v>
      </c>
      <c r="K872" s="148">
        <v>0.18179999999999999</v>
      </c>
      <c r="L872">
        <v>0.32</v>
      </c>
      <c r="M872" s="148">
        <v>0.58209999999999995</v>
      </c>
      <c r="N872">
        <v>4</v>
      </c>
      <c r="O872">
        <v>172</v>
      </c>
      <c r="P872">
        <v>176</v>
      </c>
    </row>
    <row r="873" spans="1:16">
      <c r="A873">
        <v>872</v>
      </c>
      <c r="B873" s="2">
        <v>40582</v>
      </c>
      <c r="C873">
        <v>1</v>
      </c>
      <c r="D873" t="s">
        <v>17</v>
      </c>
      <c r="E873" s="6" t="s">
        <v>19</v>
      </c>
      <c r="F873" s="151">
        <v>36.291666666666657</v>
      </c>
      <c r="G873" s="7" t="s">
        <v>36</v>
      </c>
      <c r="H873" s="7" t="s">
        <v>42</v>
      </c>
      <c r="I873" s="7" t="s">
        <v>38</v>
      </c>
      <c r="J873">
        <v>0.2</v>
      </c>
      <c r="K873" s="148">
        <v>0.18179999999999999</v>
      </c>
      <c r="L873">
        <v>0.32</v>
      </c>
      <c r="M873" s="148">
        <v>0.3881</v>
      </c>
      <c r="N873">
        <v>1</v>
      </c>
      <c r="O873">
        <v>151</v>
      </c>
      <c r="P873">
        <v>152</v>
      </c>
    </row>
    <row r="874" spans="1:16">
      <c r="A874">
        <v>873</v>
      </c>
      <c r="B874" s="2">
        <v>40582</v>
      </c>
      <c r="C874">
        <v>1</v>
      </c>
      <c r="D874" t="s">
        <v>17</v>
      </c>
      <c r="E874" s="6" t="s">
        <v>19</v>
      </c>
      <c r="F874" s="151">
        <v>36.333333333333343</v>
      </c>
      <c r="G874" s="7" t="s">
        <v>36</v>
      </c>
      <c r="H874" s="7" t="s">
        <v>42</v>
      </c>
      <c r="I874" s="7" t="s">
        <v>38</v>
      </c>
      <c r="J874">
        <v>0.16</v>
      </c>
      <c r="K874" s="148">
        <v>0.1212</v>
      </c>
      <c r="L874">
        <v>0.4</v>
      </c>
      <c r="M874" s="148">
        <v>0.4627</v>
      </c>
      <c r="N874">
        <v>1</v>
      </c>
      <c r="O874">
        <v>100</v>
      </c>
      <c r="P874">
        <v>101</v>
      </c>
    </row>
    <row r="875" spans="1:16">
      <c r="A875">
        <v>874</v>
      </c>
      <c r="B875" s="2">
        <v>40582</v>
      </c>
      <c r="C875">
        <v>1</v>
      </c>
      <c r="D875" t="s">
        <v>17</v>
      </c>
      <c r="E875" s="6" t="s">
        <v>19</v>
      </c>
      <c r="F875" s="151">
        <v>36.375</v>
      </c>
      <c r="G875" s="7" t="s">
        <v>36</v>
      </c>
      <c r="H875" s="7" t="s">
        <v>42</v>
      </c>
      <c r="I875" s="7" t="s">
        <v>38</v>
      </c>
      <c r="J875">
        <v>0.16</v>
      </c>
      <c r="K875" s="148">
        <v>0.13639999999999999</v>
      </c>
      <c r="L875">
        <v>0.4</v>
      </c>
      <c r="M875" s="148">
        <v>0.32840000000000003</v>
      </c>
      <c r="N875">
        <v>3</v>
      </c>
      <c r="O875">
        <v>53</v>
      </c>
      <c r="P875">
        <v>56</v>
      </c>
    </row>
    <row r="876" spans="1:16">
      <c r="A876">
        <v>875</v>
      </c>
      <c r="B876" s="2">
        <v>40582</v>
      </c>
      <c r="C876">
        <v>1</v>
      </c>
      <c r="D876" t="s">
        <v>17</v>
      </c>
      <c r="E876" s="6" t="s">
        <v>19</v>
      </c>
      <c r="F876" s="151">
        <v>36.416666666666657</v>
      </c>
      <c r="G876" s="7" t="s">
        <v>36</v>
      </c>
      <c r="H876" s="7" t="s">
        <v>42</v>
      </c>
      <c r="I876" s="7" t="s">
        <v>38</v>
      </c>
      <c r="J876">
        <v>0.14000000000000001</v>
      </c>
      <c r="K876" s="148">
        <v>0.1061</v>
      </c>
      <c r="L876">
        <v>0.33</v>
      </c>
      <c r="M876" s="148">
        <v>0.4627</v>
      </c>
      <c r="N876">
        <v>8</v>
      </c>
      <c r="O876">
        <v>46</v>
      </c>
      <c r="P876">
        <v>54</v>
      </c>
    </row>
    <row r="877" spans="1:16">
      <c r="A877">
        <v>876</v>
      </c>
      <c r="B877" s="2">
        <v>40582</v>
      </c>
      <c r="C877">
        <v>1</v>
      </c>
      <c r="D877" t="s">
        <v>17</v>
      </c>
      <c r="E877" s="6" t="s">
        <v>19</v>
      </c>
      <c r="F877" s="151">
        <v>36.458333333333343</v>
      </c>
      <c r="G877" s="7" t="s">
        <v>36</v>
      </c>
      <c r="H877" s="7" t="s">
        <v>42</v>
      </c>
      <c r="I877" s="7" t="s">
        <v>38</v>
      </c>
      <c r="J877">
        <v>0.12</v>
      </c>
      <c r="K877" s="148">
        <v>0.1061</v>
      </c>
      <c r="L877">
        <v>0.33</v>
      </c>
      <c r="M877" s="148">
        <v>0.35820000000000002</v>
      </c>
      <c r="N877">
        <v>0</v>
      </c>
      <c r="O877">
        <v>29</v>
      </c>
      <c r="P877">
        <v>29</v>
      </c>
    </row>
    <row r="878" spans="1:16">
      <c r="A878">
        <v>877</v>
      </c>
      <c r="B878" s="2">
        <v>40582</v>
      </c>
      <c r="C878">
        <v>1</v>
      </c>
      <c r="D878" t="s">
        <v>17</v>
      </c>
      <c r="E878" s="6" t="s">
        <v>19</v>
      </c>
      <c r="F878" s="151">
        <v>36.5</v>
      </c>
      <c r="G878" s="7" t="s">
        <v>36</v>
      </c>
      <c r="H878" s="7" t="s">
        <v>42</v>
      </c>
      <c r="I878" s="7" t="s">
        <v>38</v>
      </c>
      <c r="J878">
        <v>0.12</v>
      </c>
      <c r="K878" s="148">
        <v>0.1061</v>
      </c>
      <c r="L878">
        <v>0.33</v>
      </c>
      <c r="M878" s="148">
        <v>0.32840000000000003</v>
      </c>
      <c r="N878">
        <v>3</v>
      </c>
      <c r="O878">
        <v>9</v>
      </c>
      <c r="P878">
        <v>12</v>
      </c>
    </row>
    <row r="879" spans="1:16">
      <c r="A879">
        <v>878</v>
      </c>
      <c r="B879" s="2">
        <v>40583</v>
      </c>
      <c r="C879">
        <v>1</v>
      </c>
      <c r="D879" t="s">
        <v>17</v>
      </c>
      <c r="E879" s="6" t="s">
        <v>19</v>
      </c>
      <c r="F879" s="151">
        <v>36.541666666666657</v>
      </c>
      <c r="G879" s="7" t="s">
        <v>36</v>
      </c>
      <c r="H879" s="7" t="s">
        <v>46</v>
      </c>
      <c r="I879" s="7" t="s">
        <v>38</v>
      </c>
      <c r="J879">
        <v>0.1</v>
      </c>
      <c r="K879" s="148">
        <v>7.5800000000000006E-2</v>
      </c>
      <c r="L879">
        <v>0.36</v>
      </c>
      <c r="M879" s="148">
        <v>0.35820000000000002</v>
      </c>
      <c r="N879">
        <v>0</v>
      </c>
      <c r="O879">
        <v>17</v>
      </c>
      <c r="P879">
        <v>17</v>
      </c>
    </row>
    <row r="880" spans="1:16">
      <c r="A880">
        <v>879</v>
      </c>
      <c r="B880" s="2">
        <v>40583</v>
      </c>
      <c r="C880">
        <v>1</v>
      </c>
      <c r="D880" t="s">
        <v>17</v>
      </c>
      <c r="E880" s="6" t="s">
        <v>19</v>
      </c>
      <c r="F880" s="151">
        <v>36.583333333333343</v>
      </c>
      <c r="G880" s="7" t="s">
        <v>36</v>
      </c>
      <c r="H880" s="7" t="s">
        <v>46</v>
      </c>
      <c r="I880" s="7" t="s">
        <v>38</v>
      </c>
      <c r="J880">
        <v>0.1</v>
      </c>
      <c r="K880" s="148">
        <v>0.1061</v>
      </c>
      <c r="L880">
        <v>0.36</v>
      </c>
      <c r="M880" s="148">
        <v>0.22389999999999999</v>
      </c>
      <c r="N880">
        <v>0</v>
      </c>
      <c r="O880">
        <v>7</v>
      </c>
      <c r="P880">
        <v>7</v>
      </c>
    </row>
    <row r="881" spans="1:16">
      <c r="A881">
        <v>880</v>
      </c>
      <c r="B881" s="2">
        <v>40583</v>
      </c>
      <c r="C881">
        <v>1</v>
      </c>
      <c r="D881" t="s">
        <v>17</v>
      </c>
      <c r="E881" s="6" t="s">
        <v>19</v>
      </c>
      <c r="F881" s="151">
        <v>36.625</v>
      </c>
      <c r="G881" s="7" t="s">
        <v>36</v>
      </c>
      <c r="H881" s="7" t="s">
        <v>46</v>
      </c>
      <c r="I881" s="7" t="s">
        <v>38</v>
      </c>
      <c r="J881">
        <v>0.08</v>
      </c>
      <c r="K881" s="148">
        <v>7.5800000000000006E-2</v>
      </c>
      <c r="L881">
        <v>0.38</v>
      </c>
      <c r="M881" s="148">
        <v>0.28360000000000002</v>
      </c>
      <c r="N881">
        <v>1</v>
      </c>
      <c r="O881">
        <v>2</v>
      </c>
      <c r="P881">
        <v>3</v>
      </c>
    </row>
    <row r="882" spans="1:16">
      <c r="A882">
        <v>881</v>
      </c>
      <c r="B882" s="2">
        <v>40583</v>
      </c>
      <c r="C882">
        <v>1</v>
      </c>
      <c r="D882" t="s">
        <v>17</v>
      </c>
      <c r="E882" s="6" t="s">
        <v>19</v>
      </c>
      <c r="F882" s="151">
        <v>36.666666666666657</v>
      </c>
      <c r="G882" s="7" t="s">
        <v>36</v>
      </c>
      <c r="H882" s="7" t="s">
        <v>46</v>
      </c>
      <c r="I882" s="7" t="s">
        <v>38</v>
      </c>
      <c r="J882">
        <v>0.06</v>
      </c>
      <c r="K882" s="148">
        <v>7.5800000000000006E-2</v>
      </c>
      <c r="L882">
        <v>0.45</v>
      </c>
      <c r="M882" s="148">
        <v>0.1343</v>
      </c>
      <c r="N882">
        <v>0</v>
      </c>
      <c r="O882">
        <v>2</v>
      </c>
      <c r="P882">
        <v>2</v>
      </c>
    </row>
    <row r="883" spans="1:16">
      <c r="A883">
        <v>882</v>
      </c>
      <c r="B883" s="2">
        <v>40583</v>
      </c>
      <c r="C883">
        <v>1</v>
      </c>
      <c r="D883" t="s">
        <v>17</v>
      </c>
      <c r="E883" s="6" t="s">
        <v>19</v>
      </c>
      <c r="F883" s="151">
        <v>36.708333333333343</v>
      </c>
      <c r="G883" s="7" t="s">
        <v>36</v>
      </c>
      <c r="H883" s="7" t="s">
        <v>46</v>
      </c>
      <c r="I883" s="7" t="s">
        <v>38</v>
      </c>
      <c r="J883">
        <v>0.06</v>
      </c>
      <c r="K883" s="148">
        <v>0.1061</v>
      </c>
      <c r="L883">
        <v>0.45</v>
      </c>
      <c r="M883" s="148">
        <v>0.1045</v>
      </c>
      <c r="N883">
        <v>0</v>
      </c>
      <c r="O883">
        <v>7</v>
      </c>
      <c r="P883">
        <v>7</v>
      </c>
    </row>
    <row r="884" spans="1:16">
      <c r="A884">
        <v>883</v>
      </c>
      <c r="B884" s="2">
        <v>40583</v>
      </c>
      <c r="C884">
        <v>1</v>
      </c>
      <c r="D884" t="s">
        <v>17</v>
      </c>
      <c r="E884" s="6" t="s">
        <v>19</v>
      </c>
      <c r="F884" s="151">
        <v>36.75</v>
      </c>
      <c r="G884" s="7" t="s">
        <v>36</v>
      </c>
      <c r="H884" s="7" t="s">
        <v>46</v>
      </c>
      <c r="I884" s="7" t="s">
        <v>38</v>
      </c>
      <c r="J884">
        <v>0.06</v>
      </c>
      <c r="K884" s="148">
        <v>0.1515</v>
      </c>
      <c r="L884">
        <v>0.45</v>
      </c>
      <c r="M884" s="148">
        <v>0</v>
      </c>
      <c r="N884">
        <v>0</v>
      </c>
      <c r="O884">
        <v>43</v>
      </c>
      <c r="P884">
        <v>43</v>
      </c>
    </row>
    <row r="885" spans="1:16">
      <c r="A885">
        <v>884</v>
      </c>
      <c r="B885" s="2">
        <v>40583</v>
      </c>
      <c r="C885">
        <v>1</v>
      </c>
      <c r="D885" t="s">
        <v>17</v>
      </c>
      <c r="E885" s="6" t="s">
        <v>19</v>
      </c>
      <c r="F885" s="151">
        <v>36.791666666666657</v>
      </c>
      <c r="G885" s="7" t="s">
        <v>36</v>
      </c>
      <c r="H885" s="7" t="s">
        <v>46</v>
      </c>
      <c r="I885" s="7" t="s">
        <v>38</v>
      </c>
      <c r="J885">
        <v>0.06</v>
      </c>
      <c r="K885" s="148">
        <v>0.1061</v>
      </c>
      <c r="L885">
        <v>0.49</v>
      </c>
      <c r="M885" s="148">
        <v>0.1045</v>
      </c>
      <c r="N885">
        <v>4</v>
      </c>
      <c r="O885">
        <v>95</v>
      </c>
      <c r="P885">
        <v>99</v>
      </c>
    </row>
    <row r="886" spans="1:16">
      <c r="A886">
        <v>885</v>
      </c>
      <c r="B886" s="2">
        <v>40583</v>
      </c>
      <c r="C886">
        <v>1</v>
      </c>
      <c r="D886" t="s">
        <v>17</v>
      </c>
      <c r="E886" s="6" t="s">
        <v>19</v>
      </c>
      <c r="F886" s="151">
        <v>36.833333333333343</v>
      </c>
      <c r="G886" s="7" t="s">
        <v>36</v>
      </c>
      <c r="H886" s="7" t="s">
        <v>46</v>
      </c>
      <c r="I886" s="7" t="s">
        <v>38</v>
      </c>
      <c r="J886">
        <v>0.1</v>
      </c>
      <c r="K886" s="148">
        <v>0.13639999999999999</v>
      </c>
      <c r="L886">
        <v>0.42</v>
      </c>
      <c r="M886" s="148">
        <v>0</v>
      </c>
      <c r="N886">
        <v>1</v>
      </c>
      <c r="O886">
        <v>198</v>
      </c>
      <c r="P886">
        <v>199</v>
      </c>
    </row>
    <row r="887" spans="1:16">
      <c r="A887">
        <v>886</v>
      </c>
      <c r="B887" s="2">
        <v>40583</v>
      </c>
      <c r="C887">
        <v>1</v>
      </c>
      <c r="D887" t="s">
        <v>17</v>
      </c>
      <c r="E887" s="6" t="s">
        <v>19</v>
      </c>
      <c r="F887" s="151">
        <v>36.875</v>
      </c>
      <c r="G887" s="7" t="s">
        <v>36</v>
      </c>
      <c r="H887" s="7" t="s">
        <v>46</v>
      </c>
      <c r="I887" s="7" t="s">
        <v>38</v>
      </c>
      <c r="J887">
        <v>0.12</v>
      </c>
      <c r="K887" s="148">
        <v>0.13639999999999999</v>
      </c>
      <c r="L887">
        <v>0.39</v>
      </c>
      <c r="M887" s="148">
        <v>0.16420000000000001</v>
      </c>
      <c r="N887">
        <v>4</v>
      </c>
      <c r="O887">
        <v>119</v>
      </c>
      <c r="P887">
        <v>123</v>
      </c>
    </row>
    <row r="888" spans="1:16">
      <c r="A888">
        <v>887</v>
      </c>
      <c r="B888" s="2">
        <v>40583</v>
      </c>
      <c r="C888">
        <v>1</v>
      </c>
      <c r="D888" t="s">
        <v>17</v>
      </c>
      <c r="E888" s="6" t="s">
        <v>19</v>
      </c>
      <c r="F888" s="151">
        <v>36.916666666666657</v>
      </c>
      <c r="G888" s="7" t="s">
        <v>36</v>
      </c>
      <c r="H888" s="7" t="s">
        <v>46</v>
      </c>
      <c r="I888" s="7" t="s">
        <v>38</v>
      </c>
      <c r="J888">
        <v>0.14000000000000001</v>
      </c>
      <c r="K888" s="148">
        <v>0.18179999999999999</v>
      </c>
      <c r="L888">
        <v>0.36</v>
      </c>
      <c r="M888" s="148">
        <v>0</v>
      </c>
      <c r="N888">
        <v>8</v>
      </c>
      <c r="O888">
        <v>51</v>
      </c>
      <c r="P888">
        <v>59</v>
      </c>
    </row>
    <row r="889" spans="1:16">
      <c r="A889">
        <v>888</v>
      </c>
      <c r="B889" s="2">
        <v>40583</v>
      </c>
      <c r="C889">
        <v>1</v>
      </c>
      <c r="D889" t="s">
        <v>17</v>
      </c>
      <c r="E889" s="6" t="s">
        <v>19</v>
      </c>
      <c r="F889" s="151">
        <v>36.958333333333343</v>
      </c>
      <c r="G889" s="7" t="s">
        <v>36</v>
      </c>
      <c r="H889" s="7" t="s">
        <v>46</v>
      </c>
      <c r="I889" s="7" t="s">
        <v>39</v>
      </c>
      <c r="J889">
        <v>0.14000000000000001</v>
      </c>
      <c r="K889" s="148">
        <v>0.1515</v>
      </c>
      <c r="L889">
        <v>0.43</v>
      </c>
      <c r="M889" s="148">
        <v>0.16420000000000001</v>
      </c>
      <c r="N889">
        <v>1</v>
      </c>
      <c r="O889">
        <v>40</v>
      </c>
      <c r="P889">
        <v>41</v>
      </c>
    </row>
    <row r="890" spans="1:16">
      <c r="A890">
        <v>889</v>
      </c>
      <c r="B890" s="2">
        <v>40583</v>
      </c>
      <c r="C890">
        <v>1</v>
      </c>
      <c r="D890" t="s">
        <v>17</v>
      </c>
      <c r="E890" s="6" t="s">
        <v>19</v>
      </c>
      <c r="F890" s="151">
        <v>37</v>
      </c>
      <c r="G890" s="7" t="s">
        <v>36</v>
      </c>
      <c r="H890" s="7" t="s">
        <v>46</v>
      </c>
      <c r="I890" s="7" t="s">
        <v>39</v>
      </c>
      <c r="J890">
        <v>0.18</v>
      </c>
      <c r="K890" s="148">
        <v>0.18179999999999999</v>
      </c>
      <c r="L890">
        <v>0.4</v>
      </c>
      <c r="M890" s="148">
        <v>0.22389999999999999</v>
      </c>
      <c r="N890">
        <v>4</v>
      </c>
      <c r="O890">
        <v>57</v>
      </c>
      <c r="P890">
        <v>61</v>
      </c>
    </row>
    <row r="891" spans="1:16">
      <c r="A891">
        <v>890</v>
      </c>
      <c r="B891" s="2">
        <v>40583</v>
      </c>
      <c r="C891">
        <v>1</v>
      </c>
      <c r="D891" t="s">
        <v>17</v>
      </c>
      <c r="E891" s="6" t="s">
        <v>19</v>
      </c>
      <c r="F891" s="151">
        <v>37.041666666666657</v>
      </c>
      <c r="G891" s="7" t="s">
        <v>36</v>
      </c>
      <c r="H891" s="7" t="s">
        <v>46</v>
      </c>
      <c r="I891" s="7" t="s">
        <v>38</v>
      </c>
      <c r="J891">
        <v>0.18</v>
      </c>
      <c r="K891" s="148">
        <v>0.16669999999999999</v>
      </c>
      <c r="L891">
        <v>0.4</v>
      </c>
      <c r="M891" s="148">
        <v>0.25369999999999998</v>
      </c>
      <c r="N891">
        <v>2</v>
      </c>
      <c r="O891">
        <v>67</v>
      </c>
      <c r="P891">
        <v>69</v>
      </c>
    </row>
    <row r="892" spans="1:16">
      <c r="A892">
        <v>891</v>
      </c>
      <c r="B892" s="2">
        <v>40583</v>
      </c>
      <c r="C892">
        <v>1</v>
      </c>
      <c r="D892" t="s">
        <v>17</v>
      </c>
      <c r="E892" s="6" t="s">
        <v>19</v>
      </c>
      <c r="F892" s="151">
        <v>37.083333333333343</v>
      </c>
      <c r="G892" s="7" t="s">
        <v>36</v>
      </c>
      <c r="H892" s="7" t="s">
        <v>46</v>
      </c>
      <c r="I892" s="7" t="s">
        <v>38</v>
      </c>
      <c r="J892">
        <v>0.2</v>
      </c>
      <c r="K892" s="148">
        <v>0.18179999999999999</v>
      </c>
      <c r="L892">
        <v>0.34</v>
      </c>
      <c r="M892" s="148">
        <v>0.29849999999999999</v>
      </c>
      <c r="N892">
        <v>2</v>
      </c>
      <c r="O892">
        <v>56</v>
      </c>
      <c r="P892">
        <v>58</v>
      </c>
    </row>
    <row r="893" spans="1:16">
      <c r="A893">
        <v>892</v>
      </c>
      <c r="B893" s="2">
        <v>40583</v>
      </c>
      <c r="C893">
        <v>1</v>
      </c>
      <c r="D893" t="s">
        <v>17</v>
      </c>
      <c r="E893" s="6" t="s">
        <v>19</v>
      </c>
      <c r="F893" s="151">
        <v>37.125</v>
      </c>
      <c r="G893" s="7" t="s">
        <v>36</v>
      </c>
      <c r="H893" s="7" t="s">
        <v>46</v>
      </c>
      <c r="I893" s="7" t="s">
        <v>39</v>
      </c>
      <c r="J893">
        <v>0.2</v>
      </c>
      <c r="K893" s="148">
        <v>0.18179999999999999</v>
      </c>
      <c r="L893">
        <v>0.34</v>
      </c>
      <c r="M893" s="148">
        <v>0.28360000000000002</v>
      </c>
      <c r="N893">
        <v>3</v>
      </c>
      <c r="O893">
        <v>61</v>
      </c>
      <c r="P893">
        <v>64</v>
      </c>
    </row>
    <row r="894" spans="1:16">
      <c r="A894">
        <v>893</v>
      </c>
      <c r="B894" s="2">
        <v>40583</v>
      </c>
      <c r="C894">
        <v>1</v>
      </c>
      <c r="D894" t="s">
        <v>17</v>
      </c>
      <c r="E894" s="6" t="s">
        <v>19</v>
      </c>
      <c r="F894" s="151">
        <v>37.166666666666657</v>
      </c>
      <c r="G894" s="7" t="s">
        <v>36</v>
      </c>
      <c r="H894" s="7" t="s">
        <v>46</v>
      </c>
      <c r="I894" s="7" t="s">
        <v>39</v>
      </c>
      <c r="J894">
        <v>0.2</v>
      </c>
      <c r="K894" s="148">
        <v>0.19700000000000001</v>
      </c>
      <c r="L894">
        <v>0.37</v>
      </c>
      <c r="M894" s="148">
        <v>0.25369999999999998</v>
      </c>
      <c r="N894">
        <v>7</v>
      </c>
      <c r="O894">
        <v>72</v>
      </c>
      <c r="P894">
        <v>79</v>
      </c>
    </row>
    <row r="895" spans="1:16">
      <c r="A895">
        <v>894</v>
      </c>
      <c r="B895" s="2">
        <v>40583</v>
      </c>
      <c r="C895">
        <v>1</v>
      </c>
      <c r="D895" t="s">
        <v>17</v>
      </c>
      <c r="E895" s="6" t="s">
        <v>19</v>
      </c>
      <c r="F895" s="151">
        <v>37.208333333333343</v>
      </c>
      <c r="G895" s="7" t="s">
        <v>36</v>
      </c>
      <c r="H895" s="7" t="s">
        <v>46</v>
      </c>
      <c r="I895" s="7" t="s">
        <v>39</v>
      </c>
      <c r="J895">
        <v>0.2</v>
      </c>
      <c r="K895" s="148">
        <v>0.19700000000000001</v>
      </c>
      <c r="L895">
        <v>0.34</v>
      </c>
      <c r="M895" s="148">
        <v>0.25369999999999998</v>
      </c>
      <c r="N895">
        <v>9</v>
      </c>
      <c r="O895">
        <v>157</v>
      </c>
      <c r="P895">
        <v>166</v>
      </c>
    </row>
    <row r="896" spans="1:16">
      <c r="A896">
        <v>895</v>
      </c>
      <c r="B896" s="2">
        <v>40583</v>
      </c>
      <c r="C896">
        <v>1</v>
      </c>
      <c r="D896" t="s">
        <v>17</v>
      </c>
      <c r="E896" s="6" t="s">
        <v>19</v>
      </c>
      <c r="F896" s="151">
        <v>37.25</v>
      </c>
      <c r="G896" s="7" t="s">
        <v>36</v>
      </c>
      <c r="H896" s="7" t="s">
        <v>46</v>
      </c>
      <c r="I896" s="7" t="s">
        <v>39</v>
      </c>
      <c r="J896">
        <v>0.18</v>
      </c>
      <c r="K896" s="148">
        <v>0.16669999999999999</v>
      </c>
      <c r="L896">
        <v>0.47</v>
      </c>
      <c r="M896" s="148">
        <v>0.29849999999999999</v>
      </c>
      <c r="N896">
        <v>2</v>
      </c>
      <c r="O896">
        <v>168</v>
      </c>
      <c r="P896">
        <v>170</v>
      </c>
    </row>
    <row r="897" spans="1:16">
      <c r="A897">
        <v>896</v>
      </c>
      <c r="B897" s="2">
        <v>40583</v>
      </c>
      <c r="C897">
        <v>1</v>
      </c>
      <c r="D897" t="s">
        <v>17</v>
      </c>
      <c r="E897" s="6" t="s">
        <v>19</v>
      </c>
      <c r="F897" s="151">
        <v>37.291666666666657</v>
      </c>
      <c r="G897" s="7" t="s">
        <v>36</v>
      </c>
      <c r="H897" s="7" t="s">
        <v>46</v>
      </c>
      <c r="I897" s="7" t="s">
        <v>45</v>
      </c>
      <c r="J897">
        <v>0.14000000000000001</v>
      </c>
      <c r="K897" s="148">
        <v>0.1212</v>
      </c>
      <c r="L897">
        <v>0.86</v>
      </c>
      <c r="M897" s="148">
        <v>0.25369999999999998</v>
      </c>
      <c r="N897">
        <v>1</v>
      </c>
      <c r="O897">
        <v>87</v>
      </c>
      <c r="P897">
        <v>88</v>
      </c>
    </row>
    <row r="898" spans="1:16">
      <c r="A898">
        <v>897</v>
      </c>
      <c r="B898" s="2">
        <v>40583</v>
      </c>
      <c r="C898">
        <v>1</v>
      </c>
      <c r="D898" t="s">
        <v>17</v>
      </c>
      <c r="E898" s="6" t="s">
        <v>19</v>
      </c>
      <c r="F898" s="151">
        <v>37.333333333333343</v>
      </c>
      <c r="G898" s="7" t="s">
        <v>36</v>
      </c>
      <c r="H898" s="7" t="s">
        <v>46</v>
      </c>
      <c r="I898" s="7" t="s">
        <v>45</v>
      </c>
      <c r="J898">
        <v>0.14000000000000001</v>
      </c>
      <c r="K898" s="148">
        <v>0.1515</v>
      </c>
      <c r="L898">
        <v>0.86</v>
      </c>
      <c r="M898" s="148">
        <v>0.16420000000000001</v>
      </c>
      <c r="N898">
        <v>0</v>
      </c>
      <c r="O898">
        <v>84</v>
      </c>
      <c r="P898">
        <v>84</v>
      </c>
    </row>
    <row r="899" spans="1:16">
      <c r="A899">
        <v>898</v>
      </c>
      <c r="B899" s="2">
        <v>40583</v>
      </c>
      <c r="C899">
        <v>1</v>
      </c>
      <c r="D899" t="s">
        <v>17</v>
      </c>
      <c r="E899" s="6" t="s">
        <v>19</v>
      </c>
      <c r="F899" s="151">
        <v>37.375</v>
      </c>
      <c r="G899" s="7" t="s">
        <v>36</v>
      </c>
      <c r="H899" s="7" t="s">
        <v>46</v>
      </c>
      <c r="I899" s="7" t="s">
        <v>39</v>
      </c>
      <c r="J899">
        <v>0.14000000000000001</v>
      </c>
      <c r="K899" s="148">
        <v>0.1515</v>
      </c>
      <c r="L899">
        <v>0.86</v>
      </c>
      <c r="M899" s="148">
        <v>0.16420000000000001</v>
      </c>
      <c r="N899">
        <v>0</v>
      </c>
      <c r="O899">
        <v>83</v>
      </c>
      <c r="P899">
        <v>83</v>
      </c>
    </row>
    <row r="900" spans="1:16">
      <c r="A900">
        <v>899</v>
      </c>
      <c r="B900" s="2">
        <v>40583</v>
      </c>
      <c r="C900">
        <v>1</v>
      </c>
      <c r="D900" t="s">
        <v>17</v>
      </c>
      <c r="E900" s="6" t="s">
        <v>19</v>
      </c>
      <c r="F900" s="151">
        <v>37.416666666666657</v>
      </c>
      <c r="G900" s="7" t="s">
        <v>36</v>
      </c>
      <c r="H900" s="7" t="s">
        <v>46</v>
      </c>
      <c r="I900" s="7" t="s">
        <v>45</v>
      </c>
      <c r="J900">
        <v>0.16</v>
      </c>
      <c r="K900" s="148">
        <v>0.16669999999999999</v>
      </c>
      <c r="L900">
        <v>0.8</v>
      </c>
      <c r="M900" s="148">
        <v>0.16420000000000001</v>
      </c>
      <c r="N900">
        <v>4</v>
      </c>
      <c r="O900">
        <v>42</v>
      </c>
      <c r="P900">
        <v>46</v>
      </c>
    </row>
    <row r="901" spans="1:16">
      <c r="A901">
        <v>900</v>
      </c>
      <c r="B901" s="2">
        <v>40583</v>
      </c>
      <c r="C901">
        <v>1</v>
      </c>
      <c r="D901" t="s">
        <v>17</v>
      </c>
      <c r="E901" s="6" t="s">
        <v>19</v>
      </c>
      <c r="F901" s="151">
        <v>37.458333333333343</v>
      </c>
      <c r="G901" s="7" t="s">
        <v>36</v>
      </c>
      <c r="H901" s="7" t="s">
        <v>46</v>
      </c>
      <c r="I901" s="7" t="s">
        <v>45</v>
      </c>
      <c r="J901">
        <v>0.16</v>
      </c>
      <c r="K901" s="148">
        <v>0.1515</v>
      </c>
      <c r="L901">
        <v>0.8</v>
      </c>
      <c r="M901" s="148">
        <v>0.19400000000000001</v>
      </c>
      <c r="N901">
        <v>0</v>
      </c>
      <c r="O901">
        <v>37</v>
      </c>
      <c r="P901">
        <v>37</v>
      </c>
    </row>
    <row r="902" spans="1:16">
      <c r="A902">
        <v>901</v>
      </c>
      <c r="B902" s="2">
        <v>40584</v>
      </c>
      <c r="C902">
        <v>1</v>
      </c>
      <c r="D902" t="s">
        <v>17</v>
      </c>
      <c r="E902" s="6" t="s">
        <v>19</v>
      </c>
      <c r="F902" s="151">
        <v>37.5</v>
      </c>
      <c r="G902" s="7" t="s">
        <v>36</v>
      </c>
      <c r="H902" s="7" t="s">
        <v>195</v>
      </c>
      <c r="I902" s="7" t="s">
        <v>45</v>
      </c>
      <c r="J902">
        <v>0.14000000000000001</v>
      </c>
      <c r="K902" s="148">
        <v>0.13639999999999999</v>
      </c>
      <c r="L902">
        <v>0.86</v>
      </c>
      <c r="M902" s="148">
        <v>0.19400000000000001</v>
      </c>
      <c r="N902">
        <v>0</v>
      </c>
      <c r="O902">
        <v>16</v>
      </c>
      <c r="P902">
        <v>16</v>
      </c>
    </row>
    <row r="903" spans="1:16">
      <c r="A903">
        <v>902</v>
      </c>
      <c r="B903" s="2">
        <v>40584</v>
      </c>
      <c r="C903">
        <v>1</v>
      </c>
      <c r="D903" t="s">
        <v>17</v>
      </c>
      <c r="E903" s="6" t="s">
        <v>19</v>
      </c>
      <c r="F903" s="151">
        <v>37.541666666666657</v>
      </c>
      <c r="G903" s="7" t="s">
        <v>36</v>
      </c>
      <c r="H903" s="7" t="s">
        <v>195</v>
      </c>
      <c r="I903" s="7" t="s">
        <v>45</v>
      </c>
      <c r="J903">
        <v>0.14000000000000001</v>
      </c>
      <c r="K903" s="148">
        <v>0.1515</v>
      </c>
      <c r="L903">
        <v>0.8</v>
      </c>
      <c r="M903" s="148">
        <v>0.1343</v>
      </c>
      <c r="N903">
        <v>0</v>
      </c>
      <c r="O903">
        <v>7</v>
      </c>
      <c r="P903">
        <v>7</v>
      </c>
    </row>
    <row r="904" spans="1:16">
      <c r="A904">
        <v>903</v>
      </c>
      <c r="B904" s="2">
        <v>40584</v>
      </c>
      <c r="C904">
        <v>1</v>
      </c>
      <c r="D904" t="s">
        <v>17</v>
      </c>
      <c r="E904" s="6" t="s">
        <v>19</v>
      </c>
      <c r="F904" s="151">
        <v>37.583333333333343</v>
      </c>
      <c r="G904" s="7" t="s">
        <v>36</v>
      </c>
      <c r="H904" s="7" t="s">
        <v>195</v>
      </c>
      <c r="I904" s="7" t="s">
        <v>45</v>
      </c>
      <c r="J904">
        <v>0.14000000000000001</v>
      </c>
      <c r="K904" s="148">
        <v>0.1515</v>
      </c>
      <c r="L904">
        <v>0.8</v>
      </c>
      <c r="M904" s="148">
        <v>0.1343</v>
      </c>
      <c r="N904">
        <v>0</v>
      </c>
      <c r="O904">
        <v>3</v>
      </c>
      <c r="P904">
        <v>3</v>
      </c>
    </row>
    <row r="905" spans="1:16">
      <c r="A905">
        <v>904</v>
      </c>
      <c r="B905" s="2">
        <v>40584</v>
      </c>
      <c r="C905">
        <v>1</v>
      </c>
      <c r="D905" t="s">
        <v>17</v>
      </c>
      <c r="E905" s="6" t="s">
        <v>19</v>
      </c>
      <c r="F905" s="151">
        <v>37.625</v>
      </c>
      <c r="G905" s="7" t="s">
        <v>36</v>
      </c>
      <c r="H905" s="7" t="s">
        <v>195</v>
      </c>
      <c r="I905" s="7" t="s">
        <v>39</v>
      </c>
      <c r="J905">
        <v>0.14000000000000001</v>
      </c>
      <c r="K905" s="148">
        <v>0.13639999999999999</v>
      </c>
      <c r="L905">
        <v>0.59</v>
      </c>
      <c r="M905" s="148">
        <v>0.22389999999999999</v>
      </c>
      <c r="N905">
        <v>0</v>
      </c>
      <c r="O905">
        <v>1</v>
      </c>
      <c r="P905">
        <v>1</v>
      </c>
    </row>
    <row r="906" spans="1:16">
      <c r="A906">
        <v>905</v>
      </c>
      <c r="B906" s="2">
        <v>40584</v>
      </c>
      <c r="C906">
        <v>1</v>
      </c>
      <c r="D906" t="s">
        <v>17</v>
      </c>
      <c r="E906" s="6" t="s">
        <v>19</v>
      </c>
      <c r="F906" s="151">
        <v>37.666666666666657</v>
      </c>
      <c r="G906" s="7" t="s">
        <v>36</v>
      </c>
      <c r="H906" s="7" t="s">
        <v>195</v>
      </c>
      <c r="I906" s="7" t="s">
        <v>39</v>
      </c>
      <c r="J906">
        <v>0.12</v>
      </c>
      <c r="K906" s="148">
        <v>0.1212</v>
      </c>
      <c r="L906">
        <v>0.5</v>
      </c>
      <c r="M906" s="148">
        <v>0.22389999999999999</v>
      </c>
      <c r="N906">
        <v>0</v>
      </c>
      <c r="O906">
        <v>6</v>
      </c>
      <c r="P906">
        <v>6</v>
      </c>
    </row>
    <row r="907" spans="1:16">
      <c r="A907">
        <v>906</v>
      </c>
      <c r="B907" s="2">
        <v>40584</v>
      </c>
      <c r="C907">
        <v>1</v>
      </c>
      <c r="D907" t="s">
        <v>17</v>
      </c>
      <c r="E907" s="6" t="s">
        <v>19</v>
      </c>
      <c r="F907" s="151">
        <v>37.708333333333343</v>
      </c>
      <c r="G907" s="7" t="s">
        <v>36</v>
      </c>
      <c r="H907" s="7" t="s">
        <v>195</v>
      </c>
      <c r="I907" s="7" t="s">
        <v>39</v>
      </c>
      <c r="J907">
        <v>0.12</v>
      </c>
      <c r="K907" s="148">
        <v>0.1212</v>
      </c>
      <c r="L907">
        <v>0.54</v>
      </c>
      <c r="M907" s="148">
        <v>0.28360000000000002</v>
      </c>
      <c r="N907">
        <v>0</v>
      </c>
      <c r="O907">
        <v>26</v>
      </c>
      <c r="P907">
        <v>26</v>
      </c>
    </row>
    <row r="908" spans="1:16">
      <c r="A908">
        <v>907</v>
      </c>
      <c r="B908" s="2">
        <v>40584</v>
      </c>
      <c r="C908">
        <v>1</v>
      </c>
      <c r="D908" t="s">
        <v>17</v>
      </c>
      <c r="E908" s="6" t="s">
        <v>19</v>
      </c>
      <c r="F908" s="151">
        <v>37.75</v>
      </c>
      <c r="G908" s="7" t="s">
        <v>36</v>
      </c>
      <c r="H908" s="7" t="s">
        <v>195</v>
      </c>
      <c r="I908" s="7" t="s">
        <v>38</v>
      </c>
      <c r="J908">
        <v>0.1</v>
      </c>
      <c r="K908" s="148">
        <v>7.5800000000000006E-2</v>
      </c>
      <c r="L908">
        <v>0.5</v>
      </c>
      <c r="M908" s="148">
        <v>0.41789999999999999</v>
      </c>
      <c r="N908">
        <v>0</v>
      </c>
      <c r="O908">
        <v>99</v>
      </c>
      <c r="P908">
        <v>99</v>
      </c>
    </row>
    <row r="909" spans="1:16">
      <c r="A909">
        <v>908</v>
      </c>
      <c r="B909" s="2">
        <v>40584</v>
      </c>
      <c r="C909">
        <v>1</v>
      </c>
      <c r="D909" t="s">
        <v>17</v>
      </c>
      <c r="E909" s="6" t="s">
        <v>19</v>
      </c>
      <c r="F909" s="151">
        <v>37.791666666666657</v>
      </c>
      <c r="G909" s="7" t="s">
        <v>36</v>
      </c>
      <c r="H909" s="7" t="s">
        <v>195</v>
      </c>
      <c r="I909" s="7" t="s">
        <v>38</v>
      </c>
      <c r="J909">
        <v>0.1</v>
      </c>
      <c r="K909" s="148">
        <v>7.5800000000000006E-2</v>
      </c>
      <c r="L909">
        <v>0.49</v>
      </c>
      <c r="M909" s="148">
        <v>0.32840000000000003</v>
      </c>
      <c r="N909">
        <v>5</v>
      </c>
      <c r="O909">
        <v>173</v>
      </c>
      <c r="P909">
        <v>178</v>
      </c>
    </row>
    <row r="910" spans="1:16">
      <c r="A910">
        <v>909</v>
      </c>
      <c r="B910" s="2">
        <v>40584</v>
      </c>
      <c r="C910">
        <v>1</v>
      </c>
      <c r="D910" t="s">
        <v>17</v>
      </c>
      <c r="E910" s="6" t="s">
        <v>19</v>
      </c>
      <c r="F910" s="151">
        <v>37.833333333333343</v>
      </c>
      <c r="G910" s="7" t="s">
        <v>36</v>
      </c>
      <c r="H910" s="7" t="s">
        <v>195</v>
      </c>
      <c r="I910" s="7" t="s">
        <v>38</v>
      </c>
      <c r="J910">
        <v>0.12</v>
      </c>
      <c r="K910" s="148">
        <v>0.1061</v>
      </c>
      <c r="L910">
        <v>0.42</v>
      </c>
      <c r="M910" s="148">
        <v>0.35820000000000002</v>
      </c>
      <c r="N910">
        <v>1</v>
      </c>
      <c r="O910">
        <v>121</v>
      </c>
      <c r="P910">
        <v>122</v>
      </c>
    </row>
    <row r="911" spans="1:16">
      <c r="A911">
        <v>910</v>
      </c>
      <c r="B911" s="2">
        <v>40584</v>
      </c>
      <c r="C911">
        <v>1</v>
      </c>
      <c r="D911" t="s">
        <v>17</v>
      </c>
      <c r="E911" s="6" t="s">
        <v>19</v>
      </c>
      <c r="F911" s="151">
        <v>37.875</v>
      </c>
      <c r="G911" s="7" t="s">
        <v>36</v>
      </c>
      <c r="H911" s="7" t="s">
        <v>195</v>
      </c>
      <c r="I911" s="7" t="s">
        <v>38</v>
      </c>
      <c r="J911">
        <v>0.12</v>
      </c>
      <c r="K911" s="148">
        <v>0.1061</v>
      </c>
      <c r="L911">
        <v>0.42</v>
      </c>
      <c r="M911" s="148">
        <v>0.29849999999999999</v>
      </c>
      <c r="N911">
        <v>1</v>
      </c>
      <c r="O911">
        <v>34</v>
      </c>
      <c r="P911">
        <v>35</v>
      </c>
    </row>
    <row r="912" spans="1:16">
      <c r="A912">
        <v>911</v>
      </c>
      <c r="B912" s="2">
        <v>40584</v>
      </c>
      <c r="C912">
        <v>1</v>
      </c>
      <c r="D912" t="s">
        <v>17</v>
      </c>
      <c r="E912" s="6" t="s">
        <v>19</v>
      </c>
      <c r="F912" s="151">
        <v>37.916666666666657</v>
      </c>
      <c r="G912" s="7" t="s">
        <v>36</v>
      </c>
      <c r="H912" s="7" t="s">
        <v>195</v>
      </c>
      <c r="I912" s="7" t="s">
        <v>38</v>
      </c>
      <c r="J912">
        <v>0.14000000000000001</v>
      </c>
      <c r="K912" s="148">
        <v>0.1212</v>
      </c>
      <c r="L912">
        <v>0.39</v>
      </c>
      <c r="M912" s="148">
        <v>0.35820000000000002</v>
      </c>
      <c r="N912">
        <v>1</v>
      </c>
      <c r="O912">
        <v>44</v>
      </c>
      <c r="P912">
        <v>45</v>
      </c>
    </row>
    <row r="913" spans="1:16">
      <c r="A913">
        <v>912</v>
      </c>
      <c r="B913" s="2">
        <v>40584</v>
      </c>
      <c r="C913">
        <v>1</v>
      </c>
      <c r="D913" t="s">
        <v>17</v>
      </c>
      <c r="E913" s="6" t="s">
        <v>19</v>
      </c>
      <c r="F913" s="151">
        <v>37.958333333333343</v>
      </c>
      <c r="G913" s="7" t="s">
        <v>36</v>
      </c>
      <c r="H913" s="7" t="s">
        <v>195</v>
      </c>
      <c r="I913" s="7" t="s">
        <v>38</v>
      </c>
      <c r="J913">
        <v>0.16</v>
      </c>
      <c r="K913" s="148">
        <v>0.13639999999999999</v>
      </c>
      <c r="L913">
        <v>0.34</v>
      </c>
      <c r="M913" s="148">
        <v>0.3881</v>
      </c>
      <c r="N913">
        <v>4</v>
      </c>
      <c r="O913">
        <v>65</v>
      </c>
      <c r="P913">
        <v>69</v>
      </c>
    </row>
    <row r="914" spans="1:16">
      <c r="A914">
        <v>913</v>
      </c>
      <c r="B914" s="2">
        <v>40584</v>
      </c>
      <c r="C914">
        <v>1</v>
      </c>
      <c r="D914" t="s">
        <v>17</v>
      </c>
      <c r="E914" s="6" t="s">
        <v>19</v>
      </c>
      <c r="F914" s="151">
        <v>38</v>
      </c>
      <c r="G914" s="7" t="s">
        <v>36</v>
      </c>
      <c r="H914" s="7" t="s">
        <v>195</v>
      </c>
      <c r="I914" s="7" t="s">
        <v>38</v>
      </c>
      <c r="J914">
        <v>0.18</v>
      </c>
      <c r="K914" s="148">
        <v>0.16669999999999999</v>
      </c>
      <c r="L914">
        <v>0.28999999999999998</v>
      </c>
      <c r="M914" s="148">
        <v>0.29849999999999999</v>
      </c>
      <c r="N914">
        <v>3</v>
      </c>
      <c r="O914">
        <v>59</v>
      </c>
      <c r="P914">
        <v>62</v>
      </c>
    </row>
    <row r="915" spans="1:16">
      <c r="A915">
        <v>914</v>
      </c>
      <c r="B915" s="2">
        <v>40584</v>
      </c>
      <c r="C915">
        <v>1</v>
      </c>
      <c r="D915" t="s">
        <v>17</v>
      </c>
      <c r="E915" s="6" t="s">
        <v>19</v>
      </c>
      <c r="F915" s="151">
        <v>38.041666666666657</v>
      </c>
      <c r="G915" s="7" t="s">
        <v>36</v>
      </c>
      <c r="H915" s="7" t="s">
        <v>195</v>
      </c>
      <c r="I915" s="7" t="s">
        <v>38</v>
      </c>
      <c r="J915">
        <v>0.2</v>
      </c>
      <c r="K915" s="148">
        <v>0.18179999999999999</v>
      </c>
      <c r="L915">
        <v>0.27</v>
      </c>
      <c r="M915" s="148">
        <v>0.28360000000000002</v>
      </c>
      <c r="N915">
        <v>6</v>
      </c>
      <c r="O915">
        <v>42</v>
      </c>
      <c r="P915">
        <v>48</v>
      </c>
    </row>
    <row r="916" spans="1:16">
      <c r="A916">
        <v>915</v>
      </c>
      <c r="B916" s="2">
        <v>40584</v>
      </c>
      <c r="C916">
        <v>1</v>
      </c>
      <c r="D916" t="s">
        <v>17</v>
      </c>
      <c r="E916" s="6" t="s">
        <v>19</v>
      </c>
      <c r="F916" s="151">
        <v>38.083333333333343</v>
      </c>
      <c r="G916" s="7" t="s">
        <v>36</v>
      </c>
      <c r="H916" s="7" t="s">
        <v>195</v>
      </c>
      <c r="I916" s="7" t="s">
        <v>38</v>
      </c>
      <c r="J916">
        <v>0.2</v>
      </c>
      <c r="K916" s="148">
        <v>0.19700000000000001</v>
      </c>
      <c r="L916">
        <v>0.25</v>
      </c>
      <c r="M916" s="148">
        <v>0.25369999999999998</v>
      </c>
      <c r="N916">
        <v>0</v>
      </c>
      <c r="O916">
        <v>50</v>
      </c>
      <c r="P916">
        <v>50</v>
      </c>
    </row>
    <row r="917" spans="1:16">
      <c r="A917">
        <v>916</v>
      </c>
      <c r="B917" s="2">
        <v>40584</v>
      </c>
      <c r="C917">
        <v>1</v>
      </c>
      <c r="D917" t="s">
        <v>17</v>
      </c>
      <c r="E917" s="6" t="s">
        <v>19</v>
      </c>
      <c r="F917" s="151">
        <v>38.125</v>
      </c>
      <c r="G917" s="7" t="s">
        <v>36</v>
      </c>
      <c r="H917" s="7" t="s">
        <v>195</v>
      </c>
      <c r="I917" s="7" t="s">
        <v>38</v>
      </c>
      <c r="J917">
        <v>0.2</v>
      </c>
      <c r="K917" s="148">
        <v>0.18179999999999999</v>
      </c>
      <c r="L917">
        <v>0.27</v>
      </c>
      <c r="M917" s="148">
        <v>0.29849999999999999</v>
      </c>
      <c r="N917">
        <v>4</v>
      </c>
      <c r="O917">
        <v>76</v>
      </c>
      <c r="P917">
        <v>80</v>
      </c>
    </row>
    <row r="918" spans="1:16">
      <c r="A918">
        <v>917</v>
      </c>
      <c r="B918" s="2">
        <v>40584</v>
      </c>
      <c r="C918">
        <v>1</v>
      </c>
      <c r="D918" t="s">
        <v>17</v>
      </c>
      <c r="E918" s="6" t="s">
        <v>19</v>
      </c>
      <c r="F918" s="151">
        <v>38.166666666666657</v>
      </c>
      <c r="G918" s="7" t="s">
        <v>36</v>
      </c>
      <c r="H918" s="7" t="s">
        <v>195</v>
      </c>
      <c r="I918" s="7" t="s">
        <v>38</v>
      </c>
      <c r="J918">
        <v>0.18</v>
      </c>
      <c r="K918" s="148">
        <v>0.18179999999999999</v>
      </c>
      <c r="L918">
        <v>0.26</v>
      </c>
      <c r="M918" s="148">
        <v>0.19400000000000001</v>
      </c>
      <c r="N918">
        <v>6</v>
      </c>
      <c r="O918">
        <v>159</v>
      </c>
      <c r="P918">
        <v>165</v>
      </c>
    </row>
    <row r="919" spans="1:16">
      <c r="A919">
        <v>918</v>
      </c>
      <c r="B919" s="2">
        <v>40584</v>
      </c>
      <c r="C919">
        <v>1</v>
      </c>
      <c r="D919" t="s">
        <v>17</v>
      </c>
      <c r="E919" s="6" t="s">
        <v>19</v>
      </c>
      <c r="F919" s="151">
        <v>38.208333333333343</v>
      </c>
      <c r="G919" s="7" t="s">
        <v>36</v>
      </c>
      <c r="H919" s="7" t="s">
        <v>195</v>
      </c>
      <c r="I919" s="7" t="s">
        <v>38</v>
      </c>
      <c r="J919">
        <v>0.16</v>
      </c>
      <c r="K919" s="148">
        <v>0.18179999999999999</v>
      </c>
      <c r="L919">
        <v>0.28000000000000003</v>
      </c>
      <c r="M919" s="148">
        <v>0.1343</v>
      </c>
      <c r="N919">
        <v>3</v>
      </c>
      <c r="O919">
        <v>157</v>
      </c>
      <c r="P919">
        <v>160</v>
      </c>
    </row>
    <row r="920" spans="1:16">
      <c r="A920">
        <v>919</v>
      </c>
      <c r="B920" s="2">
        <v>40584</v>
      </c>
      <c r="C920">
        <v>1</v>
      </c>
      <c r="D920" t="s">
        <v>17</v>
      </c>
      <c r="E920" s="6" t="s">
        <v>19</v>
      </c>
      <c r="F920" s="151">
        <v>38.25</v>
      </c>
      <c r="G920" s="7" t="s">
        <v>36</v>
      </c>
      <c r="H920" s="7" t="s">
        <v>195</v>
      </c>
      <c r="I920" s="7" t="s">
        <v>38</v>
      </c>
      <c r="J920">
        <v>0.14000000000000001</v>
      </c>
      <c r="K920" s="148">
        <v>0.16669999999999999</v>
      </c>
      <c r="L920">
        <v>0.28000000000000003</v>
      </c>
      <c r="M920" s="148">
        <v>0.1045</v>
      </c>
      <c r="N920">
        <v>2</v>
      </c>
      <c r="O920">
        <v>110</v>
      </c>
      <c r="P920">
        <v>112</v>
      </c>
    </row>
    <row r="921" spans="1:16">
      <c r="A921">
        <v>920</v>
      </c>
      <c r="B921" s="2">
        <v>40584</v>
      </c>
      <c r="C921">
        <v>1</v>
      </c>
      <c r="D921" t="s">
        <v>17</v>
      </c>
      <c r="E921" s="6" t="s">
        <v>19</v>
      </c>
      <c r="F921" s="151">
        <v>38.291666666666657</v>
      </c>
      <c r="G921" s="7" t="s">
        <v>36</v>
      </c>
      <c r="H921" s="7" t="s">
        <v>195</v>
      </c>
      <c r="I921" s="7" t="s">
        <v>38</v>
      </c>
      <c r="J921">
        <v>0.14000000000000001</v>
      </c>
      <c r="K921" s="148">
        <v>0.18179999999999999</v>
      </c>
      <c r="L921">
        <v>0.31</v>
      </c>
      <c r="M921" s="148">
        <v>8.9599999999999999E-2</v>
      </c>
      <c r="N921">
        <v>4</v>
      </c>
      <c r="O921">
        <v>93</v>
      </c>
      <c r="P921">
        <v>97</v>
      </c>
    </row>
    <row r="922" spans="1:16">
      <c r="A922">
        <v>921</v>
      </c>
      <c r="B922" s="2">
        <v>40584</v>
      </c>
      <c r="C922">
        <v>1</v>
      </c>
      <c r="D922" t="s">
        <v>17</v>
      </c>
      <c r="E922" s="6" t="s">
        <v>19</v>
      </c>
      <c r="F922" s="151">
        <v>38.333333333333343</v>
      </c>
      <c r="G922" s="7" t="s">
        <v>36</v>
      </c>
      <c r="H922" s="7" t="s">
        <v>195</v>
      </c>
      <c r="I922" s="7" t="s">
        <v>38</v>
      </c>
      <c r="J922">
        <v>0.14000000000000001</v>
      </c>
      <c r="K922" s="148">
        <v>0.21210000000000001</v>
      </c>
      <c r="L922">
        <v>0.39</v>
      </c>
      <c r="M922" s="148">
        <v>0</v>
      </c>
      <c r="N922">
        <v>2</v>
      </c>
      <c r="O922">
        <v>70</v>
      </c>
      <c r="P922">
        <v>72</v>
      </c>
    </row>
    <row r="923" spans="1:16">
      <c r="A923">
        <v>922</v>
      </c>
      <c r="B923" s="2">
        <v>40584</v>
      </c>
      <c r="C923">
        <v>1</v>
      </c>
      <c r="D923" t="s">
        <v>17</v>
      </c>
      <c r="E923" s="6" t="s">
        <v>19</v>
      </c>
      <c r="F923" s="151">
        <v>38.375</v>
      </c>
      <c r="G923" s="7" t="s">
        <v>36</v>
      </c>
      <c r="H923" s="7" t="s">
        <v>195</v>
      </c>
      <c r="I923" s="7" t="s">
        <v>38</v>
      </c>
      <c r="J923">
        <v>0.12</v>
      </c>
      <c r="K923" s="148">
        <v>0.19700000000000001</v>
      </c>
      <c r="L923">
        <v>0.39</v>
      </c>
      <c r="M923" s="148">
        <v>0</v>
      </c>
      <c r="N923">
        <v>4</v>
      </c>
      <c r="O923">
        <v>47</v>
      </c>
      <c r="P923">
        <v>51</v>
      </c>
    </row>
    <row r="924" spans="1:16">
      <c r="A924">
        <v>923</v>
      </c>
      <c r="B924" s="2">
        <v>40584</v>
      </c>
      <c r="C924">
        <v>1</v>
      </c>
      <c r="D924" t="s">
        <v>17</v>
      </c>
      <c r="E924" s="6" t="s">
        <v>19</v>
      </c>
      <c r="F924" s="151">
        <v>38.416666666666657</v>
      </c>
      <c r="G924" s="7" t="s">
        <v>36</v>
      </c>
      <c r="H924" s="7" t="s">
        <v>195</v>
      </c>
      <c r="I924" s="7" t="s">
        <v>38</v>
      </c>
      <c r="J924">
        <v>0.12</v>
      </c>
      <c r="K924" s="148">
        <v>0.1515</v>
      </c>
      <c r="L924">
        <v>0.42</v>
      </c>
      <c r="M924" s="148">
        <v>0.1045</v>
      </c>
      <c r="N924">
        <v>1</v>
      </c>
      <c r="O924">
        <v>33</v>
      </c>
      <c r="P924">
        <v>34</v>
      </c>
    </row>
    <row r="925" spans="1:16">
      <c r="A925">
        <v>924</v>
      </c>
      <c r="B925" s="2">
        <v>40585</v>
      </c>
      <c r="C925">
        <v>1</v>
      </c>
      <c r="D925" t="s">
        <v>17</v>
      </c>
      <c r="E925" s="6" t="s">
        <v>19</v>
      </c>
      <c r="F925" s="151">
        <v>38.458333333333343</v>
      </c>
      <c r="G925" s="7" t="s">
        <v>36</v>
      </c>
      <c r="H925" s="7" t="s">
        <v>44</v>
      </c>
      <c r="I925" s="7" t="s">
        <v>38</v>
      </c>
      <c r="J925">
        <v>0.1</v>
      </c>
      <c r="K925" s="148">
        <v>0.13639999999999999</v>
      </c>
      <c r="L925">
        <v>0.49</v>
      </c>
      <c r="M925" s="148">
        <v>0.1045</v>
      </c>
      <c r="N925">
        <v>2</v>
      </c>
      <c r="O925">
        <v>12</v>
      </c>
      <c r="P925">
        <v>14</v>
      </c>
    </row>
    <row r="926" spans="1:16">
      <c r="A926">
        <v>925</v>
      </c>
      <c r="B926" s="2">
        <v>40585</v>
      </c>
      <c r="C926">
        <v>1</v>
      </c>
      <c r="D926" t="s">
        <v>17</v>
      </c>
      <c r="E926" s="6" t="s">
        <v>19</v>
      </c>
      <c r="F926" s="151">
        <v>38.5</v>
      </c>
      <c r="G926" s="7" t="s">
        <v>36</v>
      </c>
      <c r="H926" s="7" t="s">
        <v>44</v>
      </c>
      <c r="I926" s="7" t="s">
        <v>38</v>
      </c>
      <c r="J926">
        <v>0.1</v>
      </c>
      <c r="K926" s="148">
        <v>0.13639999999999999</v>
      </c>
      <c r="L926">
        <v>0.54</v>
      </c>
      <c r="M926" s="148">
        <v>8.9599999999999999E-2</v>
      </c>
      <c r="N926">
        <v>1</v>
      </c>
      <c r="O926">
        <v>6</v>
      </c>
      <c r="P926">
        <v>7</v>
      </c>
    </row>
    <row r="927" spans="1:16">
      <c r="A927">
        <v>926</v>
      </c>
      <c r="B927" s="2">
        <v>40585</v>
      </c>
      <c r="C927">
        <v>1</v>
      </c>
      <c r="D927" t="s">
        <v>17</v>
      </c>
      <c r="E927" s="6" t="s">
        <v>19</v>
      </c>
      <c r="F927" s="151">
        <v>38.541666666666657</v>
      </c>
      <c r="G927" s="7" t="s">
        <v>36</v>
      </c>
      <c r="H927" s="7" t="s">
        <v>44</v>
      </c>
      <c r="I927" s="7" t="s">
        <v>38</v>
      </c>
      <c r="J927">
        <v>0.1</v>
      </c>
      <c r="K927" s="148">
        <v>0.13639999999999999</v>
      </c>
      <c r="L927">
        <v>0.54</v>
      </c>
      <c r="M927" s="148">
        <v>8.9599999999999999E-2</v>
      </c>
      <c r="N927">
        <v>0</v>
      </c>
      <c r="O927">
        <v>3</v>
      </c>
      <c r="P927">
        <v>3</v>
      </c>
    </row>
    <row r="928" spans="1:16">
      <c r="A928">
        <v>927</v>
      </c>
      <c r="B928" s="2">
        <v>40585</v>
      </c>
      <c r="C928">
        <v>1</v>
      </c>
      <c r="D928" t="s">
        <v>17</v>
      </c>
      <c r="E928" s="6" t="s">
        <v>19</v>
      </c>
      <c r="F928" s="151">
        <v>38.583333333333343</v>
      </c>
      <c r="G928" s="7" t="s">
        <v>36</v>
      </c>
      <c r="H928" s="7" t="s">
        <v>44</v>
      </c>
      <c r="I928" s="7" t="s">
        <v>38</v>
      </c>
      <c r="J928">
        <v>0.08</v>
      </c>
      <c r="K928" s="148">
        <v>0.1212</v>
      </c>
      <c r="L928">
        <v>0.63</v>
      </c>
      <c r="M928" s="148">
        <v>8.9599999999999999E-2</v>
      </c>
      <c r="N928">
        <v>0</v>
      </c>
      <c r="O928">
        <v>4</v>
      </c>
      <c r="P928">
        <v>4</v>
      </c>
    </row>
    <row r="929" spans="1:16">
      <c r="A929">
        <v>928</v>
      </c>
      <c r="B929" s="2">
        <v>40585</v>
      </c>
      <c r="C929">
        <v>1</v>
      </c>
      <c r="D929" t="s">
        <v>17</v>
      </c>
      <c r="E929" s="6" t="s">
        <v>19</v>
      </c>
      <c r="F929" s="151">
        <v>38.625</v>
      </c>
      <c r="G929" s="7" t="s">
        <v>36</v>
      </c>
      <c r="H929" s="7" t="s">
        <v>44</v>
      </c>
      <c r="I929" s="7" t="s">
        <v>38</v>
      </c>
      <c r="J929">
        <v>0.1</v>
      </c>
      <c r="K929" s="148">
        <v>0.18179999999999999</v>
      </c>
      <c r="L929">
        <v>0.68</v>
      </c>
      <c r="M929" s="148">
        <v>0</v>
      </c>
      <c r="N929">
        <v>1</v>
      </c>
      <c r="O929">
        <v>23</v>
      </c>
      <c r="P929">
        <v>24</v>
      </c>
    </row>
    <row r="930" spans="1:16">
      <c r="A930">
        <v>929</v>
      </c>
      <c r="B930" s="2">
        <v>40585</v>
      </c>
      <c r="C930">
        <v>1</v>
      </c>
      <c r="D930" t="s">
        <v>17</v>
      </c>
      <c r="E930" s="6" t="s">
        <v>19</v>
      </c>
      <c r="F930" s="151">
        <v>38.666666666666657</v>
      </c>
      <c r="G930" s="7" t="s">
        <v>36</v>
      </c>
      <c r="H930" s="7" t="s">
        <v>44</v>
      </c>
      <c r="I930" s="7" t="s">
        <v>38</v>
      </c>
      <c r="J930">
        <v>0.08</v>
      </c>
      <c r="K930" s="148">
        <v>0.16669999999999999</v>
      </c>
      <c r="L930">
        <v>0.73</v>
      </c>
      <c r="M930" s="148">
        <v>0</v>
      </c>
      <c r="N930">
        <v>1</v>
      </c>
      <c r="O930">
        <v>73</v>
      </c>
      <c r="P930">
        <v>74</v>
      </c>
    </row>
    <row r="931" spans="1:16">
      <c r="A931">
        <v>930</v>
      </c>
      <c r="B931" s="2">
        <v>40585</v>
      </c>
      <c r="C931">
        <v>1</v>
      </c>
      <c r="D931" t="s">
        <v>17</v>
      </c>
      <c r="E931" s="6" t="s">
        <v>19</v>
      </c>
      <c r="F931" s="151">
        <v>38.708333333333343</v>
      </c>
      <c r="G931" s="7" t="s">
        <v>36</v>
      </c>
      <c r="H931" s="7" t="s">
        <v>44</v>
      </c>
      <c r="I931" s="7" t="s">
        <v>38</v>
      </c>
      <c r="J931">
        <v>0.1</v>
      </c>
      <c r="K931" s="148">
        <v>0.1212</v>
      </c>
      <c r="L931">
        <v>0.74</v>
      </c>
      <c r="M931" s="148">
        <v>0.16420000000000001</v>
      </c>
      <c r="N931">
        <v>4</v>
      </c>
      <c r="O931">
        <v>212</v>
      </c>
      <c r="P931">
        <v>216</v>
      </c>
    </row>
    <row r="932" spans="1:16">
      <c r="A932">
        <v>931</v>
      </c>
      <c r="B932" s="2">
        <v>40585</v>
      </c>
      <c r="C932">
        <v>1</v>
      </c>
      <c r="D932" t="s">
        <v>17</v>
      </c>
      <c r="E932" s="6" t="s">
        <v>19</v>
      </c>
      <c r="F932" s="151">
        <v>38.75</v>
      </c>
      <c r="G932" s="7" t="s">
        <v>36</v>
      </c>
      <c r="H932" s="7" t="s">
        <v>44</v>
      </c>
      <c r="I932" s="7" t="s">
        <v>38</v>
      </c>
      <c r="J932">
        <v>0.12</v>
      </c>
      <c r="K932" s="148">
        <v>0.1212</v>
      </c>
      <c r="L932">
        <v>0.74</v>
      </c>
      <c r="M932" s="148">
        <v>0.22389999999999999</v>
      </c>
      <c r="N932">
        <v>8</v>
      </c>
      <c r="O932">
        <v>132</v>
      </c>
      <c r="P932">
        <v>140</v>
      </c>
    </row>
    <row r="933" spans="1:16">
      <c r="A933">
        <v>932</v>
      </c>
      <c r="B933" s="2">
        <v>40585</v>
      </c>
      <c r="C933">
        <v>1</v>
      </c>
      <c r="D933" t="s">
        <v>17</v>
      </c>
      <c r="E933" s="6" t="s">
        <v>19</v>
      </c>
      <c r="F933" s="151">
        <v>38.791666666666657</v>
      </c>
      <c r="G933" s="7" t="s">
        <v>36</v>
      </c>
      <c r="H933" s="7" t="s">
        <v>44</v>
      </c>
      <c r="I933" s="7" t="s">
        <v>38</v>
      </c>
      <c r="J933">
        <v>0.14000000000000001</v>
      </c>
      <c r="K933" s="148">
        <v>0.13639999999999999</v>
      </c>
      <c r="L933">
        <v>0.69</v>
      </c>
      <c r="M933" s="148">
        <v>0.19400000000000001</v>
      </c>
      <c r="N933">
        <v>5</v>
      </c>
      <c r="O933">
        <v>39</v>
      </c>
      <c r="P933">
        <v>44</v>
      </c>
    </row>
    <row r="934" spans="1:16">
      <c r="A934">
        <v>933</v>
      </c>
      <c r="B934" s="2">
        <v>40585</v>
      </c>
      <c r="C934">
        <v>1</v>
      </c>
      <c r="D934" t="s">
        <v>17</v>
      </c>
      <c r="E934" s="6" t="s">
        <v>19</v>
      </c>
      <c r="F934" s="151">
        <v>38.833333333333343</v>
      </c>
      <c r="G934" s="7" t="s">
        <v>36</v>
      </c>
      <c r="H934" s="7" t="s">
        <v>44</v>
      </c>
      <c r="I934" s="7" t="s">
        <v>38</v>
      </c>
      <c r="J934">
        <v>0.22</v>
      </c>
      <c r="K934" s="148">
        <v>0.2273</v>
      </c>
      <c r="L934">
        <v>0.47</v>
      </c>
      <c r="M934" s="148">
        <v>0.1343</v>
      </c>
      <c r="N934">
        <v>12</v>
      </c>
      <c r="O934">
        <v>52</v>
      </c>
      <c r="P934">
        <v>64</v>
      </c>
    </row>
    <row r="935" spans="1:16">
      <c r="A935">
        <v>934</v>
      </c>
      <c r="B935" s="2">
        <v>40585</v>
      </c>
      <c r="C935">
        <v>1</v>
      </c>
      <c r="D935" t="s">
        <v>17</v>
      </c>
      <c r="E935" s="6" t="s">
        <v>19</v>
      </c>
      <c r="F935" s="151">
        <v>38.875</v>
      </c>
      <c r="G935" s="7" t="s">
        <v>36</v>
      </c>
      <c r="H935" s="7" t="s">
        <v>44</v>
      </c>
      <c r="I935" s="7" t="s">
        <v>38</v>
      </c>
      <c r="J935">
        <v>0.22</v>
      </c>
      <c r="K935" s="148">
        <v>0.2273</v>
      </c>
      <c r="L935">
        <v>0.47</v>
      </c>
      <c r="M935" s="148">
        <v>0.1343</v>
      </c>
      <c r="N935">
        <v>7</v>
      </c>
      <c r="O935">
        <v>64</v>
      </c>
      <c r="P935">
        <v>71</v>
      </c>
    </row>
    <row r="936" spans="1:16">
      <c r="A936">
        <v>935</v>
      </c>
      <c r="B936" s="2">
        <v>40585</v>
      </c>
      <c r="C936">
        <v>1</v>
      </c>
      <c r="D936" t="s">
        <v>17</v>
      </c>
      <c r="E936" s="6" t="s">
        <v>19</v>
      </c>
      <c r="F936" s="151">
        <v>38.916666666666657</v>
      </c>
      <c r="G936" s="7" t="s">
        <v>36</v>
      </c>
      <c r="H936" s="7" t="s">
        <v>44</v>
      </c>
      <c r="I936" s="7" t="s">
        <v>38</v>
      </c>
      <c r="J936">
        <v>0.24</v>
      </c>
      <c r="K936" s="148">
        <v>0.2273</v>
      </c>
      <c r="L936">
        <v>0.35</v>
      </c>
      <c r="M936" s="148">
        <v>0.19400000000000001</v>
      </c>
      <c r="N936">
        <v>21</v>
      </c>
      <c r="O936">
        <v>89</v>
      </c>
      <c r="P936">
        <v>110</v>
      </c>
    </row>
    <row r="937" spans="1:16">
      <c r="A937">
        <v>936</v>
      </c>
      <c r="B937" s="2">
        <v>40585</v>
      </c>
      <c r="C937">
        <v>1</v>
      </c>
      <c r="D937" t="s">
        <v>17</v>
      </c>
      <c r="E937" s="6" t="s">
        <v>19</v>
      </c>
      <c r="F937" s="151">
        <v>38.958333333333343</v>
      </c>
      <c r="G937" s="7" t="s">
        <v>36</v>
      </c>
      <c r="H937" s="7" t="s">
        <v>44</v>
      </c>
      <c r="I937" s="7" t="s">
        <v>38</v>
      </c>
      <c r="J937">
        <v>0.3</v>
      </c>
      <c r="K937" s="148">
        <v>0.28789999999999999</v>
      </c>
      <c r="L937">
        <v>0.26</v>
      </c>
      <c r="M937" s="148">
        <v>0.25369999999999998</v>
      </c>
      <c r="N937">
        <v>17</v>
      </c>
      <c r="O937">
        <v>67</v>
      </c>
      <c r="P937">
        <v>84</v>
      </c>
    </row>
    <row r="938" spans="1:16">
      <c r="A938">
        <v>937</v>
      </c>
      <c r="B938" s="2">
        <v>40585</v>
      </c>
      <c r="C938">
        <v>1</v>
      </c>
      <c r="D938" t="s">
        <v>17</v>
      </c>
      <c r="E938" s="6" t="s">
        <v>19</v>
      </c>
      <c r="F938" s="151">
        <v>39</v>
      </c>
      <c r="G938" s="7" t="s">
        <v>36</v>
      </c>
      <c r="H938" s="7" t="s">
        <v>44</v>
      </c>
      <c r="I938" s="7" t="s">
        <v>38</v>
      </c>
      <c r="J938">
        <v>0.32</v>
      </c>
      <c r="K938" s="148">
        <v>0.31819999999999998</v>
      </c>
      <c r="L938">
        <v>0.21</v>
      </c>
      <c r="M938" s="148">
        <v>0.16420000000000001</v>
      </c>
      <c r="N938">
        <v>12</v>
      </c>
      <c r="O938">
        <v>62</v>
      </c>
      <c r="P938">
        <v>74</v>
      </c>
    </row>
    <row r="939" spans="1:16">
      <c r="A939">
        <v>938</v>
      </c>
      <c r="B939" s="2">
        <v>40585</v>
      </c>
      <c r="C939">
        <v>1</v>
      </c>
      <c r="D939" t="s">
        <v>17</v>
      </c>
      <c r="E939" s="6" t="s">
        <v>19</v>
      </c>
      <c r="F939" s="151">
        <v>39.041666666666657</v>
      </c>
      <c r="G939" s="7" t="s">
        <v>36</v>
      </c>
      <c r="H939" s="7" t="s">
        <v>44</v>
      </c>
      <c r="I939" s="7" t="s">
        <v>38</v>
      </c>
      <c r="J939">
        <v>0.3</v>
      </c>
      <c r="K939" s="148">
        <v>0.28789999999999999</v>
      </c>
      <c r="L939">
        <v>0.28000000000000003</v>
      </c>
      <c r="M939" s="148">
        <v>0.19400000000000001</v>
      </c>
      <c r="N939">
        <v>14</v>
      </c>
      <c r="O939">
        <v>111</v>
      </c>
      <c r="P939">
        <v>125</v>
      </c>
    </row>
    <row r="940" spans="1:16">
      <c r="A940">
        <v>939</v>
      </c>
      <c r="B940" s="2">
        <v>40585</v>
      </c>
      <c r="C940">
        <v>1</v>
      </c>
      <c r="D940" t="s">
        <v>17</v>
      </c>
      <c r="E940" s="6" t="s">
        <v>19</v>
      </c>
      <c r="F940" s="151">
        <v>39.083333333333343</v>
      </c>
      <c r="G940" s="7" t="s">
        <v>36</v>
      </c>
      <c r="H940" s="7" t="s">
        <v>44</v>
      </c>
      <c r="I940" s="7" t="s">
        <v>38</v>
      </c>
      <c r="J940">
        <v>0.3</v>
      </c>
      <c r="K940" s="148">
        <v>0.33329999999999999</v>
      </c>
      <c r="L940">
        <v>0.24</v>
      </c>
      <c r="M940" s="148">
        <v>0</v>
      </c>
      <c r="N940">
        <v>18</v>
      </c>
      <c r="O940">
        <v>193</v>
      </c>
      <c r="P940">
        <v>211</v>
      </c>
    </row>
    <row r="941" spans="1:16">
      <c r="A941">
        <v>940</v>
      </c>
      <c r="B941" s="2">
        <v>40585</v>
      </c>
      <c r="C941">
        <v>1</v>
      </c>
      <c r="D941" t="s">
        <v>17</v>
      </c>
      <c r="E941" s="6" t="s">
        <v>19</v>
      </c>
      <c r="F941" s="151">
        <v>39.125</v>
      </c>
      <c r="G941" s="7" t="s">
        <v>36</v>
      </c>
      <c r="H941" s="7" t="s">
        <v>44</v>
      </c>
      <c r="I941" s="7" t="s">
        <v>38</v>
      </c>
      <c r="J941">
        <v>0.28000000000000003</v>
      </c>
      <c r="K941" s="148">
        <v>0.31819999999999998</v>
      </c>
      <c r="L941">
        <v>0.28000000000000003</v>
      </c>
      <c r="M941" s="148">
        <v>0</v>
      </c>
      <c r="N941">
        <v>9</v>
      </c>
      <c r="O941">
        <v>165</v>
      </c>
      <c r="P941">
        <v>174</v>
      </c>
    </row>
    <row r="942" spans="1:16">
      <c r="A942">
        <v>941</v>
      </c>
      <c r="B942" s="2">
        <v>40585</v>
      </c>
      <c r="C942">
        <v>1</v>
      </c>
      <c r="D942" t="s">
        <v>17</v>
      </c>
      <c r="E942" s="6" t="s">
        <v>19</v>
      </c>
      <c r="F942" s="151">
        <v>39.166666666666657</v>
      </c>
      <c r="G942" s="7" t="s">
        <v>36</v>
      </c>
      <c r="H942" s="7" t="s">
        <v>44</v>
      </c>
      <c r="I942" s="7" t="s">
        <v>38</v>
      </c>
      <c r="J942">
        <v>0.26</v>
      </c>
      <c r="K942" s="148">
        <v>0.30299999999999999</v>
      </c>
      <c r="L942">
        <v>0.33</v>
      </c>
      <c r="M942" s="148">
        <v>0</v>
      </c>
      <c r="N942">
        <v>7</v>
      </c>
      <c r="O942">
        <v>94</v>
      </c>
      <c r="P942">
        <v>101</v>
      </c>
    </row>
    <row r="943" spans="1:16">
      <c r="A943">
        <v>942</v>
      </c>
      <c r="B943" s="2">
        <v>40585</v>
      </c>
      <c r="C943">
        <v>1</v>
      </c>
      <c r="D943" t="s">
        <v>17</v>
      </c>
      <c r="E943" s="6" t="s">
        <v>19</v>
      </c>
      <c r="F943" s="151">
        <v>39.208333333333343</v>
      </c>
      <c r="G943" s="7" t="s">
        <v>36</v>
      </c>
      <c r="H943" s="7" t="s">
        <v>44</v>
      </c>
      <c r="I943" s="7" t="s">
        <v>38</v>
      </c>
      <c r="J943">
        <v>0.22</v>
      </c>
      <c r="K943" s="148">
        <v>0.2273</v>
      </c>
      <c r="L943">
        <v>0.55000000000000004</v>
      </c>
      <c r="M943" s="148">
        <v>0.1343</v>
      </c>
      <c r="N943">
        <v>2</v>
      </c>
      <c r="O943">
        <v>61</v>
      </c>
      <c r="P943">
        <v>63</v>
      </c>
    </row>
    <row r="944" spans="1:16">
      <c r="A944">
        <v>943</v>
      </c>
      <c r="B944" s="2">
        <v>40585</v>
      </c>
      <c r="C944">
        <v>1</v>
      </c>
      <c r="D944" t="s">
        <v>17</v>
      </c>
      <c r="E944" s="6" t="s">
        <v>19</v>
      </c>
      <c r="F944" s="151">
        <v>39.25</v>
      </c>
      <c r="G944" s="7" t="s">
        <v>36</v>
      </c>
      <c r="H944" s="7" t="s">
        <v>44</v>
      </c>
      <c r="I944" s="7" t="s">
        <v>38</v>
      </c>
      <c r="J944">
        <v>0.2</v>
      </c>
      <c r="K944" s="148">
        <v>0.21210000000000001</v>
      </c>
      <c r="L944">
        <v>0.59</v>
      </c>
      <c r="M944" s="148">
        <v>0.1343</v>
      </c>
      <c r="N944">
        <v>1</v>
      </c>
      <c r="O944">
        <v>46</v>
      </c>
      <c r="P944">
        <v>47</v>
      </c>
    </row>
    <row r="945" spans="1:16">
      <c r="A945">
        <v>944</v>
      </c>
      <c r="B945" s="2">
        <v>40585</v>
      </c>
      <c r="C945">
        <v>1</v>
      </c>
      <c r="D945" t="s">
        <v>17</v>
      </c>
      <c r="E945" s="6" t="s">
        <v>19</v>
      </c>
      <c r="F945" s="151">
        <v>39.291666666666657</v>
      </c>
      <c r="G945" s="7" t="s">
        <v>36</v>
      </c>
      <c r="H945" s="7" t="s">
        <v>44</v>
      </c>
      <c r="I945" s="7" t="s">
        <v>38</v>
      </c>
      <c r="J945">
        <v>0.2</v>
      </c>
      <c r="K945" s="148">
        <v>0.2273</v>
      </c>
      <c r="L945">
        <v>0.64</v>
      </c>
      <c r="M945" s="148">
        <v>8.9599999999999999E-2</v>
      </c>
      <c r="N945">
        <v>2</v>
      </c>
      <c r="O945">
        <v>41</v>
      </c>
      <c r="P945">
        <v>43</v>
      </c>
    </row>
    <row r="946" spans="1:16">
      <c r="A946">
        <v>945</v>
      </c>
      <c r="B946" s="2">
        <v>40585</v>
      </c>
      <c r="C946">
        <v>1</v>
      </c>
      <c r="D946" t="s">
        <v>17</v>
      </c>
      <c r="E946" s="6" t="s">
        <v>19</v>
      </c>
      <c r="F946" s="151">
        <v>39.333333333333343</v>
      </c>
      <c r="G946" s="7" t="s">
        <v>36</v>
      </c>
      <c r="H946" s="7" t="s">
        <v>44</v>
      </c>
      <c r="I946" s="7" t="s">
        <v>38</v>
      </c>
      <c r="J946">
        <v>0.18</v>
      </c>
      <c r="K946" s="148">
        <v>0.2424</v>
      </c>
      <c r="L946">
        <v>0.69</v>
      </c>
      <c r="M946" s="148">
        <v>0</v>
      </c>
      <c r="N946">
        <v>5</v>
      </c>
      <c r="O946">
        <v>48</v>
      </c>
      <c r="P946">
        <v>53</v>
      </c>
    </row>
    <row r="947" spans="1:16">
      <c r="A947">
        <v>946</v>
      </c>
      <c r="B947" s="2">
        <v>40586</v>
      </c>
      <c r="C947">
        <v>1</v>
      </c>
      <c r="D947" t="s">
        <v>17</v>
      </c>
      <c r="E947" s="6" t="s">
        <v>19</v>
      </c>
      <c r="F947" s="151">
        <v>39.375</v>
      </c>
      <c r="G947" s="7" t="s">
        <v>36</v>
      </c>
      <c r="H947" s="7" t="s">
        <v>37</v>
      </c>
      <c r="I947" s="7" t="s">
        <v>38</v>
      </c>
      <c r="J947">
        <v>0.16</v>
      </c>
      <c r="K947" s="148">
        <v>0.19700000000000001</v>
      </c>
      <c r="L947">
        <v>0.69</v>
      </c>
      <c r="M947" s="148">
        <v>8.9599999999999999E-2</v>
      </c>
      <c r="N947">
        <v>3</v>
      </c>
      <c r="O947">
        <v>27</v>
      </c>
      <c r="P947">
        <v>30</v>
      </c>
    </row>
    <row r="948" spans="1:16">
      <c r="A948">
        <v>947</v>
      </c>
      <c r="B948" s="2">
        <v>40586</v>
      </c>
      <c r="C948">
        <v>1</v>
      </c>
      <c r="D948" t="s">
        <v>17</v>
      </c>
      <c r="E948" s="6" t="s">
        <v>19</v>
      </c>
      <c r="F948" s="151">
        <v>39.416666666666657</v>
      </c>
      <c r="G948" s="7" t="s">
        <v>36</v>
      </c>
      <c r="H948" s="7" t="s">
        <v>37</v>
      </c>
      <c r="I948" s="7" t="s">
        <v>38</v>
      </c>
      <c r="J948">
        <v>0.14000000000000001</v>
      </c>
      <c r="K948" s="148">
        <v>0.21210000000000001</v>
      </c>
      <c r="L948">
        <v>0.86</v>
      </c>
      <c r="M948" s="148">
        <v>0</v>
      </c>
      <c r="N948">
        <v>2</v>
      </c>
      <c r="O948">
        <v>22</v>
      </c>
      <c r="P948">
        <v>24</v>
      </c>
    </row>
    <row r="949" spans="1:16">
      <c r="A949">
        <v>948</v>
      </c>
      <c r="B949" s="2">
        <v>40586</v>
      </c>
      <c r="C949">
        <v>1</v>
      </c>
      <c r="D949" t="s">
        <v>17</v>
      </c>
      <c r="E949" s="6" t="s">
        <v>19</v>
      </c>
      <c r="F949" s="151">
        <v>39.458333333333343</v>
      </c>
      <c r="G949" s="7" t="s">
        <v>36</v>
      </c>
      <c r="H949" s="7" t="s">
        <v>37</v>
      </c>
      <c r="I949" s="7" t="s">
        <v>38</v>
      </c>
      <c r="J949">
        <v>0.14000000000000001</v>
      </c>
      <c r="K949" s="148">
        <v>0.21210000000000001</v>
      </c>
      <c r="L949">
        <v>0.8</v>
      </c>
      <c r="M949" s="148">
        <v>0</v>
      </c>
      <c r="N949">
        <v>2</v>
      </c>
      <c r="O949">
        <v>13</v>
      </c>
      <c r="P949">
        <v>15</v>
      </c>
    </row>
    <row r="950" spans="1:16">
      <c r="A950">
        <v>949</v>
      </c>
      <c r="B950" s="2">
        <v>40586</v>
      </c>
      <c r="C950">
        <v>1</v>
      </c>
      <c r="D950" t="s">
        <v>17</v>
      </c>
      <c r="E950" s="6" t="s">
        <v>19</v>
      </c>
      <c r="F950" s="151">
        <v>39.5</v>
      </c>
      <c r="G950" s="7" t="s">
        <v>36</v>
      </c>
      <c r="H950" s="7" t="s">
        <v>37</v>
      </c>
      <c r="I950" s="7" t="s">
        <v>38</v>
      </c>
      <c r="J950">
        <v>0.12</v>
      </c>
      <c r="K950" s="148">
        <v>0.19700000000000001</v>
      </c>
      <c r="L950">
        <v>0.8</v>
      </c>
      <c r="M950" s="148">
        <v>0</v>
      </c>
      <c r="N950">
        <v>3</v>
      </c>
      <c r="O950">
        <v>7</v>
      </c>
      <c r="P950">
        <v>10</v>
      </c>
    </row>
    <row r="951" spans="1:16">
      <c r="A951">
        <v>950</v>
      </c>
      <c r="B951" s="2">
        <v>40586</v>
      </c>
      <c r="C951">
        <v>1</v>
      </c>
      <c r="D951" t="s">
        <v>17</v>
      </c>
      <c r="E951" s="6" t="s">
        <v>19</v>
      </c>
      <c r="F951" s="151">
        <v>39.541666666666657</v>
      </c>
      <c r="G951" s="7" t="s">
        <v>36</v>
      </c>
      <c r="H951" s="7" t="s">
        <v>37</v>
      </c>
      <c r="I951" s="7" t="s">
        <v>38</v>
      </c>
      <c r="J951">
        <v>0.12</v>
      </c>
      <c r="K951" s="148">
        <v>0.16669999999999999</v>
      </c>
      <c r="L951">
        <v>0.74</v>
      </c>
      <c r="M951" s="148">
        <v>8.9599999999999999E-2</v>
      </c>
      <c r="N951">
        <v>0</v>
      </c>
      <c r="O951">
        <v>4</v>
      </c>
      <c r="P951">
        <v>4</v>
      </c>
    </row>
    <row r="952" spans="1:16">
      <c r="A952">
        <v>951</v>
      </c>
      <c r="B952" s="2">
        <v>40586</v>
      </c>
      <c r="C952">
        <v>1</v>
      </c>
      <c r="D952" t="s">
        <v>17</v>
      </c>
      <c r="E952" s="6" t="s">
        <v>19</v>
      </c>
      <c r="F952" s="151">
        <v>39.583333333333343</v>
      </c>
      <c r="G952" s="7" t="s">
        <v>36</v>
      </c>
      <c r="H952" s="7" t="s">
        <v>37</v>
      </c>
      <c r="I952" s="7" t="s">
        <v>38</v>
      </c>
      <c r="J952">
        <v>0.12</v>
      </c>
      <c r="K952" s="148">
        <v>0.16669999999999999</v>
      </c>
      <c r="L952">
        <v>0.74</v>
      </c>
      <c r="M952" s="148">
        <v>8.9599999999999999E-2</v>
      </c>
      <c r="N952">
        <v>0</v>
      </c>
      <c r="O952">
        <v>1</v>
      </c>
      <c r="P952">
        <v>1</v>
      </c>
    </row>
    <row r="953" spans="1:16">
      <c r="A953">
        <v>952</v>
      </c>
      <c r="B953" s="2">
        <v>40586</v>
      </c>
      <c r="C953">
        <v>1</v>
      </c>
      <c r="D953" t="s">
        <v>17</v>
      </c>
      <c r="E953" s="6" t="s">
        <v>19</v>
      </c>
      <c r="F953" s="151">
        <v>39.625</v>
      </c>
      <c r="G953" s="7" t="s">
        <v>36</v>
      </c>
      <c r="H953" s="7" t="s">
        <v>37</v>
      </c>
      <c r="I953" s="7" t="s">
        <v>38</v>
      </c>
      <c r="J953">
        <v>0.12</v>
      </c>
      <c r="K953" s="148">
        <v>0.13639999999999999</v>
      </c>
      <c r="L953">
        <v>0.93</v>
      </c>
      <c r="M953" s="148">
        <v>0.19400000000000001</v>
      </c>
      <c r="N953">
        <v>1</v>
      </c>
      <c r="O953">
        <v>1</v>
      </c>
      <c r="P953">
        <v>2</v>
      </c>
    </row>
    <row r="954" spans="1:16">
      <c r="A954">
        <v>953</v>
      </c>
      <c r="B954" s="2">
        <v>40586</v>
      </c>
      <c r="C954">
        <v>1</v>
      </c>
      <c r="D954" t="s">
        <v>17</v>
      </c>
      <c r="E954" s="6" t="s">
        <v>19</v>
      </c>
      <c r="F954" s="151">
        <v>39.666666666666657</v>
      </c>
      <c r="G954" s="7" t="s">
        <v>36</v>
      </c>
      <c r="H954" s="7" t="s">
        <v>37</v>
      </c>
      <c r="I954" s="7" t="s">
        <v>38</v>
      </c>
      <c r="J954">
        <v>0.12</v>
      </c>
      <c r="K954" s="148">
        <v>0.1515</v>
      </c>
      <c r="L954">
        <v>0.8</v>
      </c>
      <c r="M954" s="148">
        <v>0.1045</v>
      </c>
      <c r="N954">
        <v>2</v>
      </c>
      <c r="O954">
        <v>9</v>
      </c>
      <c r="P954">
        <v>11</v>
      </c>
    </row>
    <row r="955" spans="1:16">
      <c r="A955">
        <v>954</v>
      </c>
      <c r="B955" s="2">
        <v>40586</v>
      </c>
      <c r="C955">
        <v>1</v>
      </c>
      <c r="D955" t="s">
        <v>17</v>
      </c>
      <c r="E955" s="6" t="s">
        <v>19</v>
      </c>
      <c r="F955" s="151">
        <v>39.708333333333343</v>
      </c>
      <c r="G955" s="7" t="s">
        <v>36</v>
      </c>
      <c r="H955" s="7" t="s">
        <v>37</v>
      </c>
      <c r="I955" s="7" t="s">
        <v>38</v>
      </c>
      <c r="J955">
        <v>0.14000000000000001</v>
      </c>
      <c r="K955" s="148">
        <v>0.1515</v>
      </c>
      <c r="L955">
        <v>0.86</v>
      </c>
      <c r="M955" s="148">
        <v>0.1343</v>
      </c>
      <c r="N955">
        <v>2</v>
      </c>
      <c r="O955">
        <v>28</v>
      </c>
      <c r="P955">
        <v>30</v>
      </c>
    </row>
    <row r="956" spans="1:16">
      <c r="A956">
        <v>955</v>
      </c>
      <c r="B956" s="2">
        <v>40586</v>
      </c>
      <c r="C956">
        <v>1</v>
      </c>
      <c r="D956" t="s">
        <v>17</v>
      </c>
      <c r="E956" s="6" t="s">
        <v>19</v>
      </c>
      <c r="F956" s="151">
        <v>39.75</v>
      </c>
      <c r="G956" s="7" t="s">
        <v>36</v>
      </c>
      <c r="H956" s="7" t="s">
        <v>37</v>
      </c>
      <c r="I956" s="7" t="s">
        <v>38</v>
      </c>
      <c r="J956">
        <v>0.16</v>
      </c>
      <c r="K956" s="148">
        <v>0.18179999999999999</v>
      </c>
      <c r="L956">
        <v>0.64</v>
      </c>
      <c r="M956" s="148">
        <v>0.1343</v>
      </c>
      <c r="N956">
        <v>5</v>
      </c>
      <c r="O956">
        <v>38</v>
      </c>
      <c r="P956">
        <v>43</v>
      </c>
    </row>
    <row r="957" spans="1:16">
      <c r="A957">
        <v>956</v>
      </c>
      <c r="B957" s="2">
        <v>40586</v>
      </c>
      <c r="C957">
        <v>1</v>
      </c>
      <c r="D957" t="s">
        <v>17</v>
      </c>
      <c r="E957" s="6" t="s">
        <v>19</v>
      </c>
      <c r="F957" s="151">
        <v>39.791666666666657</v>
      </c>
      <c r="G957" s="7" t="s">
        <v>36</v>
      </c>
      <c r="H957" s="7" t="s">
        <v>37</v>
      </c>
      <c r="I957" s="7" t="s">
        <v>38</v>
      </c>
      <c r="J957">
        <v>0.22</v>
      </c>
      <c r="K957" s="148">
        <v>0.21210000000000001</v>
      </c>
      <c r="L957">
        <v>0.41</v>
      </c>
      <c r="M957" s="148">
        <v>0.25369999999999998</v>
      </c>
      <c r="N957">
        <v>13</v>
      </c>
      <c r="O957">
        <v>71</v>
      </c>
      <c r="P957">
        <v>84</v>
      </c>
    </row>
    <row r="958" spans="1:16">
      <c r="A958">
        <v>957</v>
      </c>
      <c r="B958" s="2">
        <v>40586</v>
      </c>
      <c r="C958">
        <v>1</v>
      </c>
      <c r="D958" t="s">
        <v>17</v>
      </c>
      <c r="E958" s="6" t="s">
        <v>19</v>
      </c>
      <c r="F958" s="151">
        <v>39.833333333333343</v>
      </c>
      <c r="G958" s="7" t="s">
        <v>36</v>
      </c>
      <c r="H958" s="7" t="s">
        <v>37</v>
      </c>
      <c r="I958" s="7" t="s">
        <v>38</v>
      </c>
      <c r="J958">
        <v>0.3</v>
      </c>
      <c r="K958" s="148">
        <v>0.2727</v>
      </c>
      <c r="L958">
        <v>0.28000000000000003</v>
      </c>
      <c r="M958" s="148">
        <v>0.32840000000000003</v>
      </c>
      <c r="N958">
        <v>30</v>
      </c>
      <c r="O958">
        <v>84</v>
      </c>
      <c r="P958">
        <v>114</v>
      </c>
    </row>
    <row r="959" spans="1:16">
      <c r="A959">
        <v>958</v>
      </c>
      <c r="B959" s="2">
        <v>40586</v>
      </c>
      <c r="C959">
        <v>1</v>
      </c>
      <c r="D959" t="s">
        <v>17</v>
      </c>
      <c r="E959" s="6" t="s">
        <v>19</v>
      </c>
      <c r="F959" s="151">
        <v>39.875</v>
      </c>
      <c r="G959" s="7" t="s">
        <v>36</v>
      </c>
      <c r="H959" s="7" t="s">
        <v>37</v>
      </c>
      <c r="I959" s="7" t="s">
        <v>38</v>
      </c>
      <c r="J959">
        <v>0.3</v>
      </c>
      <c r="K959" s="148">
        <v>0.2727</v>
      </c>
      <c r="L959">
        <v>0.39</v>
      </c>
      <c r="M959" s="148">
        <v>0.4627</v>
      </c>
      <c r="N959">
        <v>27</v>
      </c>
      <c r="O959">
        <v>93</v>
      </c>
      <c r="P959">
        <v>120</v>
      </c>
    </row>
    <row r="960" spans="1:16">
      <c r="A960">
        <v>959</v>
      </c>
      <c r="B960" s="2">
        <v>40586</v>
      </c>
      <c r="C960">
        <v>1</v>
      </c>
      <c r="D960" t="s">
        <v>17</v>
      </c>
      <c r="E960" s="6" t="s">
        <v>19</v>
      </c>
      <c r="F960" s="151">
        <v>39.916666666666657</v>
      </c>
      <c r="G960" s="7" t="s">
        <v>36</v>
      </c>
      <c r="H960" s="7" t="s">
        <v>37</v>
      </c>
      <c r="I960" s="7" t="s">
        <v>38</v>
      </c>
      <c r="J960">
        <v>0.3</v>
      </c>
      <c r="K960" s="148">
        <v>0.2727</v>
      </c>
      <c r="L960">
        <v>0.39</v>
      </c>
      <c r="M960" s="148">
        <v>0.41789999999999999</v>
      </c>
      <c r="N960">
        <v>32</v>
      </c>
      <c r="O960">
        <v>103</v>
      </c>
      <c r="P960">
        <v>135</v>
      </c>
    </row>
    <row r="961" spans="1:16">
      <c r="A961">
        <v>960</v>
      </c>
      <c r="B961" s="2">
        <v>40586</v>
      </c>
      <c r="C961">
        <v>1</v>
      </c>
      <c r="D961" t="s">
        <v>17</v>
      </c>
      <c r="E961" s="6" t="s">
        <v>19</v>
      </c>
      <c r="F961" s="151">
        <v>39.958333333333343</v>
      </c>
      <c r="G961" s="7" t="s">
        <v>36</v>
      </c>
      <c r="H961" s="7" t="s">
        <v>37</v>
      </c>
      <c r="I961" s="7" t="s">
        <v>38</v>
      </c>
      <c r="J961">
        <v>0.34</v>
      </c>
      <c r="K961" s="148">
        <v>0.31819999999999998</v>
      </c>
      <c r="L961">
        <v>0.31</v>
      </c>
      <c r="M961" s="148">
        <v>0.28360000000000002</v>
      </c>
      <c r="N961">
        <v>30</v>
      </c>
      <c r="O961">
        <v>90</v>
      </c>
      <c r="P961">
        <v>120</v>
      </c>
    </row>
    <row r="962" spans="1:16">
      <c r="A962">
        <v>961</v>
      </c>
      <c r="B962" s="2">
        <v>40586</v>
      </c>
      <c r="C962">
        <v>1</v>
      </c>
      <c r="D962" t="s">
        <v>17</v>
      </c>
      <c r="E962" s="6" t="s">
        <v>19</v>
      </c>
      <c r="F962" s="151">
        <v>40</v>
      </c>
      <c r="G962" s="7" t="s">
        <v>36</v>
      </c>
      <c r="H962" s="7" t="s">
        <v>37</v>
      </c>
      <c r="I962" s="7" t="s">
        <v>38</v>
      </c>
      <c r="J962">
        <v>0.34</v>
      </c>
      <c r="K962" s="148">
        <v>0.30299999999999999</v>
      </c>
      <c r="L962">
        <v>0.28999999999999998</v>
      </c>
      <c r="M962" s="148">
        <v>0.41789999999999999</v>
      </c>
      <c r="N962">
        <v>47</v>
      </c>
      <c r="O962">
        <v>127</v>
      </c>
      <c r="P962">
        <v>174</v>
      </c>
    </row>
    <row r="963" spans="1:16">
      <c r="A963">
        <v>962</v>
      </c>
      <c r="B963" s="2">
        <v>40586</v>
      </c>
      <c r="C963">
        <v>1</v>
      </c>
      <c r="D963" t="s">
        <v>17</v>
      </c>
      <c r="E963" s="6" t="s">
        <v>19</v>
      </c>
      <c r="F963" s="151">
        <v>40.041666666666657</v>
      </c>
      <c r="G963" s="7" t="s">
        <v>36</v>
      </c>
      <c r="H963" s="7" t="s">
        <v>37</v>
      </c>
      <c r="I963" s="7" t="s">
        <v>38</v>
      </c>
      <c r="J963">
        <v>0.34</v>
      </c>
      <c r="K963" s="148">
        <v>0.30299999999999999</v>
      </c>
      <c r="L963">
        <v>0.28999999999999998</v>
      </c>
      <c r="M963" s="148">
        <v>0.41789999999999999</v>
      </c>
      <c r="N963">
        <v>42</v>
      </c>
      <c r="O963">
        <v>103</v>
      </c>
      <c r="P963">
        <v>145</v>
      </c>
    </row>
    <row r="964" spans="1:16">
      <c r="A964">
        <v>963</v>
      </c>
      <c r="B964" s="2">
        <v>40586</v>
      </c>
      <c r="C964">
        <v>1</v>
      </c>
      <c r="D964" t="s">
        <v>17</v>
      </c>
      <c r="E964" s="6" t="s">
        <v>19</v>
      </c>
      <c r="F964" s="151">
        <v>40.083333333333343</v>
      </c>
      <c r="G964" s="7" t="s">
        <v>36</v>
      </c>
      <c r="H964" s="7" t="s">
        <v>37</v>
      </c>
      <c r="I964" s="7" t="s">
        <v>38</v>
      </c>
      <c r="J964">
        <v>0.32</v>
      </c>
      <c r="K964" s="148">
        <v>0.28789999999999999</v>
      </c>
      <c r="L964">
        <v>0.31</v>
      </c>
      <c r="M964" s="148">
        <v>0.52239999999999998</v>
      </c>
      <c r="N964">
        <v>24</v>
      </c>
      <c r="O964">
        <v>113</v>
      </c>
      <c r="P964">
        <v>137</v>
      </c>
    </row>
    <row r="965" spans="1:16">
      <c r="A965">
        <v>964</v>
      </c>
      <c r="B965" s="2">
        <v>40586</v>
      </c>
      <c r="C965">
        <v>1</v>
      </c>
      <c r="D965" t="s">
        <v>17</v>
      </c>
      <c r="E965" s="6" t="s">
        <v>19</v>
      </c>
      <c r="F965" s="151">
        <v>40.125</v>
      </c>
      <c r="G965" s="7" t="s">
        <v>36</v>
      </c>
      <c r="H965" s="7" t="s">
        <v>37</v>
      </c>
      <c r="I965" s="7" t="s">
        <v>38</v>
      </c>
      <c r="J965">
        <v>0.28000000000000003</v>
      </c>
      <c r="K965" s="148">
        <v>0.2576</v>
      </c>
      <c r="L965">
        <v>0.38</v>
      </c>
      <c r="M965" s="148">
        <v>0.32840000000000003</v>
      </c>
      <c r="N965">
        <v>4</v>
      </c>
      <c r="O965">
        <v>60</v>
      </c>
      <c r="P965">
        <v>64</v>
      </c>
    </row>
    <row r="966" spans="1:16">
      <c r="A966">
        <v>965</v>
      </c>
      <c r="B966" s="2">
        <v>40586</v>
      </c>
      <c r="C966">
        <v>1</v>
      </c>
      <c r="D966" t="s">
        <v>17</v>
      </c>
      <c r="E966" s="6" t="s">
        <v>19</v>
      </c>
      <c r="F966" s="151">
        <v>40.166666666666657</v>
      </c>
      <c r="G966" s="7" t="s">
        <v>36</v>
      </c>
      <c r="H966" s="7" t="s">
        <v>37</v>
      </c>
      <c r="I966" s="7" t="s">
        <v>38</v>
      </c>
      <c r="J966">
        <v>0.28000000000000003</v>
      </c>
      <c r="K966" s="148">
        <v>0.2727</v>
      </c>
      <c r="L966">
        <v>0.38</v>
      </c>
      <c r="M966" s="148">
        <v>0.16420000000000001</v>
      </c>
      <c r="N966">
        <v>2</v>
      </c>
      <c r="O966">
        <v>39</v>
      </c>
      <c r="P966">
        <v>41</v>
      </c>
    </row>
    <row r="967" spans="1:16">
      <c r="A967">
        <v>966</v>
      </c>
      <c r="B967" s="2">
        <v>40586</v>
      </c>
      <c r="C967">
        <v>1</v>
      </c>
      <c r="D967" t="s">
        <v>17</v>
      </c>
      <c r="E967" s="6" t="s">
        <v>19</v>
      </c>
      <c r="F967" s="151">
        <v>40.208333333333343</v>
      </c>
      <c r="G967" s="7" t="s">
        <v>36</v>
      </c>
      <c r="H967" s="7" t="s">
        <v>37</v>
      </c>
      <c r="I967" s="7" t="s">
        <v>38</v>
      </c>
      <c r="J967">
        <v>0.26</v>
      </c>
      <c r="K967" s="148">
        <v>0.2576</v>
      </c>
      <c r="L967">
        <v>0.41</v>
      </c>
      <c r="M967" s="148">
        <v>0.22389999999999999</v>
      </c>
      <c r="N967">
        <v>1</v>
      </c>
      <c r="O967">
        <v>39</v>
      </c>
      <c r="P967">
        <v>40</v>
      </c>
    </row>
    <row r="968" spans="1:16">
      <c r="A968">
        <v>967</v>
      </c>
      <c r="B968" s="2">
        <v>40586</v>
      </c>
      <c r="C968">
        <v>1</v>
      </c>
      <c r="D968" t="s">
        <v>17</v>
      </c>
      <c r="E968" s="6" t="s">
        <v>19</v>
      </c>
      <c r="F968" s="151">
        <v>40.25</v>
      </c>
      <c r="G968" s="7" t="s">
        <v>36</v>
      </c>
      <c r="H968" s="7" t="s">
        <v>37</v>
      </c>
      <c r="I968" s="7" t="s">
        <v>38</v>
      </c>
      <c r="J968">
        <v>0.26</v>
      </c>
      <c r="K968" s="148">
        <v>0.30299999999999999</v>
      </c>
      <c r="L968">
        <v>0.41</v>
      </c>
      <c r="M968" s="148">
        <v>0</v>
      </c>
      <c r="N968">
        <v>9</v>
      </c>
      <c r="O968">
        <v>42</v>
      </c>
      <c r="P968">
        <v>51</v>
      </c>
    </row>
    <row r="969" spans="1:16">
      <c r="A969">
        <v>968</v>
      </c>
      <c r="B969" s="2">
        <v>40586</v>
      </c>
      <c r="C969">
        <v>1</v>
      </c>
      <c r="D969" t="s">
        <v>17</v>
      </c>
      <c r="E969" s="6" t="s">
        <v>19</v>
      </c>
      <c r="F969" s="151">
        <v>40.291666666666657</v>
      </c>
      <c r="G969" s="7" t="s">
        <v>36</v>
      </c>
      <c r="H969" s="7" t="s">
        <v>37</v>
      </c>
      <c r="I969" s="7" t="s">
        <v>38</v>
      </c>
      <c r="J969">
        <v>0.24</v>
      </c>
      <c r="K969" s="148">
        <v>0.2576</v>
      </c>
      <c r="L969">
        <v>0.44</v>
      </c>
      <c r="M969" s="148">
        <v>8.9599999999999999E-2</v>
      </c>
      <c r="N969">
        <v>6</v>
      </c>
      <c r="O969">
        <v>39</v>
      </c>
      <c r="P969">
        <v>45</v>
      </c>
    </row>
    <row r="970" spans="1:16">
      <c r="A970">
        <v>969</v>
      </c>
      <c r="B970" s="2">
        <v>40586</v>
      </c>
      <c r="C970">
        <v>1</v>
      </c>
      <c r="D970" t="s">
        <v>17</v>
      </c>
      <c r="E970" s="6" t="s">
        <v>19</v>
      </c>
      <c r="F970" s="151">
        <v>40.333333333333343</v>
      </c>
      <c r="G970" s="7" t="s">
        <v>36</v>
      </c>
      <c r="H970" s="7" t="s">
        <v>37</v>
      </c>
      <c r="I970" s="7" t="s">
        <v>38</v>
      </c>
      <c r="J970">
        <v>0.22</v>
      </c>
      <c r="K970" s="148">
        <v>0.2273</v>
      </c>
      <c r="L970">
        <v>0.51</v>
      </c>
      <c r="M970" s="148">
        <v>0.1343</v>
      </c>
      <c r="N970">
        <v>1</v>
      </c>
      <c r="O970">
        <v>31</v>
      </c>
      <c r="P970">
        <v>32</v>
      </c>
    </row>
    <row r="971" spans="1:16">
      <c r="A971">
        <v>970</v>
      </c>
      <c r="B971" s="2">
        <v>40587</v>
      </c>
      <c r="C971">
        <v>1</v>
      </c>
      <c r="D971" t="s">
        <v>17</v>
      </c>
      <c r="E971" s="6" t="s">
        <v>19</v>
      </c>
      <c r="F971" s="151">
        <v>40.375</v>
      </c>
      <c r="G971" s="7" t="s">
        <v>36</v>
      </c>
      <c r="H971" s="7" t="s">
        <v>40</v>
      </c>
      <c r="I971" s="7" t="s">
        <v>38</v>
      </c>
      <c r="J971">
        <v>0.2</v>
      </c>
      <c r="K971" s="148">
        <v>0.2273</v>
      </c>
      <c r="L971">
        <v>0.64</v>
      </c>
      <c r="M971" s="148">
        <v>0.1045</v>
      </c>
      <c r="N971">
        <v>5</v>
      </c>
      <c r="O971">
        <v>34</v>
      </c>
      <c r="P971">
        <v>39</v>
      </c>
    </row>
    <row r="972" spans="1:16">
      <c r="A972">
        <v>971</v>
      </c>
      <c r="B972" s="2">
        <v>40587</v>
      </c>
      <c r="C972">
        <v>1</v>
      </c>
      <c r="D972" t="s">
        <v>17</v>
      </c>
      <c r="E972" s="6" t="s">
        <v>19</v>
      </c>
      <c r="F972" s="151">
        <v>40.416666666666657</v>
      </c>
      <c r="G972" s="7" t="s">
        <v>36</v>
      </c>
      <c r="H972" s="7" t="s">
        <v>40</v>
      </c>
      <c r="I972" s="7" t="s">
        <v>38</v>
      </c>
      <c r="J972">
        <v>0.2</v>
      </c>
      <c r="K972" s="148">
        <v>0.2273</v>
      </c>
      <c r="L972">
        <v>0.59</v>
      </c>
      <c r="M972" s="148">
        <v>8.9599999999999999E-2</v>
      </c>
      <c r="N972">
        <v>1</v>
      </c>
      <c r="O972">
        <v>23</v>
      </c>
      <c r="P972">
        <v>24</v>
      </c>
    </row>
    <row r="973" spans="1:16">
      <c r="A973">
        <v>972</v>
      </c>
      <c r="B973" s="2">
        <v>40587</v>
      </c>
      <c r="C973">
        <v>1</v>
      </c>
      <c r="D973" t="s">
        <v>17</v>
      </c>
      <c r="E973" s="6" t="s">
        <v>19</v>
      </c>
      <c r="F973" s="151">
        <v>40.458333333333343</v>
      </c>
      <c r="G973" s="7" t="s">
        <v>36</v>
      </c>
      <c r="H973" s="7" t="s">
        <v>40</v>
      </c>
      <c r="I973" s="7" t="s">
        <v>39</v>
      </c>
      <c r="J973">
        <v>0.2</v>
      </c>
      <c r="K973" s="148">
        <v>0.2273</v>
      </c>
      <c r="L973">
        <v>0.75</v>
      </c>
      <c r="M973" s="148">
        <v>8.9599999999999999E-2</v>
      </c>
      <c r="N973">
        <v>1</v>
      </c>
      <c r="O973">
        <v>19</v>
      </c>
      <c r="P973">
        <v>20</v>
      </c>
    </row>
    <row r="974" spans="1:16">
      <c r="A974">
        <v>973</v>
      </c>
      <c r="B974" s="2">
        <v>40587</v>
      </c>
      <c r="C974">
        <v>1</v>
      </c>
      <c r="D974" t="s">
        <v>17</v>
      </c>
      <c r="E974" s="6" t="s">
        <v>19</v>
      </c>
      <c r="F974" s="151">
        <v>40.5</v>
      </c>
      <c r="G974" s="7" t="s">
        <v>36</v>
      </c>
      <c r="H974" s="7" t="s">
        <v>40</v>
      </c>
      <c r="I974" s="7" t="s">
        <v>39</v>
      </c>
      <c r="J974">
        <v>0.2</v>
      </c>
      <c r="K974" s="148">
        <v>0.2273</v>
      </c>
      <c r="L974">
        <v>0.69</v>
      </c>
      <c r="M974" s="148">
        <v>0.1045</v>
      </c>
      <c r="N974">
        <v>4</v>
      </c>
      <c r="O974">
        <v>8</v>
      </c>
      <c r="P974">
        <v>12</v>
      </c>
    </row>
    <row r="975" spans="1:16">
      <c r="A975">
        <v>974</v>
      </c>
      <c r="B975" s="2">
        <v>40587</v>
      </c>
      <c r="C975">
        <v>1</v>
      </c>
      <c r="D975" t="s">
        <v>17</v>
      </c>
      <c r="E975" s="6" t="s">
        <v>19</v>
      </c>
      <c r="F975" s="151">
        <v>40.541666666666657</v>
      </c>
      <c r="G975" s="7" t="s">
        <v>36</v>
      </c>
      <c r="H975" s="7" t="s">
        <v>40</v>
      </c>
      <c r="I975" s="7" t="s">
        <v>39</v>
      </c>
      <c r="J975">
        <v>0.2</v>
      </c>
      <c r="K975" s="148">
        <v>0.21210000000000001</v>
      </c>
      <c r="L975">
        <v>0.69</v>
      </c>
      <c r="M975" s="148">
        <v>0.16420000000000001</v>
      </c>
      <c r="N975">
        <v>0</v>
      </c>
      <c r="O975">
        <v>2</v>
      </c>
      <c r="P975">
        <v>2</v>
      </c>
    </row>
    <row r="976" spans="1:16">
      <c r="A976">
        <v>975</v>
      </c>
      <c r="B976" s="2">
        <v>40587</v>
      </c>
      <c r="C976">
        <v>1</v>
      </c>
      <c r="D976" t="s">
        <v>17</v>
      </c>
      <c r="E976" s="6" t="s">
        <v>19</v>
      </c>
      <c r="F976" s="151">
        <v>40.583333333333343</v>
      </c>
      <c r="G976" s="7" t="s">
        <v>36</v>
      </c>
      <c r="H976" s="7" t="s">
        <v>40</v>
      </c>
      <c r="I976" s="7" t="s">
        <v>39</v>
      </c>
      <c r="J976">
        <v>0.2</v>
      </c>
      <c r="K976" s="148">
        <v>0.21210000000000001</v>
      </c>
      <c r="L976">
        <v>0.69</v>
      </c>
      <c r="M976" s="148">
        <v>0.1343</v>
      </c>
      <c r="N976">
        <v>2</v>
      </c>
      <c r="O976">
        <v>3</v>
      </c>
      <c r="P976">
        <v>5</v>
      </c>
    </row>
    <row r="977" spans="1:16">
      <c r="A977">
        <v>976</v>
      </c>
      <c r="B977" s="2">
        <v>40587</v>
      </c>
      <c r="C977">
        <v>1</v>
      </c>
      <c r="D977" t="s">
        <v>17</v>
      </c>
      <c r="E977" s="6" t="s">
        <v>19</v>
      </c>
      <c r="F977" s="151">
        <v>40.625</v>
      </c>
      <c r="G977" s="7" t="s">
        <v>36</v>
      </c>
      <c r="H977" s="7" t="s">
        <v>40</v>
      </c>
      <c r="I977" s="7" t="s">
        <v>39</v>
      </c>
      <c r="J977">
        <v>0.22</v>
      </c>
      <c r="K977" s="148">
        <v>0.2727</v>
      </c>
      <c r="L977">
        <v>0.55000000000000004</v>
      </c>
      <c r="M977" s="148">
        <v>0</v>
      </c>
      <c r="N977">
        <v>0</v>
      </c>
      <c r="O977">
        <v>3</v>
      </c>
      <c r="P977">
        <v>3</v>
      </c>
    </row>
    <row r="978" spans="1:16">
      <c r="A978">
        <v>977</v>
      </c>
      <c r="B978" s="2">
        <v>40587</v>
      </c>
      <c r="C978">
        <v>1</v>
      </c>
      <c r="D978" t="s">
        <v>17</v>
      </c>
      <c r="E978" s="6" t="s">
        <v>19</v>
      </c>
      <c r="F978" s="151">
        <v>40.666666666666657</v>
      </c>
      <c r="G978" s="7" t="s">
        <v>36</v>
      </c>
      <c r="H978" s="7" t="s">
        <v>40</v>
      </c>
      <c r="I978" s="7" t="s">
        <v>39</v>
      </c>
      <c r="J978">
        <v>0.22</v>
      </c>
      <c r="K978" s="148">
        <v>0.2273</v>
      </c>
      <c r="L978">
        <v>0.64</v>
      </c>
      <c r="M978" s="148">
        <v>0.19400000000000001</v>
      </c>
      <c r="N978">
        <v>1</v>
      </c>
      <c r="O978">
        <v>11</v>
      </c>
      <c r="P978">
        <v>12</v>
      </c>
    </row>
    <row r="979" spans="1:16">
      <c r="A979">
        <v>978</v>
      </c>
      <c r="B979" s="2">
        <v>40587</v>
      </c>
      <c r="C979">
        <v>1</v>
      </c>
      <c r="D979" t="s">
        <v>17</v>
      </c>
      <c r="E979" s="6" t="s">
        <v>19</v>
      </c>
      <c r="F979" s="151">
        <v>40.708333333333343</v>
      </c>
      <c r="G979" s="7" t="s">
        <v>36</v>
      </c>
      <c r="H979" s="7" t="s">
        <v>40</v>
      </c>
      <c r="I979" s="7" t="s">
        <v>39</v>
      </c>
      <c r="J979">
        <v>0.24</v>
      </c>
      <c r="K979" s="148">
        <v>0.2273</v>
      </c>
      <c r="L979">
        <v>0.6</v>
      </c>
      <c r="M979" s="148">
        <v>0.22389999999999999</v>
      </c>
      <c r="N979">
        <v>12</v>
      </c>
      <c r="O979">
        <v>35</v>
      </c>
      <c r="P979">
        <v>47</v>
      </c>
    </row>
    <row r="980" spans="1:16">
      <c r="A980">
        <v>979</v>
      </c>
      <c r="B980" s="2">
        <v>40587</v>
      </c>
      <c r="C980">
        <v>1</v>
      </c>
      <c r="D980" t="s">
        <v>17</v>
      </c>
      <c r="E980" s="6" t="s">
        <v>19</v>
      </c>
      <c r="F980" s="151">
        <v>40.75</v>
      </c>
      <c r="G980" s="7" t="s">
        <v>36</v>
      </c>
      <c r="H980" s="7" t="s">
        <v>40</v>
      </c>
      <c r="I980" s="7" t="s">
        <v>38</v>
      </c>
      <c r="J980">
        <v>0.3</v>
      </c>
      <c r="K980" s="148">
        <v>0.2727</v>
      </c>
      <c r="L980">
        <v>0.45</v>
      </c>
      <c r="M980" s="148">
        <v>0.32840000000000003</v>
      </c>
      <c r="N980">
        <v>19</v>
      </c>
      <c r="O980">
        <v>86</v>
      </c>
      <c r="P980">
        <v>105</v>
      </c>
    </row>
    <row r="981" spans="1:16">
      <c r="A981">
        <v>980</v>
      </c>
      <c r="B981" s="2">
        <v>40587</v>
      </c>
      <c r="C981">
        <v>1</v>
      </c>
      <c r="D981" t="s">
        <v>17</v>
      </c>
      <c r="E981" s="6" t="s">
        <v>19</v>
      </c>
      <c r="F981" s="151">
        <v>40.791666666666657</v>
      </c>
      <c r="G981" s="7" t="s">
        <v>36</v>
      </c>
      <c r="H981" s="7" t="s">
        <v>40</v>
      </c>
      <c r="I981" s="7" t="s">
        <v>38</v>
      </c>
      <c r="J981">
        <v>0.32</v>
      </c>
      <c r="K981" s="148">
        <v>0.28789999999999999</v>
      </c>
      <c r="L981">
        <v>0.39</v>
      </c>
      <c r="M981" s="148">
        <v>0.44779999999999998</v>
      </c>
      <c r="N981">
        <v>26</v>
      </c>
      <c r="O981">
        <v>86</v>
      </c>
      <c r="P981">
        <v>112</v>
      </c>
    </row>
    <row r="982" spans="1:16">
      <c r="A982">
        <v>981</v>
      </c>
      <c r="B982" s="2">
        <v>40587</v>
      </c>
      <c r="C982">
        <v>1</v>
      </c>
      <c r="D982" t="s">
        <v>17</v>
      </c>
      <c r="E982" s="6" t="s">
        <v>19</v>
      </c>
      <c r="F982" s="151">
        <v>40.833333333333343</v>
      </c>
      <c r="G982" s="7" t="s">
        <v>36</v>
      </c>
      <c r="H982" s="7" t="s">
        <v>40</v>
      </c>
      <c r="I982" s="7" t="s">
        <v>38</v>
      </c>
      <c r="J982">
        <v>0.36</v>
      </c>
      <c r="K982" s="148">
        <v>0.31819999999999998</v>
      </c>
      <c r="L982">
        <v>0.32</v>
      </c>
      <c r="M982" s="148">
        <v>0.4627</v>
      </c>
      <c r="N982">
        <v>58</v>
      </c>
      <c r="O982">
        <v>94</v>
      </c>
      <c r="P982">
        <v>152</v>
      </c>
    </row>
    <row r="983" spans="1:16">
      <c r="A983">
        <v>982</v>
      </c>
      <c r="B983" s="2">
        <v>40587</v>
      </c>
      <c r="C983">
        <v>1</v>
      </c>
      <c r="D983" t="s">
        <v>17</v>
      </c>
      <c r="E983" s="6" t="s">
        <v>19</v>
      </c>
      <c r="F983" s="151">
        <v>40.875</v>
      </c>
      <c r="G983" s="7" t="s">
        <v>36</v>
      </c>
      <c r="H983" s="7" t="s">
        <v>40</v>
      </c>
      <c r="I983" s="7" t="s">
        <v>38</v>
      </c>
      <c r="J983">
        <v>0.38</v>
      </c>
      <c r="K983" s="148">
        <v>0.39389999999999997</v>
      </c>
      <c r="L983">
        <v>0.28999999999999998</v>
      </c>
      <c r="M983" s="148">
        <v>0.35820000000000002</v>
      </c>
      <c r="N983">
        <v>62</v>
      </c>
      <c r="O983">
        <v>92</v>
      </c>
      <c r="P983">
        <v>154</v>
      </c>
    </row>
    <row r="984" spans="1:16">
      <c r="A984">
        <v>983</v>
      </c>
      <c r="B984" s="2">
        <v>40587</v>
      </c>
      <c r="C984">
        <v>1</v>
      </c>
      <c r="D984" t="s">
        <v>17</v>
      </c>
      <c r="E984" s="6" t="s">
        <v>19</v>
      </c>
      <c r="F984" s="151">
        <v>40.916666666666657</v>
      </c>
      <c r="G984" s="7" t="s">
        <v>36</v>
      </c>
      <c r="H984" s="7" t="s">
        <v>40</v>
      </c>
      <c r="I984" s="7" t="s">
        <v>39</v>
      </c>
      <c r="J984">
        <v>0.4</v>
      </c>
      <c r="K984" s="148">
        <v>0.40910000000000002</v>
      </c>
      <c r="L984">
        <v>0.3</v>
      </c>
      <c r="M984" s="148">
        <v>0.41789999999999999</v>
      </c>
      <c r="N984">
        <v>51</v>
      </c>
      <c r="O984">
        <v>110</v>
      </c>
      <c r="P984">
        <v>161</v>
      </c>
    </row>
    <row r="985" spans="1:16">
      <c r="A985">
        <v>984</v>
      </c>
      <c r="B985" s="2">
        <v>40587</v>
      </c>
      <c r="C985">
        <v>1</v>
      </c>
      <c r="D985" t="s">
        <v>17</v>
      </c>
      <c r="E985" s="6" t="s">
        <v>19</v>
      </c>
      <c r="F985" s="151">
        <v>40.958333333333343</v>
      </c>
      <c r="G985" s="7" t="s">
        <v>36</v>
      </c>
      <c r="H985" s="7" t="s">
        <v>40</v>
      </c>
      <c r="I985" s="7" t="s">
        <v>39</v>
      </c>
      <c r="J985">
        <v>0.4</v>
      </c>
      <c r="K985" s="148">
        <v>0.40910000000000002</v>
      </c>
      <c r="L985">
        <v>0.3</v>
      </c>
      <c r="M985" s="148">
        <v>0.29849999999999999</v>
      </c>
      <c r="N985">
        <v>40</v>
      </c>
      <c r="O985">
        <v>122</v>
      </c>
      <c r="P985">
        <v>162</v>
      </c>
    </row>
    <row r="986" spans="1:16">
      <c r="A986">
        <v>985</v>
      </c>
      <c r="B986" s="2">
        <v>40587</v>
      </c>
      <c r="C986">
        <v>1</v>
      </c>
      <c r="D986" t="s">
        <v>17</v>
      </c>
      <c r="E986" s="6" t="s">
        <v>19</v>
      </c>
      <c r="F986" s="151">
        <v>41</v>
      </c>
      <c r="G986" s="7" t="s">
        <v>36</v>
      </c>
      <c r="H986" s="7" t="s">
        <v>40</v>
      </c>
      <c r="I986" s="7" t="s">
        <v>39</v>
      </c>
      <c r="J986">
        <v>0.42</v>
      </c>
      <c r="K986" s="148">
        <v>0.42420000000000002</v>
      </c>
      <c r="L986">
        <v>0.28000000000000003</v>
      </c>
      <c r="M986" s="148">
        <v>0.32840000000000003</v>
      </c>
      <c r="N986">
        <v>28</v>
      </c>
      <c r="O986">
        <v>106</v>
      </c>
      <c r="P986">
        <v>134</v>
      </c>
    </row>
    <row r="987" spans="1:16">
      <c r="A987">
        <v>986</v>
      </c>
      <c r="B987" s="2">
        <v>40587</v>
      </c>
      <c r="C987">
        <v>1</v>
      </c>
      <c r="D987" t="s">
        <v>17</v>
      </c>
      <c r="E987" s="6" t="s">
        <v>19</v>
      </c>
      <c r="F987" s="151">
        <v>41.041666666666657</v>
      </c>
      <c r="G987" s="7" t="s">
        <v>36</v>
      </c>
      <c r="H987" s="7" t="s">
        <v>40</v>
      </c>
      <c r="I987" s="7" t="s">
        <v>38</v>
      </c>
      <c r="J987">
        <v>0.42</v>
      </c>
      <c r="K987" s="148">
        <v>0.42420000000000002</v>
      </c>
      <c r="L987">
        <v>0.28000000000000003</v>
      </c>
      <c r="M987" s="148">
        <v>0.32840000000000003</v>
      </c>
      <c r="N987">
        <v>30</v>
      </c>
      <c r="O987">
        <v>95</v>
      </c>
      <c r="P987">
        <v>125</v>
      </c>
    </row>
    <row r="988" spans="1:16">
      <c r="A988">
        <v>987</v>
      </c>
      <c r="B988" s="2">
        <v>40587</v>
      </c>
      <c r="C988">
        <v>1</v>
      </c>
      <c r="D988" t="s">
        <v>17</v>
      </c>
      <c r="E988" s="6" t="s">
        <v>19</v>
      </c>
      <c r="F988" s="151">
        <v>41.083333333333343</v>
      </c>
      <c r="G988" s="7" t="s">
        <v>36</v>
      </c>
      <c r="H988" s="7" t="s">
        <v>40</v>
      </c>
      <c r="I988" s="7" t="s">
        <v>38</v>
      </c>
      <c r="J988">
        <v>0.4</v>
      </c>
      <c r="K988" s="148">
        <v>0.40910000000000002</v>
      </c>
      <c r="L988">
        <v>0.32</v>
      </c>
      <c r="M988" s="148">
        <v>0.29849999999999999</v>
      </c>
      <c r="N988">
        <v>17</v>
      </c>
      <c r="O988">
        <v>78</v>
      </c>
      <c r="P988">
        <v>95</v>
      </c>
    </row>
    <row r="989" spans="1:16">
      <c r="A989">
        <v>988</v>
      </c>
      <c r="B989" s="2">
        <v>40587</v>
      </c>
      <c r="C989">
        <v>1</v>
      </c>
      <c r="D989" t="s">
        <v>17</v>
      </c>
      <c r="E989" s="6" t="s">
        <v>19</v>
      </c>
      <c r="F989" s="151">
        <v>41.125</v>
      </c>
      <c r="G989" s="7" t="s">
        <v>36</v>
      </c>
      <c r="H989" s="7" t="s">
        <v>40</v>
      </c>
      <c r="I989" s="7" t="s">
        <v>38</v>
      </c>
      <c r="J989">
        <v>0.4</v>
      </c>
      <c r="K989" s="148">
        <v>0.40910000000000002</v>
      </c>
      <c r="L989">
        <v>0.35</v>
      </c>
      <c r="M989" s="148">
        <v>0.28360000000000002</v>
      </c>
      <c r="N989">
        <v>11</v>
      </c>
      <c r="O989">
        <v>50</v>
      </c>
      <c r="P989">
        <v>61</v>
      </c>
    </row>
    <row r="990" spans="1:16">
      <c r="A990">
        <v>989</v>
      </c>
      <c r="B990" s="2">
        <v>40587</v>
      </c>
      <c r="C990">
        <v>1</v>
      </c>
      <c r="D990" t="s">
        <v>17</v>
      </c>
      <c r="E990" s="6" t="s">
        <v>19</v>
      </c>
      <c r="F990" s="151">
        <v>41.166666666666657</v>
      </c>
      <c r="G990" s="7" t="s">
        <v>36</v>
      </c>
      <c r="H990" s="7" t="s">
        <v>40</v>
      </c>
      <c r="I990" s="7" t="s">
        <v>38</v>
      </c>
      <c r="J990">
        <v>0.4</v>
      </c>
      <c r="K990" s="148">
        <v>0.40910000000000002</v>
      </c>
      <c r="L990">
        <v>0.35</v>
      </c>
      <c r="M990" s="148">
        <v>0.32840000000000003</v>
      </c>
      <c r="N990">
        <v>15</v>
      </c>
      <c r="O990">
        <v>32</v>
      </c>
      <c r="P990">
        <v>47</v>
      </c>
    </row>
    <row r="991" spans="1:16">
      <c r="A991">
        <v>990</v>
      </c>
      <c r="B991" s="2">
        <v>40587</v>
      </c>
      <c r="C991">
        <v>1</v>
      </c>
      <c r="D991" t="s">
        <v>17</v>
      </c>
      <c r="E991" s="6" t="s">
        <v>19</v>
      </c>
      <c r="F991" s="151">
        <v>41.208333333333343</v>
      </c>
      <c r="G991" s="7" t="s">
        <v>36</v>
      </c>
      <c r="H991" s="7" t="s">
        <v>40</v>
      </c>
      <c r="I991" s="7" t="s">
        <v>38</v>
      </c>
      <c r="J991">
        <v>0.4</v>
      </c>
      <c r="K991" s="148">
        <v>0.40910000000000002</v>
      </c>
      <c r="L991">
        <v>0.35</v>
      </c>
      <c r="M991" s="148">
        <v>0.35820000000000002</v>
      </c>
      <c r="N991">
        <v>6</v>
      </c>
      <c r="O991">
        <v>45</v>
      </c>
      <c r="P991">
        <v>51</v>
      </c>
    </row>
    <row r="992" spans="1:16">
      <c r="A992">
        <v>991</v>
      </c>
      <c r="B992" s="2">
        <v>40587</v>
      </c>
      <c r="C992">
        <v>1</v>
      </c>
      <c r="D992" t="s">
        <v>17</v>
      </c>
      <c r="E992" s="6" t="s">
        <v>19</v>
      </c>
      <c r="F992" s="151">
        <v>41.25</v>
      </c>
      <c r="G992" s="7" t="s">
        <v>36</v>
      </c>
      <c r="H992" s="7" t="s">
        <v>40</v>
      </c>
      <c r="I992" s="7" t="s">
        <v>38</v>
      </c>
      <c r="J992">
        <v>0.4</v>
      </c>
      <c r="K992" s="148">
        <v>0.40910000000000002</v>
      </c>
      <c r="L992">
        <v>0.35</v>
      </c>
      <c r="M992" s="148">
        <v>0.29849999999999999</v>
      </c>
      <c r="N992">
        <v>5</v>
      </c>
      <c r="O992">
        <v>31</v>
      </c>
      <c r="P992">
        <v>36</v>
      </c>
    </row>
    <row r="993" spans="1:16">
      <c r="A993">
        <v>992</v>
      </c>
      <c r="B993" s="2">
        <v>40587</v>
      </c>
      <c r="C993">
        <v>1</v>
      </c>
      <c r="D993" t="s">
        <v>17</v>
      </c>
      <c r="E993" s="6" t="s">
        <v>19</v>
      </c>
      <c r="F993" s="151">
        <v>41.291666666666657</v>
      </c>
      <c r="G993" s="7" t="s">
        <v>36</v>
      </c>
      <c r="H993" s="7" t="s">
        <v>40</v>
      </c>
      <c r="I993" s="7" t="s">
        <v>38</v>
      </c>
      <c r="J993">
        <v>0.4</v>
      </c>
      <c r="K993" s="148">
        <v>0.40910000000000002</v>
      </c>
      <c r="L993">
        <v>0.35</v>
      </c>
      <c r="M993" s="148">
        <v>0.35820000000000002</v>
      </c>
      <c r="N993">
        <v>3</v>
      </c>
      <c r="O993">
        <v>27</v>
      </c>
      <c r="P993">
        <v>30</v>
      </c>
    </row>
    <row r="994" spans="1:16">
      <c r="A994">
        <v>993</v>
      </c>
      <c r="B994" s="2">
        <v>40588</v>
      </c>
      <c r="C994">
        <v>1</v>
      </c>
      <c r="D994" t="s">
        <v>17</v>
      </c>
      <c r="E994" s="6" t="s">
        <v>19</v>
      </c>
      <c r="F994" s="151">
        <v>41.333333333333343</v>
      </c>
      <c r="G994" s="7" t="s">
        <v>36</v>
      </c>
      <c r="H994" s="7" t="s">
        <v>41</v>
      </c>
      <c r="I994" s="7" t="s">
        <v>38</v>
      </c>
      <c r="J994">
        <v>0.38</v>
      </c>
      <c r="K994" s="148">
        <v>0.39389999999999997</v>
      </c>
      <c r="L994">
        <v>0.37</v>
      </c>
      <c r="M994" s="148">
        <v>0.35820000000000002</v>
      </c>
      <c r="N994">
        <v>3</v>
      </c>
      <c r="O994">
        <v>8</v>
      </c>
      <c r="P994">
        <v>11</v>
      </c>
    </row>
    <row r="995" spans="1:16">
      <c r="A995">
        <v>994</v>
      </c>
      <c r="B995" s="2">
        <v>40588</v>
      </c>
      <c r="C995">
        <v>1</v>
      </c>
      <c r="D995" t="s">
        <v>17</v>
      </c>
      <c r="E995" s="6" t="s">
        <v>19</v>
      </c>
      <c r="F995" s="151">
        <v>41.375</v>
      </c>
      <c r="G995" s="7" t="s">
        <v>36</v>
      </c>
      <c r="H995" s="7" t="s">
        <v>41</v>
      </c>
      <c r="I995" s="7" t="s">
        <v>38</v>
      </c>
      <c r="J995">
        <v>0.38</v>
      </c>
      <c r="K995" s="148">
        <v>0.39389999999999997</v>
      </c>
      <c r="L995">
        <v>0.37</v>
      </c>
      <c r="M995" s="148">
        <v>0.35820000000000002</v>
      </c>
      <c r="N995">
        <v>1</v>
      </c>
      <c r="O995">
        <v>6</v>
      </c>
      <c r="P995">
        <v>7</v>
      </c>
    </row>
    <row r="996" spans="1:16">
      <c r="A996">
        <v>995</v>
      </c>
      <c r="B996" s="2">
        <v>40588</v>
      </c>
      <c r="C996">
        <v>1</v>
      </c>
      <c r="D996" t="s">
        <v>17</v>
      </c>
      <c r="E996" s="6" t="s">
        <v>19</v>
      </c>
      <c r="F996" s="151">
        <v>41.416666666666657</v>
      </c>
      <c r="G996" s="7" t="s">
        <v>36</v>
      </c>
      <c r="H996" s="7" t="s">
        <v>41</v>
      </c>
      <c r="I996" s="7" t="s">
        <v>38</v>
      </c>
      <c r="J996">
        <v>0.36</v>
      </c>
      <c r="K996" s="148">
        <v>0.33329999999999999</v>
      </c>
      <c r="L996">
        <v>0.4</v>
      </c>
      <c r="M996" s="148">
        <v>0.29849999999999999</v>
      </c>
      <c r="N996">
        <v>0</v>
      </c>
      <c r="O996">
        <v>2</v>
      </c>
      <c r="P996">
        <v>2</v>
      </c>
    </row>
    <row r="997" spans="1:16">
      <c r="A997">
        <v>996</v>
      </c>
      <c r="B997" s="2">
        <v>40588</v>
      </c>
      <c r="C997">
        <v>1</v>
      </c>
      <c r="D997" t="s">
        <v>17</v>
      </c>
      <c r="E997" s="6" t="s">
        <v>19</v>
      </c>
      <c r="F997" s="151">
        <v>41.458333333333343</v>
      </c>
      <c r="G997" s="7" t="s">
        <v>36</v>
      </c>
      <c r="H997" s="7" t="s">
        <v>41</v>
      </c>
      <c r="I997" s="7" t="s">
        <v>38</v>
      </c>
      <c r="J997">
        <v>0.34</v>
      </c>
      <c r="K997" s="148">
        <v>0.31819999999999998</v>
      </c>
      <c r="L997">
        <v>0.46</v>
      </c>
      <c r="M997" s="148">
        <v>0.22389999999999999</v>
      </c>
      <c r="N997">
        <v>1</v>
      </c>
      <c r="O997">
        <v>1</v>
      </c>
      <c r="P997">
        <v>2</v>
      </c>
    </row>
    <row r="998" spans="1:16">
      <c r="A998">
        <v>997</v>
      </c>
      <c r="B998" s="2">
        <v>40588</v>
      </c>
      <c r="C998">
        <v>1</v>
      </c>
      <c r="D998" t="s">
        <v>17</v>
      </c>
      <c r="E998" s="6" t="s">
        <v>19</v>
      </c>
      <c r="F998" s="151">
        <v>41.5</v>
      </c>
      <c r="G998" s="7" t="s">
        <v>36</v>
      </c>
      <c r="H998" s="7" t="s">
        <v>41</v>
      </c>
      <c r="I998" s="7" t="s">
        <v>38</v>
      </c>
      <c r="J998">
        <v>0.32</v>
      </c>
      <c r="K998" s="148">
        <v>0.30299999999999999</v>
      </c>
      <c r="L998">
        <v>0.53</v>
      </c>
      <c r="M998" s="148">
        <v>0.28360000000000002</v>
      </c>
      <c r="N998">
        <v>0</v>
      </c>
      <c r="O998">
        <v>2</v>
      </c>
      <c r="P998">
        <v>2</v>
      </c>
    </row>
    <row r="999" spans="1:16">
      <c r="A999">
        <v>998</v>
      </c>
      <c r="B999" s="2">
        <v>40588</v>
      </c>
      <c r="C999">
        <v>1</v>
      </c>
      <c r="D999" t="s">
        <v>17</v>
      </c>
      <c r="E999" s="6" t="s">
        <v>19</v>
      </c>
      <c r="F999" s="151">
        <v>41.541666666666657</v>
      </c>
      <c r="G999" s="7" t="s">
        <v>36</v>
      </c>
      <c r="H999" s="7" t="s">
        <v>41</v>
      </c>
      <c r="I999" s="7" t="s">
        <v>38</v>
      </c>
      <c r="J999">
        <v>0.32</v>
      </c>
      <c r="K999" s="148">
        <v>0.30299999999999999</v>
      </c>
      <c r="L999">
        <v>0.53</v>
      </c>
      <c r="M999" s="148">
        <v>0.28360000000000002</v>
      </c>
      <c r="N999">
        <v>0</v>
      </c>
      <c r="O999">
        <v>3</v>
      </c>
      <c r="P999">
        <v>3</v>
      </c>
    </row>
    <row r="1000" spans="1:16">
      <c r="A1000">
        <v>999</v>
      </c>
      <c r="B1000" s="2">
        <v>40588</v>
      </c>
      <c r="C1000">
        <v>1</v>
      </c>
      <c r="D1000" t="s">
        <v>17</v>
      </c>
      <c r="E1000" s="6" t="s">
        <v>19</v>
      </c>
      <c r="F1000" s="151">
        <v>41.583333333333343</v>
      </c>
      <c r="G1000" s="7" t="s">
        <v>36</v>
      </c>
      <c r="H1000" s="7" t="s">
        <v>41</v>
      </c>
      <c r="I1000" s="7" t="s">
        <v>38</v>
      </c>
      <c r="J1000">
        <v>0.34</v>
      </c>
      <c r="K1000" s="148">
        <v>0.30299999999999999</v>
      </c>
      <c r="L1000">
        <v>0.46</v>
      </c>
      <c r="M1000" s="148">
        <v>0.29849999999999999</v>
      </c>
      <c r="N1000">
        <v>1</v>
      </c>
      <c r="O1000">
        <v>25</v>
      </c>
      <c r="P1000">
        <v>26</v>
      </c>
    </row>
    <row r="1001" spans="1:16">
      <c r="A1001">
        <v>1000</v>
      </c>
      <c r="B1001" s="2">
        <v>40588</v>
      </c>
      <c r="C1001">
        <v>1</v>
      </c>
      <c r="D1001" t="s">
        <v>17</v>
      </c>
      <c r="E1001" s="6" t="s">
        <v>19</v>
      </c>
      <c r="F1001" s="151">
        <v>41.625</v>
      </c>
      <c r="G1001" s="7" t="s">
        <v>36</v>
      </c>
      <c r="H1001" s="7" t="s">
        <v>41</v>
      </c>
      <c r="I1001" s="7" t="s">
        <v>38</v>
      </c>
      <c r="J1001">
        <v>0.34</v>
      </c>
      <c r="K1001" s="148">
        <v>0.30299999999999999</v>
      </c>
      <c r="L1001">
        <v>0.46</v>
      </c>
      <c r="M1001" s="148">
        <v>0.29849999999999999</v>
      </c>
      <c r="N1001">
        <v>2</v>
      </c>
      <c r="O1001">
        <v>96</v>
      </c>
      <c r="P1001">
        <v>98</v>
      </c>
    </row>
  </sheetData>
  <sortState ref="Z74:AC76">
    <sortCondition descending="1" ref="Z75"/>
  </sortState>
  <dataConsolidate/>
  <mergeCells count="23">
    <mergeCell ref="AE4:AF4"/>
    <mergeCell ref="AM42:AN42"/>
    <mergeCell ref="AD7:AG8"/>
    <mergeCell ref="AD19:AG19"/>
    <mergeCell ref="W1:AA1"/>
    <mergeCell ref="Z6:AA6"/>
    <mergeCell ref="Z19:AA19"/>
    <mergeCell ref="T8:W8"/>
    <mergeCell ref="Z4:AA4"/>
    <mergeCell ref="AP5:AQ5"/>
    <mergeCell ref="AP7:AQ7"/>
    <mergeCell ref="Y44:AA44"/>
    <mergeCell ref="AE44:AG44"/>
    <mergeCell ref="T72:W72"/>
    <mergeCell ref="Z72:AC72"/>
    <mergeCell ref="T45:V45"/>
    <mergeCell ref="AE45:AG45"/>
    <mergeCell ref="U22:V22"/>
    <mergeCell ref="W38:AC38"/>
    <mergeCell ref="AN18:AO18"/>
    <mergeCell ref="AL44:AO44"/>
    <mergeCell ref="AK19:AL19"/>
    <mergeCell ref="AK21:AL21"/>
  </mergeCells>
  <conditionalFormatting sqref="P1">
    <cfRule type="colorScale" priority="14">
      <colorScale>
        <cfvo type="min"/>
        <cfvo type="percentile" val="50"/>
        <cfvo type="max"/>
        <color rgb="FFF8696B"/>
        <color rgb="FFFFEB84"/>
        <color rgb="FF63BE7B"/>
      </colorScale>
    </cfRule>
  </conditionalFormatting>
  <conditionalFormatting sqref="T15:T18">
    <cfRule type="iconSet" priority="12">
      <iconSet iconSet="3Signs">
        <cfvo type="percent" val="0"/>
        <cfvo type="percent" val="33"/>
        <cfvo type="percent" val="67"/>
      </iconSet>
    </cfRule>
  </conditionalFormatting>
  <conditionalFormatting sqref="Z7:AA11">
    <cfRule type="dataBar" priority="11">
      <dataBar>
        <cfvo type="min"/>
        <cfvo type="max"/>
        <color rgb="FF638EC6"/>
      </dataBar>
      <extLst>
        <ext xmlns:x14="http://schemas.microsoft.com/office/spreadsheetml/2009/9/main" uri="{B025F937-C7B1-47D3-B67F-A62EFF666E3E}">
          <x14:id>{EF15A5DD-8903-4613-B502-85FF9270D6C3}</x14:id>
        </ext>
      </extLst>
    </cfRule>
  </conditionalFormatting>
  <conditionalFormatting sqref="P1002:P1048576 P1">
    <cfRule type="dataBar" priority="10">
      <dataBar>
        <cfvo type="min"/>
        <cfvo type="max"/>
        <color rgb="FFFFB628"/>
      </dataBar>
      <extLst>
        <ext xmlns:x14="http://schemas.microsoft.com/office/spreadsheetml/2009/9/main" uri="{B025F937-C7B1-47D3-B67F-A62EFF666E3E}">
          <x14:id>{D0EB6880-7771-41B6-B615-AF4DFF0E3591}</x14:id>
        </ext>
      </extLst>
    </cfRule>
  </conditionalFormatting>
  <conditionalFormatting sqref="H2:H1001">
    <cfRule type="colorScale" priority="9">
      <colorScale>
        <cfvo type="min"/>
        <cfvo type="percentile" val="50"/>
        <cfvo type="max"/>
        <color rgb="FFF8696B"/>
        <color rgb="FFFFEB84"/>
        <color rgb="FF63BE7B"/>
      </colorScale>
    </cfRule>
  </conditionalFormatting>
  <conditionalFormatting sqref="AA74:AC76">
    <cfRule type="iconSet" priority="8">
      <iconSet iconSet="3Arrows">
        <cfvo type="percent" val="0"/>
        <cfvo type="percent" val="33"/>
        <cfvo type="percent" val="67"/>
      </iconSet>
    </cfRule>
  </conditionalFormatting>
  <conditionalFormatting sqref="AK22:AL24">
    <cfRule type="dataBar" priority="7">
      <dataBar>
        <cfvo type="min"/>
        <cfvo type="max"/>
        <color rgb="FF638EC6"/>
      </dataBar>
      <extLst>
        <ext xmlns:x14="http://schemas.microsoft.com/office/spreadsheetml/2009/9/main" uri="{B025F937-C7B1-47D3-B67F-A62EFF666E3E}">
          <x14:id>{E2C47A47-0C30-4079-89DB-5D8DB160D900}</x14:id>
        </ext>
      </extLst>
    </cfRule>
  </conditionalFormatting>
  <conditionalFormatting sqref="AP8:AQ10">
    <cfRule type="dataBar" priority="6">
      <dataBar>
        <cfvo type="min"/>
        <cfvo type="max"/>
        <color rgb="FF638EC6"/>
      </dataBar>
      <extLst>
        <ext xmlns:x14="http://schemas.microsoft.com/office/spreadsheetml/2009/9/main" uri="{B025F937-C7B1-47D3-B67F-A62EFF666E3E}">
          <x14:id>{9A070883-C0D4-49A6-B4C2-DD5BAF4045F5}</x14:id>
        </ext>
      </extLst>
    </cfRule>
  </conditionalFormatting>
  <conditionalFormatting sqref="AN21:AO23">
    <cfRule type="dataBar" priority="5">
      <dataBar>
        <cfvo type="min"/>
        <cfvo type="max"/>
        <color rgb="FF638EC6"/>
      </dataBar>
      <extLst>
        <ext xmlns:x14="http://schemas.microsoft.com/office/spreadsheetml/2009/9/main" uri="{B025F937-C7B1-47D3-B67F-A62EFF666E3E}">
          <x14:id>{67210714-2F00-493D-BCA4-3DB1AA44E6AE}</x14:id>
        </ext>
      </extLst>
    </cfRule>
  </conditionalFormatting>
  <conditionalFormatting sqref="AP22:AQ23">
    <cfRule type="dataBar" priority="4">
      <dataBar>
        <cfvo type="min"/>
        <cfvo type="max"/>
        <color rgb="FF638EC6"/>
      </dataBar>
      <extLst>
        <ext xmlns:x14="http://schemas.microsoft.com/office/spreadsheetml/2009/9/main" uri="{B025F937-C7B1-47D3-B67F-A62EFF666E3E}">
          <x14:id>{A0C88F92-BEA7-4BB8-BF78-468E3BB93022}</x14:id>
        </ext>
      </extLst>
    </cfRule>
  </conditionalFormatting>
  <conditionalFormatting sqref="P1:P1001">
    <cfRule type="colorScale" priority="3">
      <colorScale>
        <cfvo type="min"/>
        <cfvo type="percentile" val="50"/>
        <cfvo type="max"/>
        <color rgb="FFF8696B"/>
        <color rgb="FFFFEB84"/>
        <color rgb="FF63BE7B"/>
      </colorScale>
    </cfRule>
  </conditionalFormatting>
  <conditionalFormatting sqref="O1:O1048576">
    <cfRule type="dataBar" priority="2">
      <dataBar>
        <cfvo type="min"/>
        <cfvo type="max"/>
        <color rgb="FF63C384"/>
      </dataBar>
      <extLst>
        <ext xmlns:x14="http://schemas.microsoft.com/office/spreadsheetml/2009/9/main" uri="{B025F937-C7B1-47D3-B67F-A62EFF666E3E}">
          <x14:id>{9E556E17-64B4-4095-A206-7BE80C53F507}</x14:id>
        </ext>
      </extLst>
    </cfRule>
  </conditionalFormatting>
  <conditionalFormatting sqref="N2:N1001">
    <cfRule type="dataBar" priority="1">
      <dataBar>
        <cfvo type="min"/>
        <cfvo type="max"/>
        <color rgb="FF638EC6"/>
      </dataBar>
      <extLst>
        <ext xmlns:x14="http://schemas.microsoft.com/office/spreadsheetml/2009/9/main" uri="{B025F937-C7B1-47D3-B67F-A62EFF666E3E}">
          <x14:id>{78C732F0-B4E2-45BB-B39D-865FE0B36D40}</x14:id>
        </ext>
      </extLst>
    </cfRule>
  </conditionalFormatting>
  <pageMargins left="0.7" right="0.7" top="0.75" bottom="0.75" header="0.3" footer="0.3"/>
  <pageSetup orientation="portrait" r:id="rId1"/>
  <colBreaks count="1" manualBreakCount="1">
    <brk id="2" max="1048575" man="1"/>
  </colBreaks>
  <drawing r:id="rId2"/>
  <tableParts count="2">
    <tablePart r:id="rId3"/>
    <tablePart r:id="rId4"/>
  </tableParts>
  <extLst>
    <ext xmlns:x14="http://schemas.microsoft.com/office/spreadsheetml/2009/9/main" uri="{78C0D931-6437-407d-A8EE-F0AAD7539E65}">
      <x14:conditionalFormattings>
        <x14:conditionalFormatting xmlns:xm="http://schemas.microsoft.com/office/excel/2006/main">
          <x14:cfRule type="dataBar" id="{EF15A5DD-8903-4613-B502-85FF9270D6C3}">
            <x14:dataBar minLength="0" maxLength="100" border="1" negativeBarBorderColorSameAsPositive="0">
              <x14:cfvo type="autoMin"/>
              <x14:cfvo type="autoMax"/>
              <x14:borderColor rgb="FF638EC6"/>
              <x14:negativeFillColor rgb="FFFF0000"/>
              <x14:negativeBorderColor rgb="FFFF0000"/>
              <x14:axisColor rgb="FF000000"/>
            </x14:dataBar>
          </x14:cfRule>
          <xm:sqref>Z7:AA11</xm:sqref>
        </x14:conditionalFormatting>
        <x14:conditionalFormatting xmlns:xm="http://schemas.microsoft.com/office/excel/2006/main">
          <x14:cfRule type="dataBar" id="{D0EB6880-7771-41B6-B615-AF4DFF0E3591}">
            <x14:dataBar minLength="0" maxLength="100" border="1" negativeBarBorderColorSameAsPositive="0">
              <x14:cfvo type="autoMin"/>
              <x14:cfvo type="autoMax"/>
              <x14:borderColor rgb="FFFFB628"/>
              <x14:negativeFillColor rgb="FFFF0000"/>
              <x14:negativeBorderColor rgb="FFFF0000"/>
              <x14:axisColor rgb="FF000000"/>
            </x14:dataBar>
          </x14:cfRule>
          <xm:sqref>P1002:P1048576 P1</xm:sqref>
        </x14:conditionalFormatting>
        <x14:conditionalFormatting xmlns:xm="http://schemas.microsoft.com/office/excel/2006/main">
          <x14:cfRule type="dataBar" id="{E2C47A47-0C30-4079-89DB-5D8DB160D900}">
            <x14:dataBar minLength="0" maxLength="100" border="1" negativeBarBorderColorSameAsPositive="0">
              <x14:cfvo type="autoMin"/>
              <x14:cfvo type="autoMax"/>
              <x14:borderColor rgb="FF638EC6"/>
              <x14:negativeFillColor rgb="FFFF0000"/>
              <x14:negativeBorderColor rgb="FFFF0000"/>
              <x14:axisColor rgb="FF000000"/>
            </x14:dataBar>
          </x14:cfRule>
          <xm:sqref>AK22:AL24</xm:sqref>
        </x14:conditionalFormatting>
        <x14:conditionalFormatting xmlns:xm="http://schemas.microsoft.com/office/excel/2006/main">
          <x14:cfRule type="dataBar" id="{9A070883-C0D4-49A6-B4C2-DD5BAF4045F5}">
            <x14:dataBar minLength="0" maxLength="100" border="1" negativeBarBorderColorSameAsPositive="0">
              <x14:cfvo type="autoMin"/>
              <x14:cfvo type="autoMax"/>
              <x14:borderColor rgb="FF638EC6"/>
              <x14:negativeFillColor rgb="FFFF0000"/>
              <x14:negativeBorderColor rgb="FFFF0000"/>
              <x14:axisColor rgb="FF000000"/>
            </x14:dataBar>
          </x14:cfRule>
          <xm:sqref>AP8:AQ10</xm:sqref>
        </x14:conditionalFormatting>
        <x14:conditionalFormatting xmlns:xm="http://schemas.microsoft.com/office/excel/2006/main">
          <x14:cfRule type="dataBar" id="{67210714-2F00-493D-BCA4-3DB1AA44E6AE}">
            <x14:dataBar minLength="0" maxLength="100" border="1" negativeBarBorderColorSameAsPositive="0">
              <x14:cfvo type="autoMin"/>
              <x14:cfvo type="autoMax"/>
              <x14:borderColor rgb="FF638EC6"/>
              <x14:negativeFillColor rgb="FFFF0000"/>
              <x14:negativeBorderColor rgb="FFFF0000"/>
              <x14:axisColor rgb="FF000000"/>
            </x14:dataBar>
          </x14:cfRule>
          <xm:sqref>AN21:AO23</xm:sqref>
        </x14:conditionalFormatting>
        <x14:conditionalFormatting xmlns:xm="http://schemas.microsoft.com/office/excel/2006/main">
          <x14:cfRule type="dataBar" id="{A0C88F92-BEA7-4BB8-BF78-468E3BB93022}">
            <x14:dataBar minLength="0" maxLength="100" border="1" negativeBarBorderColorSameAsPositive="0">
              <x14:cfvo type="autoMin"/>
              <x14:cfvo type="autoMax"/>
              <x14:borderColor rgb="FF638EC6"/>
              <x14:negativeFillColor rgb="FFFF0000"/>
              <x14:negativeBorderColor rgb="FFFF0000"/>
              <x14:axisColor rgb="FF000000"/>
            </x14:dataBar>
          </x14:cfRule>
          <xm:sqref>AP22:AQ23</xm:sqref>
        </x14:conditionalFormatting>
        <x14:conditionalFormatting xmlns:xm="http://schemas.microsoft.com/office/excel/2006/main">
          <x14:cfRule type="dataBar" id="{9E556E17-64B4-4095-A206-7BE80C53F507}">
            <x14:dataBar minLength="0" maxLength="100" gradient="0">
              <x14:cfvo type="autoMin"/>
              <x14:cfvo type="autoMax"/>
              <x14:negativeFillColor rgb="FFFF0000"/>
              <x14:axisColor rgb="FF000000"/>
            </x14:dataBar>
          </x14:cfRule>
          <xm:sqref>O1:O1048576</xm:sqref>
        </x14:conditionalFormatting>
        <x14:conditionalFormatting xmlns:xm="http://schemas.microsoft.com/office/excel/2006/main">
          <x14:cfRule type="dataBar" id="{78C732F0-B4E2-45BB-B39D-865FE0B36D40}">
            <x14:dataBar minLength="0" maxLength="100" gradient="0">
              <x14:cfvo type="autoMin"/>
              <x14:cfvo type="autoMax"/>
              <x14:negativeFillColor rgb="FFFF0000"/>
              <x14:axisColor rgb="FF000000"/>
            </x14:dataBar>
          </x14:cfRule>
          <xm:sqref>N2:N1001</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140CE-E836-4F04-93AA-943FC7F0A8A3}">
  <dimension ref="A1:Q1065"/>
  <sheetViews>
    <sheetView topLeftCell="A5" workbookViewId="0">
      <selection activeCell="A24" sqref="A24"/>
    </sheetView>
  </sheetViews>
  <sheetFormatPr defaultRowHeight="14.4"/>
  <cols>
    <col min="1" max="1" width="10.77734375" bestFit="1" customWidth="1"/>
    <col min="2" max="2" width="25.109375" bestFit="1" customWidth="1"/>
    <col min="3" max="3" width="28.21875" bestFit="1" customWidth="1"/>
    <col min="4" max="4" width="12.88671875" bestFit="1" customWidth="1"/>
    <col min="5" max="5" width="25.109375" bestFit="1" customWidth="1"/>
    <col min="6" max="6" width="12.88671875" bestFit="1" customWidth="1"/>
    <col min="7" max="7" width="17" customWidth="1"/>
    <col min="8" max="8" width="6" bestFit="1" customWidth="1"/>
    <col min="9" max="9" width="10.77734375" bestFit="1" customWidth="1"/>
    <col min="11" max="11" width="17.6640625" bestFit="1" customWidth="1"/>
    <col min="12" max="12" width="28.21875" bestFit="1" customWidth="1"/>
    <col min="13" max="13" width="25.109375" bestFit="1" customWidth="1"/>
    <col min="14" max="14" width="12.88671875" bestFit="1" customWidth="1"/>
  </cols>
  <sheetData>
    <row r="1" spans="1:17" ht="21.6">
      <c r="E1" s="194" t="s">
        <v>48</v>
      </c>
      <c r="F1" s="195"/>
      <c r="G1" s="195"/>
      <c r="H1" s="195"/>
      <c r="I1" s="195"/>
      <c r="J1" s="195"/>
      <c r="K1" s="195"/>
      <c r="L1" s="195"/>
      <c r="M1" s="195"/>
      <c r="N1" s="195"/>
      <c r="O1" s="195"/>
      <c r="P1" s="195"/>
      <c r="Q1" s="195"/>
    </row>
    <row r="4" spans="1:17">
      <c r="B4" s="8" t="s">
        <v>49</v>
      </c>
      <c r="G4" s="8" t="s">
        <v>50</v>
      </c>
    </row>
    <row r="5" spans="1:17" ht="15" customHeight="1" thickBot="1"/>
    <row r="6" spans="1:17" ht="15" thickBot="1">
      <c r="A6" s="9"/>
      <c r="B6" s="24" t="s">
        <v>108</v>
      </c>
      <c r="C6" s="10"/>
      <c r="D6" s="11"/>
      <c r="E6" s="25"/>
      <c r="F6" s="23" t="s">
        <v>54</v>
      </c>
      <c r="G6" s="24" t="s">
        <v>55</v>
      </c>
      <c r="H6" s="10"/>
      <c r="I6" s="11"/>
      <c r="J6" s="25"/>
      <c r="K6" s="25"/>
      <c r="L6" s="26" t="s">
        <v>56</v>
      </c>
      <c r="M6" s="25"/>
      <c r="N6" s="25"/>
      <c r="O6" s="25"/>
      <c r="P6" s="25"/>
      <c r="Q6" s="25"/>
    </row>
    <row r="7" spans="1:17" ht="15" customHeight="1" thickBot="1">
      <c r="A7" s="28" t="s">
        <v>51</v>
      </c>
      <c r="B7" s="15" t="s">
        <v>52</v>
      </c>
      <c r="C7" s="16" t="s">
        <v>53</v>
      </c>
      <c r="D7" s="17" t="s">
        <v>54</v>
      </c>
      <c r="F7" s="27" t="s">
        <v>51</v>
      </c>
      <c r="G7" s="29" t="s">
        <v>18</v>
      </c>
      <c r="H7" s="29" t="s">
        <v>19</v>
      </c>
      <c r="I7" s="13" t="s">
        <v>57</v>
      </c>
      <c r="J7" s="25"/>
      <c r="K7" s="25"/>
      <c r="L7" s="25"/>
      <c r="M7" s="25"/>
      <c r="N7" s="25"/>
      <c r="O7" s="25"/>
      <c r="P7" s="25"/>
      <c r="Q7" s="25"/>
    </row>
    <row r="8" spans="1:17" ht="15" customHeight="1" thickBot="1">
      <c r="A8" s="18" t="s">
        <v>40</v>
      </c>
      <c r="B8" s="34">
        <v>1477</v>
      </c>
      <c r="C8" s="35">
        <v>6644</v>
      </c>
      <c r="D8" s="36">
        <v>8121</v>
      </c>
      <c r="F8" s="12" t="s">
        <v>40</v>
      </c>
      <c r="G8" s="30">
        <v>4909</v>
      </c>
      <c r="H8" s="30">
        <v>3212</v>
      </c>
      <c r="I8" s="31">
        <v>8121</v>
      </c>
      <c r="K8" s="9"/>
      <c r="L8" s="24" t="s">
        <v>108</v>
      </c>
      <c r="M8" s="10"/>
      <c r="N8" s="11"/>
      <c r="O8" s="25"/>
      <c r="P8" s="25"/>
      <c r="Q8" s="25"/>
    </row>
    <row r="9" spans="1:17" ht="15" thickBot="1">
      <c r="A9" s="19" t="s">
        <v>41</v>
      </c>
      <c r="B9" s="37">
        <v>534</v>
      </c>
      <c r="C9" s="30">
        <v>7916</v>
      </c>
      <c r="D9" s="31">
        <v>8450</v>
      </c>
      <c r="F9" s="12" t="s">
        <v>41</v>
      </c>
      <c r="G9" s="30">
        <v>6587</v>
      </c>
      <c r="H9" s="30">
        <v>1863</v>
      </c>
      <c r="I9" s="31">
        <v>8450</v>
      </c>
      <c r="K9" s="28" t="s">
        <v>58</v>
      </c>
      <c r="L9" s="15" t="s">
        <v>53</v>
      </c>
      <c r="M9" s="16" t="s">
        <v>52</v>
      </c>
      <c r="N9" s="17" t="s">
        <v>54</v>
      </c>
    </row>
    <row r="10" spans="1:17" ht="15" thickBot="1">
      <c r="A10" s="19" t="s">
        <v>42</v>
      </c>
      <c r="B10" s="37">
        <v>457</v>
      </c>
      <c r="C10" s="30">
        <v>7926</v>
      </c>
      <c r="D10" s="31">
        <v>8383</v>
      </c>
      <c r="F10" s="12" t="s">
        <v>42</v>
      </c>
      <c r="G10" s="30">
        <v>5493</v>
      </c>
      <c r="H10" s="30">
        <v>2890</v>
      </c>
      <c r="I10" s="31">
        <v>8383</v>
      </c>
      <c r="K10" s="21" t="s">
        <v>39</v>
      </c>
      <c r="L10" s="34">
        <v>16568</v>
      </c>
      <c r="M10" s="35">
        <v>1538</v>
      </c>
      <c r="N10" s="36">
        <v>18106</v>
      </c>
    </row>
    <row r="11" spans="1:17" ht="15" thickBot="1">
      <c r="A11" s="19" t="s">
        <v>46</v>
      </c>
      <c r="B11" s="37">
        <v>344</v>
      </c>
      <c r="C11" s="30">
        <v>7705</v>
      </c>
      <c r="D11" s="31">
        <v>8049</v>
      </c>
      <c r="F11" s="12" t="s">
        <v>46</v>
      </c>
      <c r="G11" s="30">
        <v>4918</v>
      </c>
      <c r="H11" s="30">
        <v>3131</v>
      </c>
      <c r="I11" s="31">
        <v>8049</v>
      </c>
      <c r="K11" s="21" t="s">
        <v>57</v>
      </c>
      <c r="L11" s="38">
        <v>16568</v>
      </c>
      <c r="M11" s="32">
        <v>1538</v>
      </c>
      <c r="N11" s="33">
        <v>18106</v>
      </c>
    </row>
    <row r="12" spans="1:17" ht="15" customHeight="1">
      <c r="A12" s="19" t="s">
        <v>44</v>
      </c>
      <c r="B12" s="37">
        <v>552</v>
      </c>
      <c r="C12" s="30">
        <v>8543</v>
      </c>
      <c r="D12" s="31">
        <v>9095</v>
      </c>
      <c r="F12" s="12" t="s">
        <v>44</v>
      </c>
      <c r="G12" s="30">
        <v>5641</v>
      </c>
      <c r="H12" s="30">
        <v>3454</v>
      </c>
      <c r="I12" s="31">
        <v>9095</v>
      </c>
    </row>
    <row r="13" spans="1:17" ht="15" customHeight="1" thickBot="1">
      <c r="A13" s="19" t="s">
        <v>37</v>
      </c>
      <c r="B13" s="37">
        <v>1225</v>
      </c>
      <c r="C13" s="30">
        <v>6523</v>
      </c>
      <c r="D13" s="31">
        <v>7748</v>
      </c>
      <c r="F13" s="12" t="s">
        <v>37</v>
      </c>
      <c r="G13" s="30">
        <v>5231</v>
      </c>
      <c r="H13" s="30">
        <v>2517</v>
      </c>
      <c r="I13" s="31">
        <v>7748</v>
      </c>
    </row>
    <row r="14" spans="1:17" ht="15" customHeight="1" thickBot="1">
      <c r="A14" s="20" t="s">
        <v>43</v>
      </c>
      <c r="B14" s="37">
        <v>332</v>
      </c>
      <c r="C14" s="30">
        <v>8126</v>
      </c>
      <c r="D14" s="31">
        <v>8458</v>
      </c>
      <c r="F14" s="12" t="s">
        <v>43</v>
      </c>
      <c r="G14" s="30">
        <v>5370</v>
      </c>
      <c r="H14" s="30">
        <v>3088</v>
      </c>
      <c r="I14" s="31">
        <v>8458</v>
      </c>
    </row>
    <row r="15" spans="1:17" ht="15" customHeight="1" thickBot="1">
      <c r="A15" s="21" t="s">
        <v>57</v>
      </c>
      <c r="B15" s="38">
        <v>4921</v>
      </c>
      <c r="C15" s="32">
        <v>53383</v>
      </c>
      <c r="D15" s="33">
        <v>58304</v>
      </c>
      <c r="F15" s="22" t="s">
        <v>57</v>
      </c>
      <c r="G15" s="32">
        <v>38149</v>
      </c>
      <c r="H15" s="32">
        <v>20155</v>
      </c>
      <c r="I15" s="33">
        <v>58304</v>
      </c>
    </row>
    <row r="16" spans="1:17" s="3" customFormat="1" ht="15" customHeight="1">
      <c r="A16" s="64"/>
      <c r="B16" s="30"/>
      <c r="C16" s="30"/>
      <c r="D16" s="30"/>
      <c r="F16" s="64"/>
      <c r="G16" s="30"/>
      <c r="H16" s="30"/>
      <c r="I16" s="30"/>
    </row>
    <row r="17" spans="1:14" s="3" customFormat="1" ht="15" customHeight="1">
      <c r="A17" s="64"/>
      <c r="B17" s="30"/>
      <c r="C17" s="30"/>
      <c r="D17" s="30"/>
      <c r="F17" s="64"/>
      <c r="G17" s="30"/>
      <c r="H17" s="30"/>
      <c r="I17" s="30"/>
    </row>
    <row r="18" spans="1:14" ht="15" customHeight="1" thickBot="1">
      <c r="A18" s="8" t="s">
        <v>59</v>
      </c>
    </row>
    <row r="19" spans="1:14" ht="15" thickBot="1">
      <c r="A19" s="28" t="s">
        <v>60</v>
      </c>
      <c r="B19" s="14" t="s">
        <v>61</v>
      </c>
      <c r="C19" s="25"/>
      <c r="D19" s="25"/>
      <c r="E19" s="25"/>
      <c r="F19" s="25"/>
      <c r="G19" s="25"/>
      <c r="H19" s="25"/>
      <c r="I19" s="25"/>
      <c r="J19" s="25"/>
      <c r="K19" s="25"/>
      <c r="L19" s="25"/>
      <c r="M19" s="25"/>
      <c r="N19" s="25"/>
    </row>
    <row r="20" spans="1:14">
      <c r="A20" s="61" t="s">
        <v>62</v>
      </c>
      <c r="B20" s="39">
        <v>985</v>
      </c>
      <c r="D20" s="196" t="s">
        <v>63</v>
      </c>
      <c r="E20" s="195"/>
      <c r="F20" s="195"/>
      <c r="G20" s="195"/>
    </row>
    <row r="21" spans="1:14" ht="15" customHeight="1" thickBot="1">
      <c r="A21" s="62" t="s">
        <v>64</v>
      </c>
      <c r="B21" s="40">
        <v>801</v>
      </c>
    </row>
    <row r="22" spans="1:14" ht="15" thickBot="1">
      <c r="A22" s="62" t="s">
        <v>65</v>
      </c>
      <c r="B22" s="40">
        <v>1349</v>
      </c>
      <c r="D22" s="9"/>
      <c r="E22" s="24" t="s">
        <v>108</v>
      </c>
      <c r="F22" s="10"/>
      <c r="G22" s="11"/>
      <c r="H22" s="25"/>
      <c r="I22" s="25"/>
      <c r="J22" s="25"/>
      <c r="K22" s="25"/>
      <c r="L22" s="25"/>
      <c r="M22" s="25"/>
      <c r="N22" s="25"/>
    </row>
    <row r="23" spans="1:14" ht="15" thickBot="1">
      <c r="A23" s="62" t="s">
        <v>66</v>
      </c>
      <c r="B23" s="40">
        <v>1562</v>
      </c>
      <c r="D23" s="28" t="s">
        <v>133</v>
      </c>
      <c r="E23" s="15" t="s">
        <v>52</v>
      </c>
      <c r="F23" s="16" t="s">
        <v>53</v>
      </c>
      <c r="G23" s="17" t="s">
        <v>54</v>
      </c>
    </row>
    <row r="24" spans="1:14">
      <c r="A24" s="62" t="s">
        <v>67</v>
      </c>
      <c r="B24" s="40">
        <v>1600</v>
      </c>
      <c r="D24" s="18" t="s">
        <v>47</v>
      </c>
      <c r="E24" s="34">
        <v>117</v>
      </c>
      <c r="F24" s="35">
        <v>883</v>
      </c>
      <c r="G24" s="36">
        <v>1000</v>
      </c>
    </row>
    <row r="25" spans="1:14" ht="15" customHeight="1" thickBot="1">
      <c r="A25" s="62" t="s">
        <v>68</v>
      </c>
      <c r="B25" s="40">
        <v>1606</v>
      </c>
      <c r="D25" s="20" t="s">
        <v>36</v>
      </c>
      <c r="E25" s="37">
        <v>4804</v>
      </c>
      <c r="F25" s="30">
        <v>52500</v>
      </c>
      <c r="G25" s="31">
        <v>57304</v>
      </c>
    </row>
    <row r="26" spans="1:14" ht="15" thickBot="1">
      <c r="A26" s="62" t="s">
        <v>69</v>
      </c>
      <c r="B26" s="40">
        <v>1510</v>
      </c>
      <c r="D26" s="21" t="s">
        <v>57</v>
      </c>
      <c r="E26" s="38">
        <v>4921</v>
      </c>
      <c r="F26" s="32">
        <v>53383</v>
      </c>
      <c r="G26" s="33">
        <v>58304</v>
      </c>
    </row>
    <row r="27" spans="1:14">
      <c r="A27" s="62" t="s">
        <v>70</v>
      </c>
      <c r="B27" s="40">
        <v>959</v>
      </c>
    </row>
    <row r="28" spans="1:14">
      <c r="A28" s="62" t="s">
        <v>71</v>
      </c>
      <c r="B28" s="40">
        <v>822</v>
      </c>
    </row>
    <row r="29" spans="1:14">
      <c r="A29" s="62" t="s">
        <v>72</v>
      </c>
      <c r="B29" s="40">
        <v>1321</v>
      </c>
      <c r="D29" s="8"/>
    </row>
    <row r="30" spans="1:14">
      <c r="A30" s="62" t="s">
        <v>73</v>
      </c>
      <c r="B30" s="40">
        <v>1263</v>
      </c>
    </row>
    <row r="31" spans="1:14">
      <c r="A31" s="62" t="s">
        <v>74</v>
      </c>
      <c r="B31" s="40">
        <v>1162</v>
      </c>
      <c r="D31" s="8"/>
    </row>
    <row r="32" spans="1:14">
      <c r="A32" s="62" t="s">
        <v>75</v>
      </c>
      <c r="B32" s="40">
        <v>1406</v>
      </c>
    </row>
    <row r="33" spans="1:4">
      <c r="A33" s="62" t="s">
        <v>76</v>
      </c>
      <c r="B33" s="40">
        <v>1421</v>
      </c>
      <c r="D33" s="8"/>
    </row>
    <row r="34" spans="1:4">
      <c r="A34" s="62" t="s">
        <v>77</v>
      </c>
      <c r="B34" s="40">
        <v>1248</v>
      </c>
    </row>
    <row r="35" spans="1:4">
      <c r="A35" s="62" t="s">
        <v>78</v>
      </c>
      <c r="B35" s="40">
        <v>1204</v>
      </c>
      <c r="D35" s="8"/>
    </row>
    <row r="36" spans="1:4">
      <c r="A36" s="62" t="s">
        <v>79</v>
      </c>
      <c r="B36" s="40">
        <v>1000</v>
      </c>
    </row>
    <row r="37" spans="1:4">
      <c r="A37" s="62" t="s">
        <v>80</v>
      </c>
      <c r="B37" s="40">
        <v>683</v>
      </c>
      <c r="D37" s="8"/>
    </row>
    <row r="38" spans="1:4">
      <c r="A38" s="62" t="s">
        <v>81</v>
      </c>
      <c r="B38" s="40">
        <v>1650</v>
      </c>
    </row>
    <row r="39" spans="1:4">
      <c r="A39" s="62" t="s">
        <v>82</v>
      </c>
      <c r="B39" s="40">
        <v>1927</v>
      </c>
      <c r="D39" s="8"/>
    </row>
    <row r="40" spans="1:4">
      <c r="A40" s="62" t="s">
        <v>83</v>
      </c>
      <c r="B40" s="40">
        <v>1543</v>
      </c>
    </row>
    <row r="41" spans="1:4">
      <c r="A41" s="62" t="s">
        <v>84</v>
      </c>
      <c r="B41" s="40">
        <v>981</v>
      </c>
      <c r="D41" s="8"/>
    </row>
    <row r="42" spans="1:4">
      <c r="A42" s="62" t="s">
        <v>85</v>
      </c>
      <c r="B42" s="40">
        <v>986</v>
      </c>
    </row>
    <row r="43" spans="1:4">
      <c r="A43" s="62" t="s">
        <v>86</v>
      </c>
      <c r="B43" s="40">
        <v>1416</v>
      </c>
      <c r="D43" s="8"/>
    </row>
    <row r="44" spans="1:4">
      <c r="A44" s="62" t="s">
        <v>87</v>
      </c>
      <c r="B44" s="40">
        <v>1985</v>
      </c>
    </row>
    <row r="45" spans="1:4">
      <c r="A45" s="62" t="s">
        <v>88</v>
      </c>
      <c r="B45" s="40">
        <v>506</v>
      </c>
      <c r="D45" s="8"/>
    </row>
    <row r="46" spans="1:4">
      <c r="A46" s="62" t="s">
        <v>89</v>
      </c>
      <c r="B46" s="40">
        <v>431</v>
      </c>
    </row>
    <row r="47" spans="1:4">
      <c r="A47" s="62" t="s">
        <v>90</v>
      </c>
      <c r="B47" s="40">
        <v>1167</v>
      </c>
      <c r="D47" s="8"/>
    </row>
    <row r="48" spans="1:4">
      <c r="A48" s="62" t="s">
        <v>91</v>
      </c>
      <c r="B48" s="40">
        <v>1098</v>
      </c>
    </row>
    <row r="49" spans="1:4">
      <c r="A49" s="62" t="s">
        <v>92</v>
      </c>
      <c r="B49" s="40">
        <v>1096</v>
      </c>
      <c r="D49" s="8"/>
    </row>
    <row r="50" spans="1:4">
      <c r="A50" s="62" t="s">
        <v>93</v>
      </c>
      <c r="B50" s="40">
        <v>1501</v>
      </c>
    </row>
    <row r="51" spans="1:4">
      <c r="A51" s="62" t="s">
        <v>94</v>
      </c>
      <c r="B51" s="40">
        <v>1360</v>
      </c>
      <c r="D51" s="8"/>
    </row>
    <row r="52" spans="1:4">
      <c r="A52" s="62" t="s">
        <v>95</v>
      </c>
      <c r="B52" s="40">
        <v>1526</v>
      </c>
    </row>
    <row r="53" spans="1:4">
      <c r="A53" s="62" t="s">
        <v>96</v>
      </c>
      <c r="B53" s="40">
        <v>1550</v>
      </c>
      <c r="D53" s="8"/>
    </row>
    <row r="54" spans="1:4">
      <c r="A54" s="62" t="s">
        <v>97</v>
      </c>
      <c r="B54" s="40">
        <v>1708</v>
      </c>
    </row>
    <row r="55" spans="1:4">
      <c r="A55" s="62" t="s">
        <v>98</v>
      </c>
      <c r="B55" s="40">
        <v>1005</v>
      </c>
      <c r="D55" s="8"/>
    </row>
    <row r="56" spans="1:4">
      <c r="A56" s="62" t="s">
        <v>99</v>
      </c>
      <c r="B56" s="40">
        <v>1623</v>
      </c>
    </row>
    <row r="57" spans="1:4">
      <c r="A57" s="62" t="s">
        <v>100</v>
      </c>
      <c r="B57" s="40">
        <v>1712</v>
      </c>
      <c r="D57" s="8"/>
    </row>
    <row r="58" spans="1:4">
      <c r="A58" s="62" t="s">
        <v>101</v>
      </c>
      <c r="B58" s="40">
        <v>1530</v>
      </c>
    </row>
    <row r="59" spans="1:4">
      <c r="A59" s="62" t="s">
        <v>102</v>
      </c>
      <c r="B59" s="40">
        <v>1605</v>
      </c>
      <c r="D59" s="8"/>
    </row>
    <row r="60" spans="1:4">
      <c r="A60" s="62" t="s">
        <v>103</v>
      </c>
      <c r="B60" s="40">
        <v>1538</v>
      </c>
    </row>
    <row r="61" spans="1:4">
      <c r="A61" s="62" t="s">
        <v>104</v>
      </c>
      <c r="B61" s="40">
        <v>1746</v>
      </c>
      <c r="D61" s="8"/>
    </row>
    <row r="62" spans="1:4">
      <c r="A62" s="62" t="s">
        <v>105</v>
      </c>
      <c r="B62" s="40">
        <v>1472</v>
      </c>
    </row>
    <row r="63" spans="1:4">
      <c r="A63" s="62" t="s">
        <v>106</v>
      </c>
      <c r="B63" s="40">
        <v>1589</v>
      </c>
      <c r="D63" s="8"/>
    </row>
    <row r="64" spans="1:4" ht="15" thickBot="1">
      <c r="A64" s="63" t="s">
        <v>107</v>
      </c>
      <c r="B64" s="40">
        <v>151</v>
      </c>
    </row>
    <row r="65" spans="1:4" ht="15" customHeight="1" thickBot="1">
      <c r="A65" s="42" t="s">
        <v>57</v>
      </c>
      <c r="B65" s="41">
        <v>58304</v>
      </c>
      <c r="D65" s="8"/>
    </row>
    <row r="67" spans="1:4">
      <c r="D67" s="8"/>
    </row>
    <row r="69" spans="1:4">
      <c r="D69" s="8"/>
    </row>
    <row r="71" spans="1:4">
      <c r="D71" s="8"/>
    </row>
    <row r="73" spans="1:4">
      <c r="D73" s="8"/>
    </row>
    <row r="75" spans="1:4">
      <c r="D75" s="8"/>
    </row>
    <row r="77" spans="1:4" ht="15" thickBot="1"/>
    <row r="78" spans="1:4" ht="15" thickBot="1"/>
    <row r="79" spans="1:4" ht="15" thickBot="1"/>
    <row r="80" spans="1:4" ht="15" thickBot="1"/>
    <row r="81" ht="15" thickBot="1"/>
    <row r="82" ht="15" thickBot="1"/>
    <row r="83" ht="15" thickBot="1"/>
    <row r="84" ht="15" thickBot="1"/>
    <row r="85" ht="15" thickBot="1"/>
    <row r="86" ht="15" thickBot="1"/>
    <row r="87" ht="15" thickBot="1"/>
    <row r="88" ht="15" thickBot="1"/>
    <row r="90" ht="15" thickBot="1"/>
    <row r="91" ht="15" thickBot="1"/>
    <row r="92" ht="15" thickBot="1"/>
    <row r="93" ht="15" thickBot="1"/>
    <row r="94" ht="15" thickBot="1"/>
    <row r="95" ht="15" thickBot="1"/>
    <row r="96" ht="15" thickBot="1"/>
    <row r="97" ht="15" thickBot="1"/>
    <row r="98" ht="15" thickBot="1"/>
    <row r="99" ht="15" thickBot="1"/>
    <row r="100" ht="15" thickBot="1"/>
    <row r="101" ht="15" thickBot="1"/>
    <row r="102" ht="15" thickBot="1"/>
    <row r="103" ht="15" thickBot="1"/>
    <row r="104" ht="15" thickBot="1"/>
    <row r="105" ht="15" thickBot="1"/>
    <row r="106" ht="15" thickBot="1"/>
    <row r="107" ht="15" thickBot="1"/>
    <row r="108" ht="15" thickBot="1"/>
    <row r="109" ht="15" thickBot="1"/>
    <row r="110" ht="15" thickBot="1"/>
    <row r="111" ht="15" thickBot="1"/>
    <row r="115" ht="15" thickBot="1"/>
    <row r="116" ht="15" thickBot="1"/>
    <row r="119" ht="15" thickBot="1"/>
    <row r="120" ht="15" thickBot="1"/>
    <row r="122" ht="15" thickBot="1"/>
    <row r="123" ht="15" thickBot="1"/>
    <row r="126" ht="15" thickBot="1"/>
    <row r="127" ht="15" thickBot="1"/>
    <row r="130" ht="15" thickBot="1"/>
    <row r="131" ht="15" thickBot="1"/>
    <row r="134" ht="15" thickBot="1"/>
    <row r="135" ht="15" thickBot="1"/>
    <row r="138" ht="15" thickBot="1"/>
    <row r="139" ht="15" thickBot="1"/>
    <row r="142" ht="15" thickBot="1"/>
    <row r="143" ht="15" thickBot="1"/>
    <row r="146" ht="15" thickBot="1"/>
    <row r="147" ht="15" thickBot="1"/>
    <row r="150" ht="15" thickBot="1"/>
    <row r="151" ht="15" thickBot="1"/>
    <row r="155" ht="15" thickBot="1"/>
    <row r="156" ht="15" thickBot="1"/>
    <row r="159" ht="15" thickBot="1"/>
    <row r="160" ht="15" thickBot="1"/>
    <row r="163" ht="15" thickBot="1"/>
    <row r="164" ht="15" thickBot="1"/>
    <row r="167" ht="15" thickBot="1"/>
    <row r="168" ht="15" thickBot="1"/>
    <row r="171" ht="15" thickBot="1"/>
    <row r="172" ht="15" thickBot="1"/>
    <row r="175" ht="15" thickBot="1"/>
    <row r="176" ht="15" thickBot="1"/>
    <row r="179" ht="15" thickBot="1"/>
    <row r="180" ht="15" thickBot="1"/>
    <row r="183" ht="15" thickBot="1"/>
    <row r="184" ht="15" thickBot="1"/>
    <row r="187" ht="15" thickBot="1"/>
    <row r="188" ht="15" thickBot="1"/>
    <row r="191" ht="15" thickBot="1"/>
    <row r="192" ht="15" thickBot="1"/>
    <row r="194" ht="15" thickBot="1"/>
    <row r="195" ht="15" thickBot="1"/>
    <row r="212" ht="15" thickBot="1"/>
    <row r="213" ht="15" thickBot="1"/>
    <row r="237" ht="15" thickBot="1"/>
    <row r="238" ht="15" thickBot="1"/>
    <row r="262" ht="15" thickBot="1"/>
    <row r="263" ht="15" thickBot="1"/>
    <row r="285" ht="15" thickBot="1"/>
    <row r="286" ht="15" thickBot="1"/>
    <row r="308" ht="15" thickBot="1"/>
    <row r="309" ht="15" thickBot="1"/>
    <row r="333" ht="15" thickBot="1"/>
    <row r="334" ht="15" thickBot="1"/>
    <row r="357" ht="15" thickBot="1"/>
    <row r="358" ht="15" thickBot="1"/>
    <row r="382" ht="15" thickBot="1"/>
    <row r="383" ht="15" thickBot="1"/>
    <row r="407" ht="15" thickBot="1"/>
    <row r="408" ht="15" thickBot="1"/>
    <row r="432" ht="15" thickBot="1"/>
    <row r="433" ht="15" thickBot="1"/>
    <row r="445" ht="15" thickBot="1"/>
    <row r="446" ht="15" thickBot="1"/>
    <row r="469" ht="15" thickBot="1"/>
    <row r="470" ht="15" thickBot="1"/>
    <row r="494" ht="15" thickBot="1"/>
    <row r="495" ht="15" thickBot="1"/>
    <row r="519" ht="15" thickBot="1"/>
    <row r="520" ht="15" thickBot="1"/>
    <row r="543" ht="15" thickBot="1"/>
    <row r="544" ht="15" thickBot="1"/>
    <row r="567" ht="15" thickBot="1"/>
    <row r="568" ht="15" thickBot="1"/>
    <row r="591" ht="15" thickBot="1"/>
    <row r="592" ht="15" thickBot="1"/>
    <row r="615" ht="15" thickBot="1"/>
    <row r="616" ht="15" thickBot="1"/>
    <row r="632" ht="15" thickBot="1"/>
    <row r="633" ht="15" thickBot="1"/>
    <row r="641" ht="15" thickBot="1"/>
    <row r="642" ht="15" thickBot="1"/>
    <row r="665" ht="15" thickBot="1"/>
    <row r="666" ht="15" thickBot="1"/>
    <row r="689" ht="15" thickBot="1"/>
    <row r="690" ht="15" thickBot="1"/>
    <row r="713" ht="15" thickBot="1"/>
    <row r="714" ht="15" thickBot="1"/>
    <row r="738" ht="15" thickBot="1"/>
    <row r="739" ht="15" thickBot="1"/>
    <row r="762" ht="15" thickBot="1"/>
    <row r="763" ht="15" thickBot="1"/>
    <row r="787" ht="15" thickBot="1"/>
    <row r="788" ht="15" thickBot="1"/>
    <row r="811" ht="15" thickBot="1"/>
    <row r="812" ht="15" thickBot="1"/>
    <row r="835" ht="15" thickBot="1"/>
    <row r="836" ht="15" thickBot="1"/>
    <row r="860" ht="15" thickBot="1"/>
    <row r="861" ht="15" thickBot="1"/>
    <row r="885" ht="15" thickBot="1"/>
    <row r="886" ht="15" thickBot="1"/>
    <row r="910" ht="15" thickBot="1"/>
    <row r="911" ht="15" thickBot="1"/>
    <row r="935" ht="15" thickBot="1"/>
    <row r="936" ht="15" thickBot="1"/>
    <row r="959" ht="15" thickBot="1"/>
    <row r="960" ht="15" thickBot="1"/>
    <row r="983" ht="15" thickBot="1"/>
    <row r="984" ht="15" thickBot="1"/>
    <row r="1006" ht="15" thickBot="1"/>
    <row r="1007" ht="15" thickBot="1"/>
    <row r="1031" ht="15" thickBot="1"/>
    <row r="1032" ht="15" thickBot="1"/>
    <row r="1055" ht="15" thickBot="1"/>
    <row r="1056" ht="15" thickBot="1"/>
    <row r="1064" ht="15" thickBot="1"/>
    <row r="1065" ht="15" thickBot="1"/>
  </sheetData>
  <mergeCells count="2">
    <mergeCell ref="E1:Q1"/>
    <mergeCell ref="D20:G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B6243-E2D0-4126-B52A-E71D70F544D5}">
  <dimension ref="A1:R55"/>
  <sheetViews>
    <sheetView topLeftCell="A34" workbookViewId="0">
      <selection activeCell="A61" sqref="A61"/>
    </sheetView>
  </sheetViews>
  <sheetFormatPr defaultRowHeight="14.4"/>
  <cols>
    <col min="6" max="6" width="8.88671875" customWidth="1"/>
  </cols>
  <sheetData>
    <row r="1" spans="1:17" ht="25.8">
      <c r="A1" s="214" t="s">
        <v>176</v>
      </c>
      <c r="B1" s="214"/>
      <c r="C1" s="214"/>
      <c r="D1" s="214"/>
      <c r="E1" s="214"/>
      <c r="F1" s="214"/>
      <c r="G1" s="214"/>
      <c r="H1" s="214"/>
      <c r="I1" s="214"/>
      <c r="J1" s="214"/>
      <c r="K1" s="214"/>
      <c r="L1" s="214"/>
      <c r="M1" s="214"/>
      <c r="N1" s="214"/>
    </row>
    <row r="2" spans="1:17">
      <c r="A2" s="215" t="s">
        <v>177</v>
      </c>
      <c r="B2" s="215"/>
      <c r="C2" s="215"/>
      <c r="D2" s="215"/>
      <c r="E2" s="215"/>
      <c r="F2" s="215"/>
      <c r="G2" s="215"/>
      <c r="H2" s="215"/>
      <c r="I2" s="215"/>
      <c r="J2" s="215"/>
      <c r="K2" s="215"/>
      <c r="L2" s="215"/>
      <c r="M2" s="215"/>
      <c r="N2" s="215"/>
    </row>
    <row r="3" spans="1:17">
      <c r="A3" s="124"/>
      <c r="B3" s="124"/>
      <c r="C3" s="124"/>
      <c r="D3" s="124"/>
      <c r="E3" s="124"/>
      <c r="F3" s="124"/>
      <c r="G3" s="124"/>
      <c r="H3" s="124"/>
      <c r="I3" s="124"/>
      <c r="J3" s="124"/>
      <c r="K3" s="124"/>
      <c r="L3" s="124"/>
      <c r="M3" s="124"/>
      <c r="N3" s="124"/>
    </row>
    <row r="4" spans="1:17">
      <c r="A4" s="216" t="s">
        <v>178</v>
      </c>
      <c r="B4" s="216"/>
      <c r="C4" s="125" t="s">
        <v>179</v>
      </c>
      <c r="D4" s="126" t="s">
        <v>180</v>
      </c>
      <c r="E4" s="125" t="s">
        <v>181</v>
      </c>
      <c r="F4" s="126" t="s">
        <v>180</v>
      </c>
      <c r="G4" s="125" t="s">
        <v>182</v>
      </c>
      <c r="H4" s="126" t="s">
        <v>180</v>
      </c>
      <c r="I4" s="217" t="s">
        <v>183</v>
      </c>
      <c r="J4" s="217"/>
      <c r="K4" s="217"/>
      <c r="L4" s="217"/>
      <c r="M4" s="217"/>
      <c r="N4" s="217"/>
    </row>
    <row r="5" spans="1:17" ht="15" thickBot="1">
      <c r="A5" s="124"/>
      <c r="B5" s="124"/>
      <c r="C5" s="124"/>
      <c r="D5" s="124"/>
      <c r="E5" s="124"/>
      <c r="F5" s="124"/>
      <c r="G5" s="124"/>
      <c r="H5" s="124"/>
      <c r="I5" s="124"/>
      <c r="J5" s="124"/>
      <c r="K5" s="124"/>
      <c r="L5" s="124"/>
      <c r="M5" s="124"/>
      <c r="N5" s="124"/>
    </row>
    <row r="6" spans="1:17">
      <c r="C6" s="218" t="s">
        <v>184</v>
      </c>
      <c r="D6" s="219"/>
      <c r="E6" s="220"/>
      <c r="F6" s="128"/>
      <c r="G6" s="227" t="s">
        <v>185</v>
      </c>
      <c r="H6" s="228"/>
      <c r="I6" s="229"/>
      <c r="K6" s="221" t="s">
        <v>186</v>
      </c>
      <c r="L6" s="222"/>
      <c r="M6" s="223"/>
      <c r="N6" s="124"/>
      <c r="O6" s="224" t="s">
        <v>187</v>
      </c>
      <c r="P6" s="225"/>
      <c r="Q6" s="226"/>
    </row>
    <row r="7" spans="1:17" ht="14.4" customHeight="1">
      <c r="C7" s="197">
        <v>58304</v>
      </c>
      <c r="D7" s="198"/>
      <c r="E7" s="199"/>
      <c r="F7" s="129"/>
      <c r="G7" s="197">
        <v>53383</v>
      </c>
      <c r="H7" s="198"/>
      <c r="I7" s="199"/>
      <c r="K7" s="197">
        <v>4921</v>
      </c>
      <c r="L7" s="198"/>
      <c r="M7" s="199"/>
      <c r="N7" s="124"/>
      <c r="O7" s="208">
        <v>58.3</v>
      </c>
      <c r="P7" s="209"/>
      <c r="Q7" s="210"/>
    </row>
    <row r="8" spans="1:17" ht="15" customHeight="1" thickBot="1">
      <c r="C8" s="200"/>
      <c r="D8" s="201"/>
      <c r="E8" s="202"/>
      <c r="F8" s="129"/>
      <c r="G8" s="200"/>
      <c r="H8" s="201"/>
      <c r="I8" s="202"/>
      <c r="K8" s="200"/>
      <c r="L8" s="201"/>
      <c r="M8" s="202"/>
      <c r="N8" s="124"/>
      <c r="O8" s="211"/>
      <c r="P8" s="212"/>
      <c r="Q8" s="213"/>
    </row>
    <row r="9" spans="1:17">
      <c r="A9" s="124"/>
      <c r="B9" s="124"/>
      <c r="C9" s="124"/>
      <c r="D9" s="124"/>
      <c r="E9" s="124"/>
      <c r="F9" s="124"/>
      <c r="G9" s="124"/>
      <c r="H9" s="124"/>
      <c r="I9" s="124"/>
      <c r="J9" s="124"/>
      <c r="K9" s="124"/>
      <c r="L9" s="124"/>
      <c r="M9" s="124"/>
      <c r="N9" s="124"/>
    </row>
    <row r="10" spans="1:17">
      <c r="A10" s="124"/>
      <c r="B10" s="124"/>
      <c r="C10" s="3"/>
      <c r="D10" s="3"/>
      <c r="E10" s="3"/>
      <c r="F10" s="124"/>
      <c r="G10" s="124"/>
      <c r="H10" s="124"/>
      <c r="I10" s="124"/>
      <c r="J10" s="124"/>
      <c r="K10" s="124"/>
      <c r="L10" s="124"/>
      <c r="M10" s="124"/>
      <c r="N10" s="124"/>
      <c r="O10" s="3"/>
    </row>
    <row r="11" spans="1:17">
      <c r="B11" s="124"/>
      <c r="C11" s="124"/>
      <c r="D11" s="124"/>
      <c r="E11" s="124"/>
      <c r="F11" s="124"/>
      <c r="G11" s="124"/>
      <c r="H11" s="124"/>
      <c r="I11" s="124"/>
      <c r="J11" s="124"/>
      <c r="K11" s="124"/>
      <c r="L11" s="124"/>
      <c r="M11" s="124"/>
      <c r="N11" s="124"/>
      <c r="O11" s="124"/>
    </row>
    <row r="12" spans="1:17">
      <c r="B12" s="124"/>
      <c r="C12" s="124"/>
      <c r="D12" s="124"/>
      <c r="E12" s="124"/>
      <c r="F12" s="124"/>
      <c r="G12" s="124"/>
      <c r="H12" s="124"/>
      <c r="I12" s="124"/>
      <c r="J12" s="124"/>
      <c r="K12" s="124"/>
      <c r="L12" s="124"/>
      <c r="M12" s="124"/>
      <c r="N12" s="124"/>
      <c r="O12" s="124"/>
    </row>
    <row r="13" spans="1:17">
      <c r="B13" s="124"/>
      <c r="C13" s="124"/>
      <c r="D13" s="124"/>
      <c r="E13" s="124"/>
      <c r="F13" s="124"/>
      <c r="G13" s="124"/>
      <c r="H13" s="124"/>
      <c r="I13" s="124"/>
      <c r="J13" s="124"/>
      <c r="K13" s="124"/>
      <c r="L13" s="124"/>
      <c r="M13" s="124"/>
      <c r="N13" s="124"/>
      <c r="O13" s="124"/>
    </row>
    <row r="14" spans="1:17">
      <c r="B14" s="124"/>
      <c r="C14" s="124"/>
      <c r="D14" s="124"/>
      <c r="E14" s="124"/>
      <c r="F14" s="124"/>
      <c r="G14" s="124"/>
      <c r="H14" s="124"/>
      <c r="I14" s="124"/>
      <c r="J14" s="124"/>
      <c r="K14" s="124"/>
      <c r="L14" s="124"/>
      <c r="M14" s="124"/>
      <c r="N14" s="124"/>
      <c r="O14" s="124"/>
    </row>
    <row r="15" spans="1:17">
      <c r="B15" s="124"/>
      <c r="C15" s="124"/>
      <c r="D15" s="124"/>
      <c r="E15" s="124"/>
      <c r="F15" s="124"/>
      <c r="G15" s="124"/>
      <c r="H15" s="124"/>
      <c r="I15" s="124"/>
      <c r="J15" s="124"/>
      <c r="K15" s="124"/>
      <c r="L15" s="124"/>
      <c r="M15" s="124"/>
      <c r="N15" s="124"/>
      <c r="O15" s="124"/>
    </row>
    <row r="16" spans="1:17" ht="15" thickBot="1">
      <c r="B16" s="124"/>
      <c r="C16" s="124"/>
      <c r="D16" s="124"/>
      <c r="E16" s="124"/>
      <c r="F16" s="124"/>
      <c r="G16" s="124"/>
      <c r="H16" s="124"/>
      <c r="I16" s="124"/>
      <c r="J16" s="124"/>
      <c r="K16" s="124"/>
      <c r="L16" s="124"/>
      <c r="M16" s="124"/>
      <c r="N16" s="124"/>
      <c r="O16" s="124"/>
    </row>
    <row r="17" spans="2:18" ht="15">
      <c r="B17" s="124"/>
      <c r="C17" s="124"/>
      <c r="D17" s="132"/>
      <c r="E17" s="133"/>
      <c r="F17" s="176" t="s">
        <v>115</v>
      </c>
      <c r="G17" s="177"/>
      <c r="H17" s="178"/>
      <c r="I17" s="133"/>
      <c r="J17" s="134"/>
      <c r="K17" s="124"/>
      <c r="L17" s="204" t="s">
        <v>120</v>
      </c>
      <c r="M17" s="205"/>
      <c r="N17" s="205"/>
      <c r="O17" s="205"/>
      <c r="P17" s="205"/>
      <c r="Q17" s="205"/>
      <c r="R17" s="206"/>
    </row>
    <row r="18" spans="2:18">
      <c r="B18" s="124"/>
      <c r="C18" s="124"/>
      <c r="D18" s="130"/>
      <c r="E18" s="127"/>
      <c r="F18" s="127"/>
      <c r="G18" s="127"/>
      <c r="H18" s="127"/>
      <c r="I18" s="127"/>
      <c r="J18" s="131"/>
      <c r="K18" s="124"/>
      <c r="L18" s="135"/>
      <c r="M18" s="136"/>
      <c r="N18" s="136"/>
      <c r="O18" s="136"/>
      <c r="P18" s="136"/>
      <c r="Q18" s="136"/>
      <c r="R18" s="137"/>
    </row>
    <row r="19" spans="2:18">
      <c r="B19" s="124"/>
      <c r="C19" s="124"/>
      <c r="D19" s="130"/>
      <c r="E19" s="127"/>
      <c r="F19" s="127"/>
      <c r="G19" s="127"/>
      <c r="H19" s="127"/>
      <c r="I19" s="127"/>
      <c r="J19" s="131"/>
      <c r="K19" s="124"/>
      <c r="L19" s="135"/>
      <c r="M19" s="136"/>
      <c r="N19" s="136"/>
      <c r="O19" s="136"/>
      <c r="P19" s="136"/>
      <c r="Q19" s="136"/>
      <c r="R19" s="137"/>
    </row>
    <row r="20" spans="2:18">
      <c r="B20" s="124"/>
      <c r="C20" s="124"/>
      <c r="D20" s="130"/>
      <c r="E20" s="127"/>
      <c r="F20" s="127"/>
      <c r="G20" s="127"/>
      <c r="H20" s="127"/>
      <c r="I20" s="127"/>
      <c r="J20" s="131"/>
      <c r="K20" s="124"/>
      <c r="L20" s="135"/>
      <c r="M20" s="136"/>
      <c r="N20" s="136"/>
      <c r="O20" s="136"/>
      <c r="P20" s="136"/>
      <c r="Q20" s="136"/>
      <c r="R20" s="137"/>
    </row>
    <row r="21" spans="2:18">
      <c r="D21" s="72"/>
      <c r="E21" s="29"/>
      <c r="F21" s="29"/>
      <c r="G21" s="29"/>
      <c r="H21" s="29"/>
      <c r="I21" s="29"/>
      <c r="J21" s="13"/>
      <c r="L21" s="135"/>
      <c r="M21" s="136"/>
      <c r="N21" s="136"/>
      <c r="O21" s="136"/>
      <c r="P21" s="136"/>
      <c r="Q21" s="136"/>
      <c r="R21" s="137"/>
    </row>
    <row r="22" spans="2:18">
      <c r="D22" s="72"/>
      <c r="E22" s="29"/>
      <c r="F22" s="29"/>
      <c r="G22" s="29"/>
      <c r="H22" s="29"/>
      <c r="I22" s="29"/>
      <c r="J22" s="13"/>
      <c r="L22" s="135"/>
      <c r="M22" s="136"/>
      <c r="N22" s="136"/>
      <c r="O22" s="136"/>
      <c r="P22" s="136"/>
      <c r="Q22" s="136"/>
      <c r="R22" s="137"/>
    </row>
    <row r="23" spans="2:18">
      <c r="D23" s="72"/>
      <c r="E23" s="29"/>
      <c r="F23" s="29"/>
      <c r="G23" s="29"/>
      <c r="H23" s="29"/>
      <c r="I23" s="29"/>
      <c r="J23" s="13"/>
      <c r="L23" s="135"/>
      <c r="M23" s="136"/>
      <c r="N23" s="136"/>
      <c r="O23" s="136"/>
      <c r="P23" s="136"/>
      <c r="Q23" s="136"/>
      <c r="R23" s="137"/>
    </row>
    <row r="24" spans="2:18">
      <c r="D24" s="72"/>
      <c r="E24" s="29"/>
      <c r="F24" s="29"/>
      <c r="G24" s="29"/>
      <c r="H24" s="29"/>
      <c r="I24" s="29"/>
      <c r="J24" s="13"/>
      <c r="L24" s="135"/>
      <c r="M24" s="136"/>
      <c r="N24" s="136"/>
      <c r="O24" s="136"/>
      <c r="P24" s="136"/>
      <c r="Q24" s="136"/>
      <c r="R24" s="137"/>
    </row>
    <row r="25" spans="2:18">
      <c r="D25" s="72"/>
      <c r="E25" s="29"/>
      <c r="F25" s="29"/>
      <c r="G25" s="29"/>
      <c r="H25" s="29"/>
      <c r="I25" s="29"/>
      <c r="J25" s="13"/>
      <c r="L25" s="135"/>
      <c r="M25" s="136"/>
      <c r="N25" s="136"/>
      <c r="O25" s="136"/>
      <c r="P25" s="136"/>
      <c r="Q25" s="136"/>
      <c r="R25" s="137"/>
    </row>
    <row r="26" spans="2:18">
      <c r="D26" s="72"/>
      <c r="E26" s="29"/>
      <c r="F26" s="29"/>
      <c r="G26" s="29"/>
      <c r="H26" s="29"/>
      <c r="I26" s="29"/>
      <c r="J26" s="13"/>
      <c r="L26" s="135"/>
      <c r="M26" s="136"/>
      <c r="N26" s="136"/>
      <c r="O26" s="136"/>
      <c r="P26" s="136"/>
      <c r="Q26" s="136"/>
      <c r="R26" s="137"/>
    </row>
    <row r="27" spans="2:18">
      <c r="D27" s="72"/>
      <c r="E27" s="29"/>
      <c r="F27" s="29"/>
      <c r="G27" s="29"/>
      <c r="H27" s="29"/>
      <c r="I27" s="29"/>
      <c r="J27" s="13"/>
      <c r="L27" s="135"/>
      <c r="M27" s="136"/>
      <c r="N27" s="136"/>
      <c r="O27" s="136"/>
      <c r="P27" s="136"/>
      <c r="Q27" s="136"/>
      <c r="R27" s="137"/>
    </row>
    <row r="28" spans="2:18">
      <c r="D28" s="72"/>
      <c r="E28" s="29"/>
      <c r="F28" s="29"/>
      <c r="G28" s="29"/>
      <c r="H28" s="29"/>
      <c r="I28" s="29"/>
      <c r="J28" s="13"/>
      <c r="L28" s="135"/>
      <c r="M28" s="136"/>
      <c r="N28" s="136"/>
      <c r="O28" s="136"/>
      <c r="P28" s="136"/>
      <c r="Q28" s="136"/>
      <c r="R28" s="137"/>
    </row>
    <row r="29" spans="2:18">
      <c r="D29" s="72"/>
      <c r="E29" s="29"/>
      <c r="F29" s="29"/>
      <c r="G29" s="29"/>
      <c r="H29" s="29"/>
      <c r="I29" s="29"/>
      <c r="J29" s="13"/>
      <c r="L29" s="135"/>
      <c r="M29" s="136"/>
      <c r="N29" s="136"/>
      <c r="O29" s="136"/>
      <c r="P29" s="136"/>
      <c r="Q29" s="136"/>
      <c r="R29" s="137"/>
    </row>
    <row r="30" spans="2:18" ht="15" thickBot="1">
      <c r="D30" s="73"/>
      <c r="E30" s="74"/>
      <c r="F30" s="74"/>
      <c r="G30" s="74"/>
      <c r="H30" s="74"/>
      <c r="I30" s="74"/>
      <c r="J30" s="75"/>
      <c r="L30" s="138"/>
      <c r="M30" s="139"/>
      <c r="N30" s="139"/>
      <c r="O30" s="139"/>
      <c r="P30" s="139"/>
      <c r="Q30" s="139"/>
      <c r="R30" s="140"/>
    </row>
    <row r="33" spans="4:18" ht="15" thickBot="1"/>
    <row r="34" spans="4:18" ht="15" thickBot="1">
      <c r="D34" s="9"/>
      <c r="E34" s="10"/>
      <c r="F34" s="141" t="s">
        <v>121</v>
      </c>
      <c r="G34" s="141"/>
      <c r="H34" s="141"/>
      <c r="I34" s="10"/>
      <c r="J34" s="11"/>
      <c r="L34" s="9"/>
      <c r="M34" s="10"/>
      <c r="N34" s="10"/>
      <c r="O34" s="10"/>
      <c r="P34" s="10"/>
      <c r="Q34" s="10"/>
      <c r="R34" s="11"/>
    </row>
    <row r="35" spans="4:18">
      <c r="D35" s="72"/>
      <c r="E35" s="29"/>
      <c r="F35" s="29"/>
      <c r="G35" s="29"/>
      <c r="H35" s="29"/>
      <c r="I35" s="29"/>
      <c r="J35" s="13"/>
      <c r="L35" s="72"/>
      <c r="M35" s="29"/>
      <c r="N35" s="29"/>
      <c r="O35" s="29"/>
      <c r="P35" s="29"/>
      <c r="Q35" s="29"/>
      <c r="R35" s="13"/>
    </row>
    <row r="36" spans="4:18">
      <c r="D36" s="72"/>
      <c r="E36" s="29"/>
      <c r="F36" s="29"/>
      <c r="G36" s="29"/>
      <c r="H36" s="29"/>
      <c r="I36" s="29"/>
      <c r="J36" s="13"/>
      <c r="L36" s="72"/>
      <c r="M36" s="29"/>
      <c r="N36" s="29"/>
      <c r="O36" s="29"/>
      <c r="P36" s="29"/>
      <c r="Q36" s="29"/>
      <c r="R36" s="13"/>
    </row>
    <row r="37" spans="4:18">
      <c r="D37" s="72"/>
      <c r="E37" s="29"/>
      <c r="F37" s="29"/>
      <c r="G37" s="29"/>
      <c r="H37" s="29"/>
      <c r="I37" s="29"/>
      <c r="J37" s="13"/>
      <c r="L37" s="72"/>
      <c r="M37" s="29"/>
      <c r="N37" s="29"/>
      <c r="O37" s="29"/>
      <c r="P37" s="29"/>
      <c r="Q37" s="29"/>
      <c r="R37" s="13"/>
    </row>
    <row r="38" spans="4:18">
      <c r="D38" s="72"/>
      <c r="E38" s="29"/>
      <c r="F38" s="29"/>
      <c r="G38" s="29"/>
      <c r="H38" s="29"/>
      <c r="I38" s="29"/>
      <c r="J38" s="13"/>
      <c r="L38" s="72"/>
      <c r="M38" s="29"/>
      <c r="N38" s="29"/>
      <c r="O38" s="29"/>
      <c r="P38" s="29"/>
      <c r="Q38" s="29"/>
      <c r="R38" s="13"/>
    </row>
    <row r="39" spans="4:18">
      <c r="D39" s="72"/>
      <c r="E39" s="29"/>
      <c r="F39" s="29"/>
      <c r="G39" s="29"/>
      <c r="H39" s="29"/>
      <c r="I39" s="29"/>
      <c r="J39" s="13"/>
      <c r="L39" s="72"/>
      <c r="M39" s="29"/>
      <c r="N39" s="29"/>
      <c r="O39" s="29"/>
      <c r="P39" s="29"/>
      <c r="Q39" s="29"/>
      <c r="R39" s="13"/>
    </row>
    <row r="40" spans="4:18">
      <c r="D40" s="72"/>
      <c r="E40" s="29"/>
      <c r="F40" s="29"/>
      <c r="G40" s="29"/>
      <c r="H40" s="29"/>
      <c r="I40" s="29"/>
      <c r="J40" s="13"/>
      <c r="L40" s="72"/>
      <c r="M40" s="29"/>
      <c r="N40" s="29"/>
      <c r="O40" s="29"/>
      <c r="P40" s="29"/>
      <c r="Q40" s="29"/>
      <c r="R40" s="13"/>
    </row>
    <row r="41" spans="4:18">
      <c r="D41" s="72"/>
      <c r="E41" s="29"/>
      <c r="F41" s="29"/>
      <c r="G41" s="29"/>
      <c r="H41" s="29"/>
      <c r="I41" s="29"/>
      <c r="J41" s="13"/>
      <c r="L41" s="72"/>
      <c r="M41" s="29"/>
      <c r="N41" s="29"/>
      <c r="O41" s="29"/>
      <c r="P41" s="29"/>
      <c r="Q41" s="29"/>
      <c r="R41" s="13"/>
    </row>
    <row r="42" spans="4:18">
      <c r="D42" s="72"/>
      <c r="E42" s="29"/>
      <c r="F42" s="29"/>
      <c r="G42" s="29"/>
      <c r="H42" s="29"/>
      <c r="I42" s="29"/>
      <c r="J42" s="13"/>
      <c r="L42" s="72"/>
      <c r="M42" s="29"/>
      <c r="N42" s="29"/>
      <c r="O42" s="29"/>
      <c r="P42" s="29"/>
      <c r="Q42" s="29"/>
      <c r="R42" s="13"/>
    </row>
    <row r="43" spans="4:18">
      <c r="D43" s="72"/>
      <c r="E43" s="29"/>
      <c r="F43" s="29"/>
      <c r="G43" s="29"/>
      <c r="H43" s="29"/>
      <c r="I43" s="29"/>
      <c r="J43" s="13"/>
      <c r="L43" s="72"/>
      <c r="M43" s="29"/>
      <c r="N43" s="29"/>
      <c r="O43" s="29"/>
      <c r="P43" s="29"/>
      <c r="Q43" s="29"/>
      <c r="R43" s="13"/>
    </row>
    <row r="44" spans="4:18">
      <c r="D44" s="72"/>
      <c r="E44" s="29"/>
      <c r="F44" s="29"/>
      <c r="G44" s="29"/>
      <c r="H44" s="29"/>
      <c r="I44" s="29"/>
      <c r="J44" s="13"/>
      <c r="L44" s="72"/>
      <c r="M44" s="29"/>
      <c r="N44" s="29"/>
      <c r="O44" s="29"/>
      <c r="P44" s="29"/>
      <c r="Q44" s="29"/>
      <c r="R44" s="13"/>
    </row>
    <row r="45" spans="4:18">
      <c r="D45" s="72"/>
      <c r="E45" s="29"/>
      <c r="F45" s="29"/>
      <c r="G45" s="29"/>
      <c r="H45" s="29"/>
      <c r="I45" s="29"/>
      <c r="J45" s="13"/>
      <c r="L45" s="72"/>
      <c r="M45" s="29"/>
      <c r="N45" s="29"/>
      <c r="O45" s="29"/>
      <c r="P45" s="29"/>
      <c r="Q45" s="29"/>
      <c r="R45" s="13"/>
    </row>
    <row r="46" spans="4:18">
      <c r="D46" s="72"/>
      <c r="E46" s="29"/>
      <c r="F46" s="29"/>
      <c r="G46" s="29"/>
      <c r="H46" s="29"/>
      <c r="I46" s="29"/>
      <c r="J46" s="13"/>
      <c r="L46" s="72"/>
      <c r="M46" s="29"/>
      <c r="N46" s="29"/>
      <c r="O46" s="29"/>
      <c r="P46" s="29"/>
      <c r="Q46" s="29"/>
      <c r="R46" s="13"/>
    </row>
    <row r="47" spans="4:18" ht="15" thickBot="1">
      <c r="D47" s="73"/>
      <c r="E47" s="74"/>
      <c r="F47" s="74"/>
      <c r="G47" s="74"/>
      <c r="H47" s="74"/>
      <c r="I47" s="74"/>
      <c r="J47" s="75"/>
      <c r="L47" s="73"/>
      <c r="M47" s="74"/>
      <c r="N47" s="74"/>
      <c r="O47" s="74"/>
      <c r="P47" s="74"/>
      <c r="Q47" s="74"/>
      <c r="R47" s="75"/>
    </row>
    <row r="51" spans="3:9">
      <c r="C51" s="207" t="s">
        <v>188</v>
      </c>
      <c r="D51" s="207"/>
      <c r="E51" s="207"/>
      <c r="F51" s="207"/>
      <c r="G51" s="207"/>
      <c r="H51" s="207"/>
      <c r="I51" s="207"/>
    </row>
    <row r="52" spans="3:9" ht="14.4" customHeight="1">
      <c r="C52" s="203" t="s">
        <v>189</v>
      </c>
      <c r="D52" s="203"/>
      <c r="E52" s="203"/>
      <c r="F52" s="203"/>
      <c r="G52" s="203"/>
      <c r="H52" s="203"/>
      <c r="I52" s="203"/>
    </row>
    <row r="53" spans="3:9" ht="14.4" customHeight="1">
      <c r="C53" s="203" t="s">
        <v>190</v>
      </c>
      <c r="D53" s="203"/>
      <c r="E53" s="203"/>
      <c r="F53" s="203"/>
      <c r="G53" s="203"/>
      <c r="H53" s="203"/>
      <c r="I53" s="203"/>
    </row>
    <row r="54" spans="3:9" ht="14.4" customHeight="1">
      <c r="C54" s="203" t="s">
        <v>191</v>
      </c>
      <c r="D54" s="203"/>
      <c r="E54" s="203"/>
      <c r="F54" s="203"/>
      <c r="G54" s="203"/>
      <c r="H54" s="203"/>
      <c r="I54" s="203"/>
    </row>
    <row r="55" spans="3:9">
      <c r="C55" s="203" t="s">
        <v>192</v>
      </c>
      <c r="D55" s="203"/>
      <c r="E55" s="203"/>
      <c r="F55" s="203"/>
      <c r="G55" s="203"/>
      <c r="H55" s="203"/>
      <c r="I55" s="203"/>
    </row>
  </sheetData>
  <mergeCells count="19">
    <mergeCell ref="O6:Q6"/>
    <mergeCell ref="G6:I6"/>
    <mergeCell ref="G7:I8"/>
    <mergeCell ref="A1:N1"/>
    <mergeCell ref="A2:N2"/>
    <mergeCell ref="A4:B4"/>
    <mergeCell ref="I4:N4"/>
    <mergeCell ref="C6:E6"/>
    <mergeCell ref="K6:M6"/>
    <mergeCell ref="F17:H17"/>
    <mergeCell ref="C7:E8"/>
    <mergeCell ref="K7:M8"/>
    <mergeCell ref="C54:I54"/>
    <mergeCell ref="C55:I55"/>
    <mergeCell ref="L17:R17"/>
    <mergeCell ref="C51:I51"/>
    <mergeCell ref="C52:I52"/>
    <mergeCell ref="C53:I53"/>
    <mergeCell ref="O7:Q8"/>
  </mergeCells>
  <conditionalFormatting sqref="A5:Q9">
    <cfRule type="iconSet" priority="3">
      <iconSet iconSet="3TrafficLights2">
        <cfvo type="percent" val="0"/>
        <cfvo type="percent" val="33"/>
        <cfvo type="percent" val="67"/>
      </iconSet>
    </cfRule>
  </conditionalFormatting>
  <conditionalFormatting sqref="C6:Q8">
    <cfRule type="iconSet" priority="2">
      <iconSet iconSet="3Arrows">
        <cfvo type="percent" val="0"/>
        <cfvo type="percent" val="33"/>
        <cfvo type="percent" val="67"/>
      </iconSet>
    </cfRule>
  </conditionalFormatting>
  <conditionalFormatting sqref="B16:R31">
    <cfRule type="iconSet" priority="1">
      <iconSet iconSet="3Arrows">
        <cfvo type="percent" val="0"/>
        <cfvo type="percent" val="33"/>
        <cfvo type="percent" val="67"/>
      </iconSe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4" id="{ADE065DC-20DA-405E-B0C4-643A215D78CB}">
            <x14:iconSet iconSet="3Triangles">
              <x14:cfvo type="percent">
                <xm:f>0</xm:f>
              </x14:cfvo>
              <x14:cfvo type="percent">
                <xm:f>33</xm:f>
              </x14:cfvo>
              <x14:cfvo type="percent">
                <xm:f>67</xm:f>
              </x14:cfvo>
            </x14:iconSet>
          </x14:cfRule>
          <xm:sqref>A1:N1</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9D494A-1C8E-4195-8550-0F56A8DC1A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1</vt:lpstr>
      <vt:lpstr>dataset 2</vt:lpstr>
      <vt:lpstr>dataset 3</vt:lpstr>
      <vt:lpstr>Bike data </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2026-10-14T14:23:02Z</dcterms:created>
  <dcterms:modified xsi:type="dcterms:W3CDTF">2026-10-16T13:29:14Z</dcterms:modified>
</cp:coreProperties>
</file>